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</sheets>
  <definedNames>
    <definedName function="false" hidden="true" localSheetId="0" name="_xlnm._FilterDatabase" vbProcedure="false">'Risk Register'!$A$1:$S$1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EBF0FA"/>
      </patternFill>
    </fill>
    <fill>
      <patternFill patternType="solid">
        <fgColor rgb="FFFF6600"/>
        <bgColor rgb="FFFF9900"/>
      </patternFill>
    </fill>
    <fill>
      <patternFill patternType="solid">
        <fgColor rgb="FFFFCC00"/>
        <bgColor rgb="FFFFFF00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55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8"/>
    <col collapsed="false" customWidth="true" hidden="false" outlineLevel="0" max="13" min="13" style="0" width="22"/>
    <col collapsed="false" customWidth="true" hidden="false" outlineLevel="0" max="14" min="14" style="0" width="24"/>
    <col collapsed="false" customWidth="true" hidden="false" outlineLevel="0" max="15" min="15" style="0" width="22"/>
    <col collapsed="false" customWidth="true" hidden="false" outlineLevel="0" max="16" min="16" style="0" width="16"/>
    <col collapsed="false" customWidth="true" hidden="false" outlineLevel="0" max="17" min="17" style="0" width="28"/>
    <col collapsed="false" customWidth="true" hidden="false" outlineLevel="0" max="18" min="18" style="0" width="45"/>
    <col collapsed="false" customWidth="true" hidden="false" outlineLevel="0" max="19" min="19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60" hidden="false" customHeight="tru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n">
        <v>5</v>
      </c>
      <c r="I2" s="2" t="n">
        <v>5</v>
      </c>
      <c r="J2" s="2" t="n">
        <f aca="false">H2*I2</f>
        <v>25</v>
      </c>
      <c r="K2" s="3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</row>
    <row r="3" customFormat="false" ht="60" hidden="false" customHeight="true" outlineLevel="0" collapsed="false">
      <c r="A3" s="4" t="s">
        <v>35</v>
      </c>
      <c r="B3" s="4" t="s">
        <v>20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25</v>
      </c>
      <c r="H3" s="4" t="n">
        <v>4</v>
      </c>
      <c r="I3" s="4" t="n">
        <v>5</v>
      </c>
      <c r="J3" s="4" t="n">
        <f aca="false">H3*I3</f>
        <v>20</v>
      </c>
      <c r="K3" s="3" t="s">
        <v>26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32</v>
      </c>
      <c r="R3" s="4" t="s">
        <v>45</v>
      </c>
      <c r="S3" s="4" t="s">
        <v>34</v>
      </c>
    </row>
    <row r="4" customFormat="false" ht="60" hidden="false" customHeight="true" outlineLevel="0" collapsed="false">
      <c r="A4" s="2" t="s">
        <v>46</v>
      </c>
      <c r="B4" s="2" t="s">
        <v>20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n">
        <v>4</v>
      </c>
      <c r="I4" s="2" t="n">
        <v>4</v>
      </c>
      <c r="J4" s="2" t="n">
        <f aca="false">H4*I4</f>
        <v>16</v>
      </c>
      <c r="K4" s="5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32</v>
      </c>
      <c r="R4" s="2" t="s">
        <v>58</v>
      </c>
      <c r="S4" s="2" t="s">
        <v>34</v>
      </c>
    </row>
    <row r="5" customFormat="false" ht="60" hidden="false" customHeight="true" outlineLevel="0" collapsed="false">
      <c r="A5" s="4" t="s">
        <v>59</v>
      </c>
      <c r="B5" s="4" t="s">
        <v>20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n">
        <v>3</v>
      </c>
      <c r="I5" s="4" t="n">
        <v>4</v>
      </c>
      <c r="J5" s="4" t="n">
        <f aca="false">H5*I5</f>
        <v>12</v>
      </c>
      <c r="K5" s="5" t="s">
        <v>52</v>
      </c>
      <c r="L5" s="4" t="s">
        <v>65</v>
      </c>
      <c r="M5" s="4" t="s">
        <v>66</v>
      </c>
      <c r="N5" s="4" t="s">
        <v>67</v>
      </c>
      <c r="O5" s="4" t="s">
        <v>68</v>
      </c>
      <c r="P5" s="4" t="s">
        <v>69</v>
      </c>
      <c r="Q5" s="4" t="s">
        <v>32</v>
      </c>
      <c r="R5" s="4" t="s">
        <v>70</v>
      </c>
      <c r="S5" s="4" t="s">
        <v>34</v>
      </c>
    </row>
    <row r="6" customFormat="false" ht="60" hidden="false" customHeight="true" outlineLevel="0" collapsed="false">
      <c r="A6" s="2" t="s">
        <v>71</v>
      </c>
      <c r="B6" s="2" t="s">
        <v>20</v>
      </c>
      <c r="C6" s="2" t="s">
        <v>47</v>
      </c>
      <c r="D6" s="2" t="s">
        <v>72</v>
      </c>
      <c r="E6" s="2" t="s">
        <v>73</v>
      </c>
      <c r="F6" s="2" t="s">
        <v>74</v>
      </c>
      <c r="G6" s="2" t="s">
        <v>75</v>
      </c>
      <c r="H6" s="2" t="n">
        <v>3</v>
      </c>
      <c r="I6" s="2" t="n">
        <v>3</v>
      </c>
      <c r="J6" s="2" t="n">
        <f aca="false">H6*I6</f>
        <v>9</v>
      </c>
      <c r="K6" s="6" t="s">
        <v>76</v>
      </c>
      <c r="L6" s="2" t="s">
        <v>77</v>
      </c>
      <c r="M6" s="2" t="s">
        <v>78</v>
      </c>
      <c r="N6" s="2" t="s">
        <v>79</v>
      </c>
      <c r="O6" s="2" t="s">
        <v>80</v>
      </c>
      <c r="P6" s="2" t="s">
        <v>81</v>
      </c>
      <c r="Q6" s="2" t="s">
        <v>32</v>
      </c>
      <c r="R6" s="2" t="s">
        <v>82</v>
      </c>
      <c r="S6" s="2" t="s">
        <v>34</v>
      </c>
    </row>
    <row r="7" customFormat="false" ht="60" hidden="false" customHeight="true" outlineLevel="0" collapsed="false">
      <c r="A7" s="4" t="s">
        <v>83</v>
      </c>
      <c r="B7" s="4" t="s">
        <v>20</v>
      </c>
      <c r="C7" s="4" t="s">
        <v>84</v>
      </c>
      <c r="D7" s="4" t="s">
        <v>85</v>
      </c>
      <c r="E7" s="4" t="s">
        <v>86</v>
      </c>
      <c r="F7" s="4" t="s">
        <v>87</v>
      </c>
      <c r="G7" s="4" t="s">
        <v>88</v>
      </c>
      <c r="H7" s="4" t="n">
        <v>3</v>
      </c>
      <c r="I7" s="4" t="n">
        <v>4</v>
      </c>
      <c r="J7" s="4" t="n">
        <f aca="false">H7*I7</f>
        <v>12</v>
      </c>
      <c r="K7" s="5" t="s">
        <v>52</v>
      </c>
      <c r="L7" s="4" t="s">
        <v>89</v>
      </c>
      <c r="M7" s="4" t="s">
        <v>90</v>
      </c>
      <c r="N7" s="4" t="s">
        <v>91</v>
      </c>
      <c r="O7" s="4" t="s">
        <v>92</v>
      </c>
      <c r="P7" s="4" t="s">
        <v>32</v>
      </c>
      <c r="Q7" s="4" t="s">
        <v>93</v>
      </c>
      <c r="R7" s="4" t="s">
        <v>94</v>
      </c>
      <c r="S7" s="4" t="s">
        <v>34</v>
      </c>
    </row>
    <row r="8" customFormat="false" ht="60" hidden="false" customHeight="true" outlineLevel="0" collapsed="false">
      <c r="A8" s="2" t="s">
        <v>95</v>
      </c>
      <c r="B8" s="2" t="s">
        <v>20</v>
      </c>
      <c r="C8" s="2" t="s">
        <v>96</v>
      </c>
      <c r="D8" s="2" t="s">
        <v>97</v>
      </c>
      <c r="E8" s="2" t="s">
        <v>98</v>
      </c>
      <c r="F8" s="2" t="s">
        <v>99</v>
      </c>
      <c r="G8" s="2" t="s">
        <v>100</v>
      </c>
      <c r="H8" s="2" t="n">
        <v>2</v>
      </c>
      <c r="I8" s="2" t="n">
        <v>3</v>
      </c>
      <c r="J8" s="2" t="n">
        <f aca="false">H8*I8</f>
        <v>6</v>
      </c>
      <c r="K8" s="6" t="s">
        <v>76</v>
      </c>
      <c r="L8" s="2" t="s">
        <v>101</v>
      </c>
      <c r="M8" s="2" t="s">
        <v>102</v>
      </c>
      <c r="N8" s="2" t="s">
        <v>103</v>
      </c>
      <c r="O8" s="2" t="s">
        <v>104</v>
      </c>
      <c r="P8" s="2" t="s">
        <v>105</v>
      </c>
      <c r="Q8" s="2" t="s">
        <v>106</v>
      </c>
      <c r="R8" s="2" t="s">
        <v>107</v>
      </c>
      <c r="S8" s="2" t="s">
        <v>108</v>
      </c>
    </row>
  </sheetData>
  <autoFilter ref="A1:S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7" t="s">
        <v>10</v>
      </c>
      <c r="B1" s="7" t="s">
        <v>109</v>
      </c>
    </row>
    <row r="2" customFormat="false" ht="15" hidden="false" customHeight="false" outlineLevel="0" collapsed="false">
      <c r="A2" s="8" t="s">
        <v>26</v>
      </c>
      <c r="B2" s="9" t="n">
        <f aca="false">COUNTIF('Risk Register'!K:K,A2)</f>
        <v>2</v>
      </c>
    </row>
    <row r="3" customFormat="false" ht="15" hidden="false" customHeight="false" outlineLevel="0" collapsed="false">
      <c r="A3" s="10" t="s">
        <v>52</v>
      </c>
      <c r="B3" s="9" t="n">
        <f aca="false">COUNTIF('Risk Register'!K:K,A3)</f>
        <v>3</v>
      </c>
    </row>
    <row r="4" customFormat="false" ht="15" hidden="false" customHeight="false" outlineLevel="0" collapsed="false">
      <c r="A4" s="11" t="s">
        <v>76</v>
      </c>
      <c r="B4" s="9" t="n">
        <f aca="false">COUNTIF('Risk Register'!K:K,A4)</f>
        <v>2</v>
      </c>
    </row>
    <row r="5" customFormat="false" ht="15" hidden="false" customHeight="false" outlineLevel="0" collapsed="false">
      <c r="A5" s="12" t="s">
        <v>110</v>
      </c>
      <c r="B5" s="9" t="n">
        <f aca="false">COUNTIF('Risk Register'!K:K,A5)</f>
        <v>0</v>
      </c>
    </row>
    <row r="6" customFormat="false" ht="15" hidden="false" customHeight="false" outlineLevel="0" collapsed="false">
      <c r="A6" s="13" t="s">
        <v>111</v>
      </c>
      <c r="B6" s="14" t="s">
        <v>20</v>
      </c>
    </row>
    <row r="7" customFormat="false" ht="15" hidden="false" customHeight="false" outlineLevel="0" collapsed="false">
      <c r="A7" s="13" t="s">
        <v>112</v>
      </c>
      <c r="B7" s="14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2026-06-01T10:04:52Z</dcterms:created>
  <dc:creator>openpyxl</dc:creator>
  <dc:description/>
  <dc:language>en-US</dc:language>
  <cp:lastModifiedBy/>
  <dcterms:modified xsi:type="dcterms:W3CDTF">2026-06-01T10:04:52Z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