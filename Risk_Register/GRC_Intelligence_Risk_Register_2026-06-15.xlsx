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</fonts>
  <fills count="13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</fills>
  <borders count="2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</t>
        </is>
      </c>
    </row>
    <row r="2" ht="18" customHeight="1" s="42">
      <c r="A2" s="44" t="inlineStr">
        <is>
          <t>Sources: CISA KEV | US-CERT | NIST NVD | AWS/Azure Bulletins | AI Governance Updates   |   Frameworks: NIST CSF 2.0 | ISO 27001 | NIST 800-53 | CIS Controls | NIST AI RMF | ISO 42001 | EU AI Act   |   Last Updated: 2026-05-29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4"/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2026-05-29</t>
        </is>
      </c>
      <c r="X8" s="51" t="inlineStr">
        <is>
          <t>Regulatory deadline risk. EU AI Act enforcement begins Aug 2026. High-risk classification triggers conformity assessment requirement.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53" t="inlineStr">
        <is>
          <t>NIST CSF 2.0 PR.PS-02/DE.CM-09 | NIST 800-53 SI-2/CM-2/CM-6/RA-5 | ISO 27001 A.8.8/A.8.9 | CIS Control 7/4</t>
        </is>
      </c>
      <c r="H10" s="53" t="inlineStr">
        <is>
          <t>SI-2, CM-6, RA-5</t>
        </is>
      </c>
      <c r="I10" s="53" t="n">
        <v>3</v>
      </c>
      <c r="J10" s="53" t="n">
        <v>4</v>
      </c>
      <c r="K10" s="52" t="n">
        <v>12</v>
      </c>
      <c r="L10" s="52" t="inlineStr">
        <is>
          <t>High</t>
        </is>
      </c>
      <c r="M10" s="52" t="inlineStr">
        <is>
          <t>High</t>
        </is>
      </c>
      <c r="N10" s="52" t="inlineStr">
        <is>
          <t>AWS-managed control planes patched; customer self-managed compute (EKS/EC2/Bottlerocket) requires manual node rotation</t>
        </is>
      </c>
      <c r="O10" s="52" t="inlineStr">
        <is>
          <t>Medium</t>
        </is>
      </c>
      <c r="P10" s="5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Q10" s="52" t="inlineStr">
        <is>
          <t>Control 7 (7.4) / Control 4</t>
        </is>
      </c>
      <c r="R10" s="53" t="inlineStr">
        <is>
          <t>Cloud Platform Engineering</t>
        </is>
      </c>
      <c r="S10" s="52" t="inlineStr">
        <is>
          <t>Open</t>
        </is>
      </c>
      <c r="T10" s="53" t="inlineStr">
        <is>
          <t>2026-06-22</t>
        </is>
      </c>
      <c r="U10" s="52" t="inlineStr">
        <is>
          <t>2026-06-15</t>
        </is>
      </c>
      <c r="V10" s="52" t="inlineStr">
        <is>
          <t>Shared-responsibility seam — AWS patches control plane only; full case bundle in Cloud-Security/2026-06-AWS-Bulletin-Linux-Kernel-CopyFail REVISED 2026-06-15 — AWS Fargate patches deployed all regions by June 15. Customer EKS/Bottlerocket/EC2 action still required; Likelihood reduced 4→3.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53" t="inlineStr">
        <is>
          <t>NIST CSF 2.0 PR.AA-03/DE.CM-03/GV.SC-06 | NIST 800-53 IA-2/AC-3/SC-7/CA-7 | ISO 27001 A.5.15/A.8.5/A.5.23 | CIS Control 6/13</t>
        </is>
      </c>
      <c r="H11" s="53" t="inlineStr">
        <is>
          <t>IA-2, AC-3, SC-7</t>
        </is>
      </c>
      <c r="I11" s="53" t="n">
        <v>3</v>
      </c>
      <c r="J11" s="53" t="n">
        <v>5</v>
      </c>
      <c r="K11" s="52" t="n">
        <v>15</v>
      </c>
      <c r="L11" s="52" t="inlineStr">
        <is>
          <t>High</t>
        </is>
      </c>
      <c r="M11" s="52" t="inlineStr">
        <is>
          <t>Critical</t>
        </is>
      </c>
      <c r="N11" s="52" t="inlineStr">
        <is>
          <t>Microsoft platform-side patch pipeline (vendor-controlled); Entra ID conditional access as tenant-side compensating control</t>
        </is>
      </c>
      <c r="O11" s="52" t="inlineStr">
        <is>
          <t>Low</t>
        </is>
      </c>
      <c r="P11" s="5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Q11" s="52" t="inlineStr">
        <is>
          <t>Control 6 / Control 13</t>
        </is>
      </c>
      <c r="R11" s="53" t="inlineStr">
        <is>
          <t>Cloud Security Architecture</t>
        </is>
      </c>
      <c r="S11" s="52" t="inlineStr">
        <is>
          <t>Open</t>
        </is>
      </c>
      <c r="T11" s="53" t="inlineStr">
        <is>
          <t>2026-06-15</t>
        </is>
      </c>
      <c r="U11" s="52" t="inlineStr">
        <is>
          <t>2026-06-08</t>
        </is>
      </c>
      <c r="V11" s="52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53" t="inlineStr">
        <is>
          <t>NIST CSF 2.0 PR.PS-02/DE.CM-01/RS.AN-03 | NIST 800-53 SI-2/SI-3/SI-10/IR-4 | ISO 27001 A.8.8/A.8.28/A.8.16 | CIS Control 16/7/17 | PCI-DSS v4.0 Req 6.3.3/11.3</t>
        </is>
      </c>
      <c r="H12" s="53" t="inlineStr">
        <is>
          <t>SI-2, SI-3, SI-10</t>
        </is>
      </c>
      <c r="I12" s="53" t="n">
        <v>5</v>
      </c>
      <c r="J12" s="53" t="n">
        <v>5</v>
      </c>
      <c r="K12" s="52" t="n">
        <v>25</v>
      </c>
      <c r="L12" s="52" t="inlineStr">
        <is>
          <t>Critical</t>
        </is>
      </c>
      <c r="M12" s="52" t="inlineStr">
        <is>
          <t>Critical</t>
        </is>
      </c>
      <c r="N12" s="52" t="inlineStr">
        <is>
          <t>WAF signatures (Imperva) available as interim compensating control; PCI-mandated file-integrity monitoring may detect web-shell drops</t>
        </is>
      </c>
      <c r="O12" s="52" t="inlineStr">
        <is>
          <t>Low</t>
        </is>
      </c>
      <c r="P12" s="5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Q12" s="52" t="inlineStr">
        <is>
          <t>Control 16 (16.13) / Control 7</t>
        </is>
      </c>
      <c r="R12" s="53" t="inlineStr">
        <is>
          <t>Application Security / E-commerce Engineering</t>
        </is>
      </c>
      <c r="S12" s="52" t="inlineStr">
        <is>
          <t>Open — Expedited</t>
        </is>
      </c>
      <c r="T12" s="53" t="inlineStr">
        <is>
          <t>2026-06-10</t>
        </is>
      </c>
      <c r="U12" s="52" t="inlineStr">
        <is>
          <t>2026-06-08</t>
        </is>
      </c>
      <c r="V12" s="52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closes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53" t="inlineStr">
        <is>
          <t>NIST AI RMF GOVERN/MAP (1.1, 5.1) | ISO 42001 Clauses 6.1.2/8.4/4.1 | EU AI Act Article 6/Annex III | GDPR Article 35 (DPIA overlap)</t>
        </is>
      </c>
      <c r="H13" s="53" t="inlineStr">
        <is>
          <t>GOVERN, MAP</t>
        </is>
      </c>
      <c r="I13" s="53" t="n">
        <v>3</v>
      </c>
      <c r="J13" s="53" t="n">
        <v>3</v>
      </c>
      <c r="K13" s="52" t="n">
        <v>9</v>
      </c>
      <c r="L13" s="52" t="inlineStr">
        <is>
          <t>Medium</t>
        </is>
      </c>
      <c r="M13" s="52" t="inlineStr">
        <is>
          <t>Medium-High</t>
        </is>
      </c>
      <c r="N13" s="52" t="inlineStr">
        <is>
          <t>Existing ISO 42001 risk-assessment processes (where implemented) and NIST AI RMF MAP practices provide a transferable methodology for classification</t>
        </is>
      </c>
      <c r="O13" s="52" t="inlineStr">
        <is>
          <t>Low</t>
        </is>
      </c>
      <c r="P13" s="5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Q13" s="52" t="inlineStr">
        <is>
          <t>N/A — Regulatory/Governance</t>
        </is>
      </c>
      <c r="R13" s="53" t="inlineStr">
        <is>
          <t>AI Governance Lead</t>
        </is>
      </c>
      <c r="S13" s="52" t="inlineStr">
        <is>
          <t>Open — Proactive</t>
        </is>
      </c>
      <c r="T13" s="53" t="inlineStr">
        <is>
          <t>2026-09-08</t>
        </is>
      </c>
      <c r="U13" s="52" t="inlineStr">
        <is>
          <t>2026-06-08</t>
        </is>
      </c>
      <c r="V13" s="52" t="inlineStr">
        <is>
          <t>18-month runway to Dec 2027 milestone; full bundle in AI-Governance/2026-06-EU-AI-Act-HighRisk-Classification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53" t="inlineStr">
        <is>
          <t>NIST CSF 2.0 PR.PS-02/DE.CM-09 | NIST 800-53 SI-2/CM-6 | ISO 27001 A.8.8 | CIS Control 4 (Mobile/BYOD)</t>
        </is>
      </c>
      <c r="H14" s="53" t="inlineStr">
        <is>
          <t>SI-2, CM-6</t>
        </is>
      </c>
      <c r="I14" s="53" t="n">
        <v>4</v>
      </c>
      <c r="J14" s="53" t="n">
        <v>3</v>
      </c>
      <c r="K14" s="52" t="n">
        <v>12</v>
      </c>
      <c r="L14" s="52" t="inlineStr">
        <is>
          <t>High</t>
        </is>
      </c>
      <c r="M14" s="52" t="inlineStr">
        <is>
          <t>Medium</t>
        </is>
      </c>
      <c r="N14" s="52" t="inlineStr">
        <is>
          <t>MDM/UEM enforcement of OS patch-level baselines on managed devices; app-vetting controls limiting locally-installed untrusted apps</t>
        </is>
      </c>
      <c r="O14" s="52" t="inlineStr">
        <is>
          <t>Low</t>
        </is>
      </c>
      <c r="P14" s="53" t="inlineStr">
        <is>
          <t>Push June 2026 Android security patch level to all managed/BYOD devices via MDM/UEM within 7 days; flag any device failing to report patched build for conditional-access restriction</t>
        </is>
      </c>
      <c r="Q14" s="52" t="inlineStr">
        <is>
          <t>Control 4</t>
        </is>
      </c>
      <c r="R14" s="53" t="inlineStr">
        <is>
          <t>Endpoint / Mobility Engineering</t>
        </is>
      </c>
      <c r="S14" s="52" t="inlineStr">
        <is>
          <t>Open</t>
        </is>
      </c>
      <c r="T14" s="53" t="inlineStr">
        <is>
          <t>2026-06-15</t>
        </is>
      </c>
      <c r="U14" s="52" t="inlineStr">
        <is>
          <t>2026-06-08</t>
        </is>
      </c>
      <c r="V14" s="52" t="inlineStr">
        <is>
          <t>Register entry only — mobile/endpoint scope did not meet full-bundle threshold (no direct AWS/IAM/CSPM/AI-platform nexus); monitor for KEV escalation</t>
        </is>
      </c>
    </row>
    <row r="15">
      <c r="A15" s="52" t="inlineStr">
        <is>
          <t>RR-011</t>
        </is>
      </c>
      <c r="B15" s="53" t="inlineStr">
        <is>
          <t>2026-06-15</t>
        </is>
      </c>
      <c r="C15" s="53" t="inlineStr">
        <is>
          <t>CISA KEV</t>
        </is>
      </c>
      <c r="D15" s="53" t="inlineStr">
        <is>
          <t>CVE-2026-35273</t>
        </is>
      </c>
      <c r="E15" s="53" t="inlineStr">
        <is>
          <t>Oracle PeopleSoft Enterprise PeopleTools (EMHub) — Missing authentication for critical function enabling unauthenticated RCE; CVSS 9.8; zero-day exploited by UNC6240 (ShinyHunters) May 27–June 9, 2026; active extortion campaign</t>
        </is>
      </c>
      <c r="F15" s="52" t="inlineStr">
        <is>
          <t>IT-OT-Threats / Financial-Services</t>
        </is>
      </c>
      <c r="G15" s="53" t="inlineStr">
        <is>
          <t>ERP Platform (HR, Finance, Student Administration)</t>
        </is>
      </c>
      <c r="H15" s="53" t="inlineStr">
        <is>
          <t>Oracle PeopleSoft PeopleTools 8.61 / 8.62</t>
        </is>
      </c>
      <c r="I15" s="53" t="inlineStr">
        <is>
          <t>NIST CSF 2.0: PR.PS-04/DE.CM-01/RS.AN-03/RS.MI-02 | NIST 800-53: SI-2/IA-2/AC-3/SI-10/IR-4/AU-6 | ISO 27001: A.8.8/A.5.15/A.8.5/A.5.26 | CIS Control 7/12/17</t>
        </is>
      </c>
      <c r="J15" s="53" t="inlineStr">
        <is>
          <t>SI-2, IA-2, AC-3, IR-4</t>
        </is>
      </c>
      <c r="K15" s="52" t="n">
        <v>5</v>
      </c>
      <c r="L15" s="52" t="n">
        <v>5</v>
      </c>
      <c r="M15" s="52" t="n">
        <v>25</v>
      </c>
      <c r="N15" s="52" t="inlineStr">
        <is>
          <t>Critical</t>
        </is>
      </c>
      <c r="O15" s="52" t="inlineStr">
        <is>
          <t>Critical</t>
        </is>
      </c>
      <c r="P15" s="53" t="inlineStr">
        <is>
          <t>Network perimeter firewall; SIEM monitoring; vulnerability scanning (signatures not available during zero-day window)</t>
        </is>
      </c>
      <c r="Q15" s="52" t="inlineStr">
        <is>
          <t>Critical (without patch); High with VPN-only access compensating control</t>
        </is>
      </c>
      <c r="R15" s="53" t="inlineStr">
        <is>
          <t>Apply Oracle emergency patch for CVE-2026-35273 to all PeopleTools 8.61/8.62 by June 22; restrict internet-facing PeopleSoft portals to VPN/internal access immediately; conduct threat hunt for UNC6240 IOCs from Mandiant June 11 report; engage IR retainer if IOCs found; assess SEC 4-day disclosure obligation if breach confirmed</t>
        </is>
      </c>
      <c r="S15" s="52" t="inlineStr">
        <is>
          <t>CIS Control 7.4 / CIS Control 17.4 / CIS Control 12.2</t>
        </is>
      </c>
      <c r="T15" s="53" t="inlineStr">
        <is>
          <t>Enterprise Application Engineering / GRC</t>
        </is>
      </c>
      <c r="U15" s="52" t="inlineStr">
        <is>
          <t>Open — Emergency</t>
        </is>
      </c>
      <c r="V15" s="52" t="inlineStr">
        <is>
          <t>2026-06-22</t>
        </is>
      </c>
      <c r="W15" s="52" t="inlineStr">
        <is>
          <t>2026-06-15</t>
        </is>
      </c>
      <c r="X15" s="53" t="inlineStr">
        <is>
          <t>CISA KEV added 2026-06-12; federal due date 2026-07-03 (BOD 26-04); zero-day exploited by ShinyHunters (UNC6240) extortion campaign; Oracle out-of-band patch available June 12; full bundle in IT-OT-Threats/2026-06-CISA-KEV-Oracle-PeopleSoft</t>
        </is>
      </c>
    </row>
    <row r="16">
      <c r="A16" s="52" t="inlineStr">
        <is>
          <t>RR-012</t>
        </is>
      </c>
      <c r="B16" s="53" t="inlineStr">
        <is>
          <t>2026-06-15</t>
        </is>
      </c>
      <c r="C16" s="53" t="inlineStr">
        <is>
          <t>MSRC</t>
        </is>
      </c>
      <c r="D16" s="53" t="inlineStr">
        <is>
          <t>CVE-2026-45657</t>
        </is>
      </c>
      <c r="E16" s="53" t="inlineStr">
        <is>
          <t>Windows Kernel use-after-free RCE — wormable; CVSS 9.8; unauthenticated network attack, no user interaction; SYSTEM-level code execution; self-propagating exploit profile comparable to EternalBlue/WannaCry (June 2026 Patch Tuesday)</t>
        </is>
      </c>
      <c r="F16" s="52" t="inlineStr">
        <is>
          <t>Cloud-Security / IT-OT-Threats</t>
        </is>
      </c>
      <c r="G16" s="53" t="inlineStr">
        <is>
          <t>Windows Endpoints / Servers / Azure IaaS VMs / AWS EC2 Windows</t>
        </is>
      </c>
      <c r="H16" s="53" t="inlineStr">
        <is>
          <t>Windows 10, Windows 11, Windows Server 2019/2022/2025 (all supported versions)</t>
        </is>
      </c>
      <c r="I16" s="53" t="inlineStr">
        <is>
          <t>NIST CSF 2.0: PR.PS-04/PR.IR-01/DE.CM-09/RC.RP-01 | NIST 800-53: SI-2/CM-6/SC-7/CP-9/RA-5 | ISO 27001: A.8.8/A.8.9/A.8.22/A.8.13 | CIS Control 7/4/11/12</t>
        </is>
      </c>
      <c r="J16" s="53" t="inlineStr">
        <is>
          <t>SI-2, CM-6, SC-7, CP-9</t>
        </is>
      </c>
      <c r="K16" s="52" t="n">
        <v>4</v>
      </c>
      <c r="L16" s="52" t="n">
        <v>5</v>
      </c>
      <c r="M16" s="52" t="n">
        <v>20</v>
      </c>
      <c r="N16" s="52" t="inlineStr">
        <is>
          <t>Critical</t>
        </is>
      </c>
      <c r="O16" s="52" t="inlineStr">
        <is>
          <t>Critical</t>
        </is>
      </c>
      <c r="P16" s="53" t="inlineStr">
        <is>
          <t>Endpoint patch management (WSUS/Intune/SSM); network segmentation (NSGs/SGs/VPC); EDR (CrowdStrike/Defender); SMB east-west blocking partially implemented</t>
        </is>
      </c>
      <c r="Q16" s="52" t="inlineStr">
        <is>
          <t>High (without full patch deployment); Low after patch complete</t>
        </is>
      </c>
      <c r="R16" s="53" t="inlineStr">
        <is>
          <t>Deploy June 2026 Windows cumulative update to ALL endpoints and servers within 72 hours (by June 18); prioritize internet-facing, DCs, and cloud VMs; block SMB (TCP 445) between network segments immediately as worm containment control; verify immutable backups exist before possible exploitation; use Azure Update Manager / AWS SSM Patch Manager for cloud VM compliance</t>
        </is>
      </c>
      <c r="S16" s="52" t="inlineStr">
        <is>
          <t>CIS Control 7.4 / CIS Control 12.2 / CIS Control 11.2</t>
        </is>
      </c>
      <c r="T16" s="53" t="inlineStr">
        <is>
          <t>Cloud Platform Engineering / Endpoint Engineering</t>
        </is>
      </c>
      <c r="U16" s="52" t="inlineStr">
        <is>
          <t>Open — Emergency</t>
        </is>
      </c>
      <c r="V16" s="52" t="inlineStr">
        <is>
          <t>2026-06-18</t>
        </is>
      </c>
      <c r="W16" s="52" t="inlineStr">
        <is>
          <t>2026-06-15</t>
        </is>
      </c>
      <c r="X16" s="53" t="inlineStr">
        <is>
          <t>No confirmed exploitation at disclosure; wormable profile = treat as imminent (ZDI EternalBlue comparison); June 2026 Patch Tuesday (198 CVEs, largest ever); full bundle in Cloud-Security/2026-06-MSRC-PatchTuesday-WormableKernel</t>
        </is>
      </c>
    </row>
    <row r="17">
      <c r="A17" s="52" t="inlineStr">
        <is>
          <t>RR-013</t>
        </is>
      </c>
      <c r="B17" s="53" t="inlineStr">
        <is>
          <t>2026-06-15</t>
        </is>
      </c>
      <c r="C17" s="53" t="inlineStr">
        <is>
          <t>MSRC</t>
        </is>
      </c>
      <c r="D17" s="53" t="inlineStr">
        <is>
          <t>CVE-2026-47291</t>
        </is>
      </c>
      <c r="E17" s="53" t="inlineStr">
        <is>
          <t>Windows HTTP Protocol Stack (HTTP.sys) integer overflow/heap overflow RCE; CVSS 9.8; unauthenticated; single malicious HTTP packet achieves full server RCE; configurable registry mitigation available (MaxRequestBytes ≤ 65534) (June 2026 Patch Tuesday)</t>
        </is>
      </c>
      <c r="F17" s="52" t="inlineStr">
        <is>
          <t>Cloud-Security / IT-OT-Threats</t>
        </is>
      </c>
      <c r="G17" s="53" t="inlineStr">
        <is>
          <t>Internet-facing Windows Web Servers / Azure IaaS IIS / Cloud-hosted Web Infrastructure</t>
        </is>
      </c>
      <c r="H17" s="53" t="inlineStr">
        <is>
          <t>Windows HTTP.sys (all IIS/HTTP.sys-exposed Windows Server versions)</t>
        </is>
      </c>
      <c r="I17" s="53" t="inlineStr">
        <is>
          <t>NIST CSF 2.0: PR.PS-04/PR.PS-02/DE.CM-09 | NIST 800-53: SI-2/CM-6/SC-5/SC-7 | ISO 27001: A.8.8/A.8.9 | CIS Control 7/4/12</t>
        </is>
      </c>
      <c r="J17" s="53" t="inlineStr">
        <is>
          <t>SI-2, CM-6, SC-7</t>
        </is>
      </c>
      <c r="K17" s="52" t="n">
        <v>4</v>
      </c>
      <c r="L17" s="52" t="n">
        <v>5</v>
      </c>
      <c r="M17" s="52" t="n">
        <v>20</v>
      </c>
      <c r="N17" s="52" t="inlineStr">
        <is>
          <t>Critical</t>
        </is>
      </c>
      <c r="O17" s="52" t="inlineStr">
        <is>
          <t>Critical</t>
        </is>
      </c>
      <c r="P17" s="53" t="inlineStr">
        <is>
          <t>WAF; NSG inbound HTTP restrictions; endpoint patch management</t>
        </is>
      </c>
      <c r="Q17" s="52" t="inlineStr">
        <is>
          <t>Medium (with MaxRequestBytes registry workaround); Low after June 2026 patch applied</t>
        </is>
      </c>
      <c r="R17" s="53" t="inlineStr">
        <is>
          <t>IMMEDIATE: Set MaxRequestBytes registry value ≤ 65534 (default 16384) on all IIS/HTTP.sys servers via GPO/SSM — eliminates exposure without reboot. Then: apply June 2026 cumulative update to all internet-facing Windows web servers by June 16. Remove registry workaround after patch confirmed installed.</t>
        </is>
      </c>
      <c r="S17" s="52" t="inlineStr">
        <is>
          <t>CIS Control 7.4 / CIS Control 4.1</t>
        </is>
      </c>
      <c r="T17" s="53" t="inlineStr">
        <is>
          <t>Cloud Platform Engineering / Windows Sysadmin</t>
        </is>
      </c>
      <c r="U17" s="52" t="inlineStr">
        <is>
          <t>Open — Emergency</t>
        </is>
      </c>
      <c r="V17" s="52" t="inlineStr">
        <is>
          <t>2026-06-16</t>
        </is>
      </c>
      <c r="W17" s="52" t="inlineStr">
        <is>
          <t>2026-06-15</t>
        </is>
      </c>
      <c r="X17" s="53" t="inlineStr">
        <is>
          <t>Registry compensating control available immediately (no reboot required); full bundle in Cloud-Security/2026-06-MSRC-PatchTuesday-WormableKernel (combined with RR-012)</t>
        </is>
      </c>
    </row>
    <row r="18">
      <c r="A18" s="52" t="inlineStr">
        <is>
          <t>RR-014</t>
        </is>
      </c>
      <c r="B18" s="53" t="inlineStr">
        <is>
          <t>2026-06-15</t>
        </is>
      </c>
      <c r="C18" s="53" t="inlineStr">
        <is>
          <t>CISA KEV</t>
        </is>
      </c>
      <c r="D18" s="53" t="inlineStr">
        <is>
          <t>CVE-2026-7473</t>
        </is>
      </c>
      <c r="E18" s="53" t="inlineStr">
        <is>
          <t>Arista Networks EOS incomplete comparison vulnerability — processes non-configured tunnel traffic, bypassing tunnel policy enforcement; CVSS 6.9; actively exploited; NO VENDOR PATCH PLANNED</t>
        </is>
      </c>
      <c r="F18" s="52" t="inlineStr">
        <is>
          <t>IT-OT-Threats</t>
        </is>
      </c>
      <c r="G18" s="53" t="inlineStr">
        <is>
          <t>Enterprise Network Infrastructure / WAN / Data Center Switching</t>
        </is>
      </c>
      <c r="H18" s="53" t="inlineStr">
        <is>
          <t>Arista EOS (all affected versions with tunnel configurations)</t>
        </is>
      </c>
      <c r="I18" s="53" t="inlineStr">
        <is>
          <t>NIST CSF 2.0: PR.IR-01/DE.CM-01/GV.RM-06 | NIST 800-53: SC-7/AC-4/SI-4/RA-3 | ISO 27001: A.8.22/A.8.16/A.8.9 | CIS Control 12/13 | IEC 62443 Zone/Conduit model</t>
        </is>
      </c>
      <c r="J18" s="53" t="inlineStr">
        <is>
          <t>SC-7, AC-4, SI-4</t>
        </is>
      </c>
      <c r="K18" s="52" t="n">
        <v>4</v>
      </c>
      <c r="L18" s="52" t="n">
        <v>4</v>
      </c>
      <c r="M18" s="52" t="n">
        <v>16</v>
      </c>
      <c r="N18" s="52" t="inlineStr">
        <is>
          <t>High</t>
        </is>
      </c>
      <c r="O18" s="52" t="inlineStr">
        <is>
          <t>High</t>
        </is>
      </c>
      <c r="P18" s="53" t="inlineStr">
        <is>
          <t>Network firewall; SIEM monitoring; existing tunnel configurations as intended (but now unreliable as security boundary)</t>
        </is>
      </c>
      <c r="Q18" s="52" t="inlineStr">
        <is>
          <t>Medium (with interface ACLs, NetFlow monitoring, and defense-in-depth inline firewall at critical boundaries)</t>
        </is>
      </c>
      <c r="R18" s="53" t="inlineStr">
        <is>
          <t>No patch available (vendor will not fix). Compensating controls: (1) Deploy explicit interface-level ACLs denying unexpected tunnel sources on all Arista EOS devices; (2) Enable NetFlow/sFlow telemetry on all affected devices with SIEM alerting for unexpected tunnel traffic; (3) For critical boundaries (OT/financial): deploy inline stateful firewall as defense-in-depth; (4) Execute formal risk acceptance with CISO/CRO sign-off by June 30.</t>
        </is>
      </c>
      <c r="S18" s="52" t="inlineStr">
        <is>
          <t>CIS Control 12.2 / CIS Control 13.6</t>
        </is>
      </c>
      <c r="T18" s="53" t="inlineStr">
        <is>
          <t>Network Engineering / GRC</t>
        </is>
      </c>
      <c r="U18" s="52" t="inlineStr">
        <is>
          <t>Open — Compensating Controls / Risk Acceptance</t>
        </is>
      </c>
      <c r="V18" s="52" t="inlineStr">
        <is>
          <t>2026-06-30</t>
        </is>
      </c>
      <c r="W18" s="52" t="inlineStr">
        <is>
          <t>2026-06-15</t>
        </is>
      </c>
      <c r="X18" s="53" t="inlineStr">
        <is>
          <t>CISA KEV added 2026-06-09; BOD 26-04 due date June 30; Arista confirmed no patch planned; permanent unpatched state requires formal risk acceptance; IEC 62443 zone integrity implications for OT environments; full bundle in IT-OT-Threats/2026-06-CISA-KEV-Arista-EOS</t>
        </is>
      </c>
    </row>
    <row r="19">
      <c r="A19" s="52" t="inlineStr">
        <is>
          <t>RR-015</t>
        </is>
      </c>
      <c r="B19" s="53" t="inlineStr">
        <is>
          <t>2026-06-15</t>
        </is>
      </c>
      <c r="C19" s="53" t="inlineStr">
        <is>
          <t>CISA KEV</t>
        </is>
      </c>
      <c r="D19" s="53" t="inlineStr">
        <is>
          <t>CVE-2026-11645</t>
        </is>
      </c>
      <c r="E19" s="53" t="inlineStr">
        <is>
          <t>Google Chromium V8 out-of-bounds read/write enabling sandbox escape and arbitrary code execution via crafted HTML page; CVSS 8.8; actively exploited via phishing/malvertising; also affects all Electron-based enterprise desktop apps (VS Code, Slack, etc.)</t>
        </is>
      </c>
      <c r="F19" s="52" t="inlineStr">
        <is>
          <t>IT-OT-Threats</t>
        </is>
      </c>
      <c r="G19" s="53" t="inlineStr">
        <is>
          <t>Enterprise Endpoints / User Workstations / Cloud Console Users</t>
        </is>
      </c>
      <c r="H19" s="53" t="inlineStr">
        <is>
          <t>Google Chrome, Microsoft Edge (Chromium), all Electron-based enterprise applications</t>
        </is>
      </c>
      <c r="I19" s="53" t="inlineStr">
        <is>
          <t>NIST CSF 2.0: PR.PS-04/DE.CM-04/PR.AT-01 | NIST 800-53: SI-2/SI-3/SC-18/AT-2 | ISO 27001: A.8.8/A.8.7/A.6.3/A.8.23 | CIS Control 7/9/14</t>
        </is>
      </c>
      <c r="J19" s="53" t="inlineStr">
        <is>
          <t>SI-2, SI-3, SC-18</t>
        </is>
      </c>
      <c r="K19" s="52" t="n">
        <v>5</v>
      </c>
      <c r="L19" s="52" t="n">
        <v>4</v>
      </c>
      <c r="M19" s="52" t="n">
        <v>20</v>
      </c>
      <c r="N19" s="52" t="inlineStr">
        <is>
          <t>Critical</t>
        </is>
      </c>
      <c r="O19" s="52" t="inlineStr">
        <is>
          <t>Critical</t>
        </is>
      </c>
      <c r="P19" s="53" t="inlineStr">
        <is>
          <t>Chrome auto-update (if not blocked); MDM/Intune browser policy; web content filtering; EDR endpoint protection; email security (DMARC/DKIM)</t>
        </is>
      </c>
      <c r="Q19" s="52" t="inlineStr">
        <is>
          <t>Medium (Chrome/Edge patched); pending Electron app inventory and vendor patch assessment</t>
        </is>
      </c>
      <c r="R19" s="53" t="inlineStr">
        <is>
          <t>Force Chrome and Edge update to latest stable via MDM/Intune — verify 100% compliance. Inventory all Electron-based enterprise apps and track embedded Chromium version for each. Push available Electron app updates; restrict unpatched Electron apps pending vendor fix. Update web filtering threat intel feeds. Send security awareness communication re: phishing/malvertising campaign.</t>
        </is>
      </c>
      <c r="S19" s="52" t="inlineStr">
        <is>
          <t>CIS Control 7.4 / CIS Control 9.2 / CIS Control 14.1</t>
        </is>
      </c>
      <c r="T19" s="53" t="inlineStr">
        <is>
          <t>Endpoint Engineering / SOC</t>
        </is>
      </c>
      <c r="U19" s="52" t="inlineStr">
        <is>
          <t>Open — Emergency</t>
        </is>
      </c>
      <c r="V19" s="52" t="inlineStr">
        <is>
          <t>2026-06-18</t>
        </is>
      </c>
      <c r="W19" s="52" t="inlineStr">
        <is>
          <t>2026-06-15</t>
        </is>
      </c>
      <c r="X19" s="53" t="inlineStr">
        <is>
          <t>CISA KEV added 2026-06-09; BOD 26-04 due date June 30; key risk: Electron app coverage gap — Chrome auto-update alone insufficient; exploit is silent (no user prompt); session theft from cloud console workers is highest-probability impact; full bundle in IT-OT-Threats/2026-06-CISA-KEV-Chrome-V8</t>
        </is>
      </c>
    </row>
    <row r="20">
      <c r="A20" s="52" t="inlineStr">
        <is>
          <t>RR-016</t>
        </is>
      </c>
      <c r="B20" s="53" t="inlineStr">
        <is>
          <t>2026-06-15</t>
        </is>
      </c>
      <c r="C20" s="53" t="inlineStr">
        <is>
          <t>CISA KEV</t>
        </is>
      </c>
      <c r="D20" s="53" t="inlineStr">
        <is>
          <t>CVE-2026-20245</t>
        </is>
      </c>
      <c r="E20" s="53" t="inlineStr">
        <is>
          <t>Cisco Catalyst SD-WAN Manager (vManage) authenticated local OS command injection enabling arbitrary command execution as root via crafted file; CVSS 7.8; actively exploited; root on SD-WAN Manager = control of entire enterprise WAN fabric</t>
        </is>
      </c>
      <c r="F20" s="52" t="inlineStr">
        <is>
          <t>IT-OT-Threats</t>
        </is>
      </c>
      <c r="G20" s="53" t="inlineStr">
        <is>
          <t>Enterprise WAN Infrastructure / Network Management Plane</t>
        </is>
      </c>
      <c r="H20" s="53" t="inlineStr">
        <is>
          <t>Cisco Catalyst SD-WAN Manager (vManage)</t>
        </is>
      </c>
      <c r="I20" s="53" t="inlineStr">
        <is>
          <t>NIST CSF 2.0: PR.AA-05/PR.PS-04/DE.CM-03 | NIST 800-53: SI-2/AC-6/AC-2/CM-3/AU-9 | ISO 27001: A.8.8/A.5.15/A.8.22/A.8.32 | CIS Control 5/7/8/12</t>
        </is>
      </c>
      <c r="J20" s="53" t="inlineStr">
        <is>
          <t>SI-2, AC-6, AC-2, CM-3</t>
        </is>
      </c>
      <c r="K20" s="52" t="n">
        <v>4</v>
      </c>
      <c r="L20" s="52" t="n">
        <v>5</v>
      </c>
      <c r="M20" s="52" t="n">
        <v>20</v>
      </c>
      <c r="N20" s="52" t="inlineStr">
        <is>
          <t>Critical</t>
        </is>
      </c>
      <c r="O20" s="52" t="inlineStr">
        <is>
          <t>Critical</t>
        </is>
      </c>
      <c r="P20" s="53" t="inlineStr">
        <is>
          <t>RBAC on vManage; network-level restriction (variable); audit logging; MFA (variable by org)</t>
        </is>
      </c>
      <c r="Q20" s="52" t="inlineStr">
        <is>
          <t>High until patched; Medium with MFA + management-segment restriction + audit alerting</t>
        </is>
      </c>
      <c r="R20" s="53" t="inlineStr">
        <is>
          <t>Apply Cisco security patch for CVE-2026-20245 immediately (target June 18). Simultaneously: audit all vManage accounts — remove inactive/shared accounts; enforce MFA on all admin accounts; restrict vManage to dedicated management network segment (no direct internet access); forward vManage audit logs to SIEM with alert on policy changes and file uploads; review logs from June 1–15 for exploitation indicators.</t>
        </is>
      </c>
      <c r="S20" s="52" t="inlineStr">
        <is>
          <t>CIS Control 5.4 / CIS Control 7.4 / CIS Control 8.2</t>
        </is>
      </c>
      <c r="T20" s="53" t="inlineStr">
        <is>
          <t>Network Engineering / IAM</t>
        </is>
      </c>
      <c r="U20" s="52" t="inlineStr">
        <is>
          <t>Open — Emergency</t>
        </is>
      </c>
      <c r="V20" s="52" t="inlineStr">
        <is>
          <t>2026-06-30</t>
        </is>
      </c>
      <c r="W20" s="52" t="inlineStr">
        <is>
          <t>2026-06-15</t>
        </is>
      </c>
      <c r="X20" s="53" t="inlineStr">
        <is>
          <t>CISA KEV added 2026-06-09; BOD 26-04 due date June 30; authentication prerequisite (insider/compromised account); root on vManage = WAN-wide control; complementary PAM hardening critical; full bundle in IT-OT-Threats/2026-06-CISA-KEV-Cisco-SDWAN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2026-06-15T10:26:41Z</dcterms:modified>
  <cp:revision>0</cp:revision>
</cp:coreProperties>
</file>