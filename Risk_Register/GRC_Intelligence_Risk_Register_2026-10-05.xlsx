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 Risk Register" sheetId="1" state="visible" r:id="rId1"/>
    <sheet xmlns:r="http://schemas.openxmlformats.org/officeDocument/2006/relationships" name="📊 Risk Dashboard" sheetId="2" state="visible" r:id="rId2"/>
    <sheet xmlns:r="http://schemas.openxmlformats.org/officeDocument/2006/relationships" name="🔥 Risk Heat Map" sheetId="3" state="visible" r:id="rId3"/>
    <sheet xmlns:r="http://schemas.openxmlformats.org/officeDocument/2006/relationships" name="📡 Intel Sources" sheetId="4" state="visible" r:id="rId4"/>
    <sheet xmlns:r="http://schemas.openxmlformats.org/officeDocument/2006/relationships" name="📋 Version Log"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2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i val="1"/>
      <color rgb="FFFFFFFF"/>
      <sz val="9"/>
    </font>
    <font>
      <name val="Arial"/>
      <charset val="1"/>
      <family val="0"/>
      <b val="1"/>
      <color rgb="FFFFFFFF"/>
      <sz val="8"/>
    </font>
    <font>
      <name val="Arial"/>
      <charset val="1"/>
      <family val="0"/>
      <color rgb="FF000000"/>
      <sz val="8"/>
    </font>
    <font>
      <name val="Arial"/>
      <charset val="1"/>
      <family val="0"/>
      <b val="1"/>
      <color rgb="FFFFFFFF"/>
      <sz val="11"/>
    </font>
    <font>
      <name val="Arial"/>
      <charset val="1"/>
      <family val="0"/>
      <b val="1"/>
      <color rgb="FF000000"/>
      <sz val="9"/>
    </font>
    <font>
      <name val="Arial"/>
      <charset val="1"/>
      <family val="0"/>
      <b val="1"/>
      <color rgb="FF1B4F72"/>
      <sz val="9"/>
    </font>
    <font>
      <name val="Arial"/>
      <charset val="1"/>
      <family val="0"/>
      <color rgb="FF000000"/>
      <sz val="9"/>
    </font>
    <font>
      <name val="Arial"/>
      <charset val="1"/>
      <family val="0"/>
      <b val="1"/>
      <color rgb="FFFFFFFF"/>
      <sz val="14"/>
    </font>
    <font>
      <name val="Arial"/>
      <charset val="1"/>
      <family val="0"/>
      <b val="1"/>
      <color rgb="FF0D1B2A"/>
      <sz val="10"/>
    </font>
    <font>
      <name val="Arial"/>
      <charset val="1"/>
      <family val="0"/>
      <b val="1"/>
      <color rgb="FFFFFFFF"/>
      <sz val="9"/>
    </font>
    <font>
      <name val="Arial"/>
      <charset val="1"/>
      <family val="0"/>
      <b val="1"/>
      <color rgb="FFFFFFFF"/>
      <sz val="10"/>
    </font>
    <font>
      <name val="Arial"/>
      <charset val="1"/>
      <family val="0"/>
      <b val="1"/>
      <color rgb="FFD4AC0D"/>
      <sz val="10"/>
    </font>
    <font>
      <name val="Arial"/>
      <charset val="1"/>
      <family val="0"/>
      <b val="1"/>
      <color rgb="FFE67E22"/>
      <sz val="10"/>
    </font>
    <font>
      <name val="Arial"/>
      <charset val="1"/>
      <family val="0"/>
      <b val="1"/>
      <color rgb="FFC0392B"/>
      <sz val="10"/>
    </font>
    <font>
      <name val="Arial"/>
      <charset val="1"/>
      <family val="0"/>
      <b val="1"/>
      <color rgb="FFC0392B"/>
      <sz val="9"/>
    </font>
    <font>
      <name val="Arial"/>
      <charset val="1"/>
      <family val="0"/>
      <b val="1"/>
      <color rgb="FF1E8449"/>
      <sz val="10"/>
    </font>
    <font>
      <name val="Arial"/>
      <charset val="1"/>
      <family val="0"/>
      <b val="1"/>
      <color rgb="FFE67E22"/>
      <sz val="9"/>
    </font>
    <font>
      <name val="Arial"/>
      <charset val="1"/>
      <family val="0"/>
      <b val="1"/>
      <color rgb="FFD4AC0D"/>
      <sz val="9"/>
    </font>
    <font>
      <name val="Arial"/>
      <charset val="1"/>
      <family val="0"/>
      <b val="1"/>
      <color rgb="FF1E8449"/>
      <sz val="9"/>
    </font>
    <font>
      <name val="Arial"/>
      <sz val="8"/>
    </font>
    <font>
      <name val="Arial"/>
      <b val="1"/>
      <color rgb="FFFFFFFF"/>
      <sz val="16"/>
    </font>
    <font>
      <name val="Arial"/>
      <color rgb="FFFFFFFF"/>
      <sz val="9"/>
    </font>
    <font>
      <name val="Arial"/>
      <b val="1"/>
      <color rgb="FFFFFFFF"/>
      <sz val="9"/>
    </font>
  </fonts>
  <fills count="17">
    <fill>
      <patternFill/>
    </fill>
    <fill>
      <patternFill patternType="gray125"/>
    </fill>
    <fill>
      <patternFill patternType="solid">
        <fgColor rgb="FF0D1B2A"/>
        <bgColor rgb="FF000000"/>
      </patternFill>
    </fill>
    <fill>
      <patternFill patternType="solid">
        <fgColor rgb="FF1B4F72"/>
        <bgColor rgb="FF0E6655"/>
      </patternFill>
    </fill>
    <fill>
      <patternFill patternType="solid">
        <fgColor rgb="FF2E86C1"/>
        <bgColor rgb="FF008080"/>
      </patternFill>
    </fill>
    <fill>
      <patternFill patternType="solid">
        <fgColor rgb="FFFFFFFF"/>
        <bgColor rgb="FFFEF9E7"/>
      </patternFill>
    </fill>
    <fill>
      <patternFill patternType="solid">
        <fgColor rgb="FFF2F3F4"/>
        <bgColor rgb="FFFEF9E7"/>
      </patternFill>
    </fill>
    <fill>
      <patternFill patternType="solid">
        <fgColor rgb="FFD6EAF8"/>
        <bgColor rgb="FFD0ECE7"/>
      </patternFill>
    </fill>
    <fill>
      <patternFill patternType="solid">
        <fgColor rgb="FFFEF9E7"/>
        <bgColor rgb="FFF2F3F4"/>
      </patternFill>
    </fill>
    <fill>
      <patternFill patternType="solid">
        <fgColor rgb="FFFDEBD0"/>
        <bgColor rgb="FFFADBD8"/>
      </patternFill>
    </fill>
    <fill>
      <patternFill patternType="solid">
        <fgColor rgb="FFFADBD8"/>
        <bgColor rgb="FFE8DAEF"/>
      </patternFill>
    </fill>
    <fill>
      <patternFill patternType="solid">
        <fgColor rgb="FFC0392B"/>
        <bgColor rgb="FF993366"/>
      </patternFill>
    </fill>
    <fill>
      <patternFill patternType="solid">
        <fgColor rgb="FFD5F5E3"/>
        <bgColor rgb="FFD0ECE7"/>
      </patternFill>
    </fill>
    <fill>
      <patternFill patternType="solid">
        <fgColor rgb="FF0D1B2A"/>
      </patternFill>
    </fill>
    <fill>
      <patternFill patternType="solid">
        <fgColor rgb="FF1F4E78"/>
      </patternFill>
    </fill>
    <fill>
      <patternFill patternType="solid">
        <fgColor rgb="FFF3F3F3"/>
      </patternFill>
    </fill>
    <fill>
      <patternFill patternType="solid">
        <fgColor rgb="FFD9EAD3"/>
      </patternFill>
    </fill>
  </fills>
  <borders count="3">
    <border>
      <left/>
      <right/>
      <top/>
      <bottom/>
      <diagonal/>
    </border>
    <border>
      <left style="thin">
        <color rgb="FFBFC9CA"/>
      </left>
      <right style="thin">
        <color rgb="FFBFC9CA"/>
      </right>
      <top style="thin">
        <color rgb="FFBFC9CA"/>
      </top>
      <bottom style="thin">
        <color rgb="FFBFC9CA"/>
      </bottom>
      <diagonal/>
    </border>
    <border>
      <left style="thin">
        <color rgb="FFBFBFBF"/>
      </left>
      <right style="thin">
        <color rgb="FFBFBFBF"/>
      </right>
      <top style="thin">
        <color rgb="FFBFBFBF"/>
      </top>
      <bottom style="thin">
        <color rgb="FF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1">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7" borderId="1" applyAlignment="1" pivotButton="0" quotePrefix="0" xfId="0">
      <alignment horizontal="left" vertical="center" wrapText="1"/>
    </xf>
    <xf numFmtId="0" fontId="10" fillId="7" borderId="1" applyAlignment="1" pivotButton="0" quotePrefix="0" xfId="0">
      <alignment horizontal="center" vertical="center" wrapText="1"/>
    </xf>
    <xf numFmtId="0" fontId="11" fillId="6" borderId="1" applyAlignment="1" pivotButton="0" quotePrefix="0" xfId="0">
      <alignment horizontal="left" vertical="center" wrapText="1"/>
    </xf>
    <xf numFmtId="0" fontId="9" fillId="6" borderId="1" applyAlignment="1" pivotButton="0" quotePrefix="0" xfId="0">
      <alignment horizontal="center" vertical="center" wrapText="1"/>
    </xf>
    <xf numFmtId="0" fontId="9"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11" fillId="5" borderId="1" applyAlignment="1" pivotButton="0" quotePrefix="0" xfId="0">
      <alignment horizontal="left" vertical="center" wrapText="1"/>
    </xf>
    <xf numFmtId="0" fontId="9" fillId="5" borderId="1" applyAlignment="1" pivotButton="0" quotePrefix="0" xfId="0">
      <alignment horizontal="center" vertical="center" wrapText="1"/>
    </xf>
    <xf numFmtId="0" fontId="8" fillId="4" borderId="0" applyAlignment="1" pivotButton="0" quotePrefix="0" xfId="0">
      <alignment horizontal="center" vertical="center" wrapText="1"/>
    </xf>
    <xf numFmtId="0" fontId="11"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12" fillId="2" borderId="0" applyAlignment="1" pivotButton="0" quotePrefix="0" xfId="0">
      <alignment horizontal="center" vertical="center" wrapText="1"/>
    </xf>
    <xf numFmtId="0" fontId="13" fillId="0" borderId="0" applyAlignment="1" pivotButton="0" quotePrefix="0" xfId="0">
      <alignment horizontal="center" vertical="center" wrapText="1"/>
    </xf>
    <xf numFmtId="0" fontId="14" fillId="3"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8" borderId="1" applyAlignment="1" pivotButton="0" quotePrefix="0" xfId="0">
      <alignment horizontal="center" vertical="center" wrapText="1"/>
    </xf>
    <xf numFmtId="0" fontId="17" fillId="9" borderId="1" applyAlignment="1" pivotButton="0" quotePrefix="0" xfId="0">
      <alignment horizontal="center" vertical="center" wrapText="1"/>
    </xf>
    <xf numFmtId="0" fontId="18" fillId="10"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10" borderId="1" applyAlignment="1" pivotButton="0" quotePrefix="0" xfId="0">
      <alignment horizontal="center" vertical="center" wrapText="1"/>
    </xf>
    <xf numFmtId="0" fontId="20"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21" fillId="9" borderId="1" applyAlignment="1" pivotButton="0" quotePrefix="0" xfId="0">
      <alignment horizontal="center" vertical="center" wrapText="1"/>
    </xf>
    <xf numFmtId="0" fontId="20" fillId="12" borderId="1" applyAlignment="1" pivotButton="0" quotePrefix="0" xfId="0">
      <alignment horizontal="center" vertical="center" wrapText="1"/>
    </xf>
    <xf numFmtId="0" fontId="22" fillId="8" borderId="1" applyAlignment="1" pivotButton="0" quotePrefix="0" xfId="0">
      <alignment horizontal="center" vertical="center" wrapText="1"/>
    </xf>
    <xf numFmtId="0" fontId="23" fillId="12" borderId="1" applyAlignment="1" pivotButton="0" quotePrefix="0" xfId="0">
      <alignment horizontal="center" vertical="center" wrapText="1"/>
    </xf>
    <xf numFmtId="0" fontId="14" fillId="3"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8" fillId="3"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7" borderId="1" applyAlignment="1" pivotButton="0" quotePrefix="0" xfId="0">
      <alignment horizontal="left" vertical="center" wrapText="1"/>
    </xf>
    <xf numFmtId="0" fontId="10" fillId="7" borderId="1" applyAlignment="1" pivotButton="0" quotePrefix="0" xfId="0">
      <alignment horizontal="center" vertical="center" wrapText="1"/>
    </xf>
    <xf numFmtId="0" fontId="11" fillId="6" borderId="1" applyAlignment="1" pivotButton="0" quotePrefix="0" xfId="0">
      <alignment horizontal="left" vertical="center" wrapText="1"/>
    </xf>
    <xf numFmtId="0" fontId="9" fillId="6" borderId="1" applyAlignment="1" pivotButton="0" quotePrefix="0" xfId="0">
      <alignment horizontal="center" vertical="center" wrapText="1"/>
    </xf>
    <xf numFmtId="0" fontId="9"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11" fillId="5" borderId="1" applyAlignment="1" pivotButton="0" quotePrefix="0" xfId="0">
      <alignment horizontal="left" vertical="center" wrapText="1"/>
    </xf>
    <xf numFmtId="0" fontId="9" fillId="5" borderId="1" applyAlignment="1" pivotButton="0" quotePrefix="0" xfId="0">
      <alignment horizontal="center" vertical="center" wrapText="1"/>
    </xf>
    <xf numFmtId="0" fontId="8" fillId="4" borderId="0" applyAlignment="1" pivotButton="0" quotePrefix="0" xfId="0">
      <alignment horizontal="center" vertical="center" wrapText="1"/>
    </xf>
    <xf numFmtId="0" fontId="11"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12" fillId="2" borderId="0" applyAlignment="1" pivotButton="0" quotePrefix="0" xfId="0">
      <alignment horizontal="center" vertical="center" wrapText="1"/>
    </xf>
    <xf numFmtId="0" fontId="13" fillId="0" borderId="0" applyAlignment="1" pivotButton="0" quotePrefix="0" xfId="0">
      <alignment horizontal="center" vertical="center" wrapText="1"/>
    </xf>
    <xf numFmtId="0" fontId="14" fillId="3"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8" borderId="1" applyAlignment="1" pivotButton="0" quotePrefix="0" xfId="0">
      <alignment horizontal="center" vertical="center" wrapText="1"/>
    </xf>
    <xf numFmtId="0" fontId="17" fillId="9" borderId="1" applyAlignment="1" pivotButton="0" quotePrefix="0" xfId="0">
      <alignment horizontal="center" vertical="center" wrapText="1"/>
    </xf>
    <xf numFmtId="0" fontId="18" fillId="10"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10" borderId="1" applyAlignment="1" pivotButton="0" quotePrefix="0" xfId="0">
      <alignment horizontal="center" vertical="center" wrapText="1"/>
    </xf>
    <xf numFmtId="0" fontId="20"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21" fillId="9" borderId="1" applyAlignment="1" pivotButton="0" quotePrefix="0" xfId="0">
      <alignment horizontal="center" vertical="center" wrapText="1"/>
    </xf>
    <xf numFmtId="0" fontId="20" fillId="12" borderId="1" applyAlignment="1" pivotButton="0" quotePrefix="0" xfId="0">
      <alignment horizontal="center" vertical="center" wrapText="1"/>
    </xf>
    <xf numFmtId="0" fontId="22" fillId="8" borderId="1" applyAlignment="1" pivotButton="0" quotePrefix="0" xfId="0">
      <alignment horizontal="center" vertical="center" wrapText="1"/>
    </xf>
    <xf numFmtId="0" fontId="23" fillId="12" borderId="1" applyAlignment="1" pivotButton="0" quotePrefix="0" xfId="0">
      <alignment horizontal="center" vertical="center" wrapText="1"/>
    </xf>
    <xf numFmtId="0" fontId="14" fillId="3" borderId="1" applyAlignment="1" pivotButton="0" quotePrefix="0" xfId="0">
      <alignment horizontal="center" vertical="center" wrapText="1"/>
    </xf>
    <xf numFmtId="0" fontId="24" fillId="5" borderId="1" applyAlignment="1" pivotButton="0" quotePrefix="0" xfId="0">
      <alignment horizontal="left" vertical="center" wrapText="1"/>
    </xf>
    <xf numFmtId="0" fontId="24" fillId="5" borderId="1" applyAlignment="1" pivotButton="0" quotePrefix="0" xfId="0">
      <alignment horizontal="center" vertical="center" wrapText="1"/>
    </xf>
    <xf numFmtId="0" fontId="24" fillId="0" borderId="0" pivotButton="0" quotePrefix="0" xfId="0"/>
    <xf numFmtId="0" fontId="25" fillId="13" borderId="0" pivotButton="0" quotePrefix="0" xfId="0"/>
    <xf numFmtId="0" fontId="26" fillId="13" borderId="0" applyAlignment="1" pivotButton="0" quotePrefix="0" xfId="0">
      <alignment vertical="center" wrapText="1"/>
    </xf>
    <xf numFmtId="0" fontId="27" fillId="14" borderId="2" applyAlignment="1" pivotButton="0" quotePrefix="0" xfId="0">
      <alignment vertical="top" wrapText="1"/>
    </xf>
    <xf numFmtId="0" fontId="24" fillId="15" borderId="2" applyAlignment="1" pivotButton="0" quotePrefix="0" xfId="0">
      <alignment vertical="top" wrapText="1"/>
    </xf>
    <xf numFmtId="0" fontId="24" fillId="16"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ont>
        <name val="Arial"/>
        <charset val="1"/>
        <family val="0"/>
        <b val="1"/>
        <color rgb="FFC0392B"/>
        <sz val="9"/>
      </font>
      <fill>
        <patternFill>
          <bgColor rgb="FFFADBD8"/>
        </patternFill>
      </fill>
    </dxf>
    <dxf>
      <font>
        <name val="Arial"/>
        <charset val="1"/>
        <family val="0"/>
        <b val="1"/>
        <color rgb="FFE67E22"/>
        <sz val="9"/>
      </font>
      <fill>
        <patternFill>
          <bgColor rgb="FFFDEBD0"/>
        </patternFill>
      </fill>
    </dxf>
    <dxf>
      <font>
        <name val="Arial"/>
        <charset val="1"/>
        <family val="0"/>
        <b val="1"/>
        <color rgb="FFD4AC0D"/>
        <sz val="9"/>
      </font>
      <fill>
        <patternFill>
          <bgColor rgb="FFFEF9E7"/>
        </patternFill>
      </fill>
    </dxf>
    <dxf>
      <font>
        <name val="Arial"/>
        <charset val="1"/>
        <family val="0"/>
        <b val="1"/>
        <color rgb="FF1E8449"/>
        <sz val="9"/>
      </font>
      <fill>
        <patternFill>
          <bgColor rgb="FFD5F5E3"/>
        </patternFill>
      </fill>
    </dxf>
    <dxf>
      <font>
        <name val="Arial"/>
        <charset val="1"/>
        <family val="0"/>
        <b val="1"/>
        <color rgb="FF6C3483"/>
        <sz val="9"/>
      </font>
      <fill>
        <patternFill>
          <bgColor rgb="FFE8DAEF"/>
        </patternFill>
      </fill>
    </dxf>
    <dxf>
      <font>
        <name val="Arial"/>
        <charset val="1"/>
        <family val="0"/>
        <b val="1"/>
        <color rgb="FF0E6655"/>
        <sz val="9"/>
      </font>
      <fill>
        <patternFill>
          <bgColor rgb="FFD0ECE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655"/>
      <rgbColor rgb="FFBFC9CA"/>
      <rgbColor rgb="FF808080"/>
      <rgbColor rgb="FF9999FF"/>
      <rgbColor rgb="FF6C3483"/>
      <rgbColor rgb="FFFEF9E7"/>
      <rgbColor rgb="FFD0ECE7"/>
      <rgbColor rgb="FF660066"/>
      <rgbColor rgb="FFFF8080"/>
      <rgbColor rgb="FF0066CC"/>
      <rgbColor rgb="FFE8DAEF"/>
      <rgbColor rgb="FF000080"/>
      <rgbColor rgb="FFFF00FF"/>
      <rgbColor rgb="FFFFFF00"/>
      <rgbColor rgb="FF00FFFF"/>
      <rgbColor rgb="FF800080"/>
      <rgbColor rgb="FF800000"/>
      <rgbColor rgb="FF008080"/>
      <rgbColor rgb="FF0000FF"/>
      <rgbColor rgb="FF00CCFF"/>
      <rgbColor rgb="FFD6EAF8"/>
      <rgbColor rgb="FFD5F5E3"/>
      <rgbColor rgb="FFFDEBD0"/>
      <rgbColor rgb="FFF2F3F4"/>
      <rgbColor rgb="FFFF99CC"/>
      <rgbColor rgb="FFCC99FF"/>
      <rgbColor rgb="FFFADBD8"/>
      <rgbColor rgb="FF2E86C1"/>
      <rgbColor rgb="FF33CCCC"/>
      <rgbColor rgb="FF99CC00"/>
      <rgbColor rgb="FFFFCC00"/>
      <rgbColor rgb="FFD4AC0D"/>
      <rgbColor rgb="FFE67E22"/>
      <rgbColor rgb="FF666699"/>
      <rgbColor rgb="FF969696"/>
      <rgbColor rgb="FF1B4F72"/>
      <rgbColor rgb="FF1E8449"/>
      <rgbColor rgb="FF0D1B2A"/>
      <rgbColor rgb="FF333300"/>
      <rgbColor rgb="FFC0392B"/>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103"/>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outlineLevelCol="0"/>
  <cols>
    <col width="8" customWidth="1" style="41" min="1" max="1"/>
    <col width="14" customWidth="1" style="41" min="2" max="2"/>
    <col width="16" customWidth="1" style="41" min="3" max="4"/>
    <col width="32" customWidth="1" style="41" min="5" max="5"/>
    <col width="14" customWidth="1" style="41" min="6" max="6"/>
    <col width="20" customWidth="1" style="41" min="7" max="7"/>
    <col width="18" customWidth="1" style="41" min="8" max="8"/>
    <col width="28" customWidth="1" style="41" min="9" max="9"/>
    <col width="20" customWidth="1" style="41" min="10" max="10"/>
    <col width="14" customWidth="1" style="41" min="11" max="11"/>
    <col width="12" customWidth="1" style="41" min="12" max="15"/>
    <col width="28" customWidth="1" style="41" min="16" max="16"/>
    <col width="12" customWidth="1" style="41" min="17" max="17"/>
    <col width="32" customWidth="1" style="41" min="18" max="18"/>
    <col width="16" customWidth="1" style="41" min="19" max="19"/>
    <col width="18" customWidth="1" style="41" min="20" max="20"/>
    <col width="14" customWidth="1" style="41" min="21" max="21"/>
    <col width="12" customWidth="1" style="41" min="22" max="22"/>
    <col width="14" customWidth="1" style="41" min="23" max="23"/>
    <col width="30" customWidth="1" style="41" min="24" max="24"/>
  </cols>
  <sheetData>
    <row r="1" ht="39.75" customHeight="1" s="42">
      <c r="A1" s="43" t="inlineStr">
        <is>
          <t>BLAISE KINGKO, GRC INTELLIGENCE &amp; RISK REGISTER   [ ARCHIVED SNAPSHOT: v14, 2026-10-05, NOT LIVE ]</t>
        </is>
      </c>
    </row>
    <row r="2" ht="18" customHeight="1" s="42">
      <c r="A2" s="44" t="inlineStr">
        <is>
          <t>ARCHIVED SNAPSHOT: v14, 2026-10-05, NOT LIVE. This is a frozen historical copy; it is never edited after creation.   |   The current, authoritative file is GRC_Intelligence_Risk_Register.xlsx.   |   Sources: CISA KEV | US-CERT | NIST NVD | AWS/Azure Bulletins | AI Governance Updates | CISA/NSA/FBI Advisories | Supplementary news log   |   Frameworks: NIST CSF 2.0 | ISO 27001 | NIST 800-53 | CIS Controls | NIST AI RMF | ISO 42001 | EU AI Act   |   Snapshot Date: 2026-10-05   |   See 'Version Log' tab for history.</t>
        </is>
      </c>
    </row>
    <row r="3" ht="21.75" customHeight="1" s="42">
      <c r="A3" s="45" t="inlineStr">
        <is>
          <t>RISK ID</t>
        </is>
      </c>
      <c r="B3" s="45" t="inlineStr">
        <is>
          <t>DATE IDENTIFIED</t>
        </is>
      </c>
      <c r="C3" s="45" t="inlineStr">
        <is>
          <t>SOURCE</t>
        </is>
      </c>
      <c r="D3" s="45" t="inlineStr">
        <is>
          <t>CVE / ADVISORY ID</t>
        </is>
      </c>
      <c r="E3" s="45" t="inlineStr">
        <is>
          <t>THREAT / VULN</t>
        </is>
      </c>
      <c r="F3" s="45" t="inlineStr">
        <is>
          <t>THREAT CATEGORY</t>
        </is>
      </c>
      <c r="G3" s="45" t="inlineStr">
        <is>
          <t>AFFECTED ASSET</t>
        </is>
      </c>
      <c r="H3" s="45" t="inlineStr">
        <is>
          <t>AFFECTED SYSTEM</t>
        </is>
      </c>
      <c r="I3" s="46" t="inlineStr">
        <is>
          <t>FRAMEWORK MAPPING</t>
        </is>
      </c>
      <c r="J3" s="46" t="inlineStr">
        <is>
          <t>CONTROL FAMILY</t>
        </is>
      </c>
      <c r="K3" s="46" t="inlineStr">
        <is>
          <t>LIKELIHOOD (1-5)</t>
        </is>
      </c>
      <c r="L3" s="46" t="inlineStr">
        <is>
          <t>IMPACT (1-5)</t>
        </is>
      </c>
      <c r="M3" s="46" t="inlineStr">
        <is>
          <t>RISK SCORE</t>
        </is>
      </c>
      <c r="N3" s="46" t="inlineStr">
        <is>
          <t>RISK RATING</t>
        </is>
      </c>
      <c r="O3" s="46" t="inlineStr">
        <is>
          <t>INHERENT RISK</t>
        </is>
      </c>
      <c r="P3" s="47" t="inlineStr">
        <is>
          <t>CURRENT CONTROLS</t>
        </is>
      </c>
      <c r="Q3" s="47" t="inlineStr">
        <is>
          <t>RESIDUAL RISK</t>
        </is>
      </c>
      <c r="R3" s="47" t="inlineStr">
        <is>
          <t>REMEDIATION</t>
        </is>
      </c>
      <c r="S3" s="47" t="inlineStr">
        <is>
          <t>CIS CONTROL REF</t>
        </is>
      </c>
      <c r="T3" s="47" t="inlineStr">
        <is>
          <t>OWNER</t>
        </is>
      </c>
      <c r="U3" s="47" t="inlineStr">
        <is>
          <t>STATUS</t>
        </is>
      </c>
      <c r="V3" s="47" t="inlineStr">
        <is>
          <t>DUE DATE</t>
        </is>
      </c>
      <c r="W3" s="47" t="inlineStr">
        <is>
          <t>LAST UPDATED</t>
        </is>
      </c>
      <c r="X3" s="47" t="inlineStr">
        <is>
          <t>NOTES</t>
        </is>
      </c>
    </row>
    <row r="5" ht="39.75" customHeight="1" s="42">
      <c r="A5" s="52" t="inlineStr">
        <is>
          <t>RR-001</t>
        </is>
      </c>
      <c r="B5" s="53" t="inlineStr">
        <is>
          <t>2026-05-29</t>
        </is>
      </c>
      <c r="C5" s="53" t="inlineStr">
        <is>
          <t>CISA KEV</t>
        </is>
      </c>
      <c r="D5" s="53" t="inlineStr">
        <is>
          <t>CVE-2024-21887</t>
        </is>
      </c>
      <c r="E5" s="53" t="inlineStr">
        <is>
          <t>Ivanti Connect Secure — Command Injection vulnerability actively exploited in the wild</t>
        </is>
      </c>
      <c r="F5" s="52" t="inlineStr">
        <is>
          <t>IT — Network</t>
        </is>
      </c>
      <c r="G5" s="53" t="inlineStr">
        <is>
          <t>VPN / Remote Access</t>
        </is>
      </c>
      <c r="H5" s="53" t="inlineStr">
        <is>
          <t>Ivanti Connect Secure</t>
        </is>
      </c>
      <c r="I5" s="53" t="inlineStr">
        <is>
          <t>NIST CSF 2.0: PR.PS-04, DE.CM-01 | NIST 800-53: SI-2, RA-5 | ISO 27001: A.12.6.1 | CIS Control 7</t>
        </is>
      </c>
      <c r="J5" s="53" t="inlineStr">
        <is>
          <t>SI — System Integrity</t>
        </is>
      </c>
      <c r="K5" s="52" t="n">
        <v>5</v>
      </c>
      <c r="L5" s="52" t="n">
        <v>5</v>
      </c>
      <c r="M5" s="52">
        <f>K5*L5</f>
        <v/>
      </c>
      <c r="N5" s="52" t="inlineStr">
        <is>
          <t>Critical</t>
        </is>
      </c>
      <c r="O5" s="52" t="inlineStr">
        <is>
          <t>Critical</t>
        </is>
      </c>
      <c r="P5" s="53" t="inlineStr">
        <is>
          <t>Patch management process in place; WAF deployed</t>
        </is>
      </c>
      <c r="Q5" s="52" t="inlineStr">
        <is>
          <t>High</t>
        </is>
      </c>
      <c r="R5" s="53" t="inlineStr">
        <is>
          <t>Apply vendor patch immediately; isolate affected systems pending patch</t>
        </is>
      </c>
      <c r="S5" s="52" t="inlineStr">
        <is>
          <t>CIS Control 7.4 — Manage Operating System Vulnerabilities</t>
        </is>
      </c>
      <c r="T5" s="53" t="inlineStr">
        <is>
          <t>Blaise Kingko</t>
        </is>
      </c>
      <c r="U5" s="52" t="inlineStr">
        <is>
          <t>Open</t>
        </is>
      </c>
      <c r="V5" s="52" t="inlineStr">
        <is>
          <t>2026-06-04</t>
        </is>
      </c>
      <c r="W5" s="52" t="inlineStr">
        <is>
          <t>2026-05-29</t>
        </is>
      </c>
      <c r="X5" s="53" t="inlineStr">
        <is>
          <t>Actively exploited per CISA KEV. Patch available. Escalate to CISO immediately.</t>
        </is>
      </c>
    </row>
    <row r="6" ht="39.75" customHeight="1" s="42">
      <c r="A6" s="50" t="inlineStr">
        <is>
          <t>RR-002</t>
        </is>
      </c>
      <c r="B6" s="51" t="inlineStr">
        <is>
          <t>2026-05-29</t>
        </is>
      </c>
      <c r="C6" s="51" t="inlineStr">
        <is>
          <t>NIST NVD</t>
        </is>
      </c>
      <c r="D6" s="51" t="inlineStr">
        <is>
          <t>CVE-2025-0282</t>
        </is>
      </c>
      <c r="E6" s="51" t="inlineStr">
        <is>
          <t>Ivanti Policy Secure — Stack-based buffer overflow enabling unauthenticated RCE</t>
        </is>
      </c>
      <c r="F6" s="50" t="inlineStr">
        <is>
          <t>IT — Application</t>
        </is>
      </c>
      <c r="G6" s="51" t="inlineStr">
        <is>
          <t>Policy Management Platform</t>
        </is>
      </c>
      <c r="H6" s="51" t="inlineStr">
        <is>
          <t>Ivanti Policy Secure</t>
        </is>
      </c>
      <c r="I6" s="51" t="inlineStr">
        <is>
          <t>NIST CSF 2.0: PR.PS-04, RS.MI-02 | NIST 800-53: SI-3, SC-39 | ISO 27001: A.14.2.2 | CIS Control 2</t>
        </is>
      </c>
      <c r="J6" s="51" t="inlineStr">
        <is>
          <t>SC — System &amp; Comms Protection</t>
        </is>
      </c>
      <c r="K6" s="50" t="n">
        <v>4</v>
      </c>
      <c r="L6" s="50" t="n">
        <v>5</v>
      </c>
      <c r="M6" s="50">
        <f>K6*L6</f>
        <v/>
      </c>
      <c r="N6" s="50" t="inlineStr">
        <is>
          <t>Critical</t>
        </is>
      </c>
      <c r="O6" s="50" t="inlineStr">
        <is>
          <t>Critical</t>
        </is>
      </c>
      <c r="P6" s="51" t="inlineStr">
        <is>
          <t>Network segmentation partially implemented</t>
        </is>
      </c>
      <c r="Q6" s="50" t="inlineStr">
        <is>
          <t>High</t>
        </is>
      </c>
      <c r="R6" s="51" t="inlineStr">
        <is>
          <t>Emergency patch deployment; conduct IOC sweep; review authentication logs</t>
        </is>
      </c>
      <c r="S6" s="50" t="inlineStr">
        <is>
          <t>CIS Control 2.2 — Ensure Software is Supported by Vendor</t>
        </is>
      </c>
      <c r="T6" s="51" t="inlineStr">
        <is>
          <t>Blaise Kingko</t>
        </is>
      </c>
      <c r="U6" s="50" t="inlineStr">
        <is>
          <t>Mitigating</t>
        </is>
      </c>
      <c r="V6" s="50" t="inlineStr">
        <is>
          <t>2026-06-07</t>
        </is>
      </c>
      <c r="W6" s="50" t="inlineStr">
        <is>
          <t>2026-05-29</t>
        </is>
      </c>
      <c r="X6" s="51" t="inlineStr">
        <is>
          <t>RCE vector. Pre-auth. Requires immediate patch cycle bypass for emergency deployment.</t>
        </is>
      </c>
    </row>
    <row r="7" ht="39.75" customHeight="1" s="42">
      <c r="A7" s="52" t="inlineStr">
        <is>
          <t>RR-003</t>
        </is>
      </c>
      <c r="B7" s="53" t="inlineStr">
        <is>
          <t>2026-05-29</t>
        </is>
      </c>
      <c r="C7" s="53" t="inlineStr">
        <is>
          <t>AWS Security Bulletin</t>
        </is>
      </c>
      <c r="D7" s="53" t="inlineStr">
        <is>
          <t>AWS-2025-001</t>
        </is>
      </c>
      <c r="E7" s="53" t="inlineStr">
        <is>
          <t>AWS IAM confused deputy issue in cross-account role assumption — potential privilege escalation</t>
        </is>
      </c>
      <c r="F7" s="52" t="inlineStr">
        <is>
          <t>Cloud — IAM</t>
        </is>
      </c>
      <c r="G7" s="53" t="inlineStr">
        <is>
          <t>AWS Multi-Account Environment</t>
        </is>
      </c>
      <c r="H7" s="53" t="inlineStr">
        <is>
          <t>AWS IAM / STS</t>
        </is>
      </c>
      <c r="I7" s="53" t="inlineStr">
        <is>
          <t>NIST CSF 2.0: PR.AA-05 | NIST 800-53: AC-6, AC-2 | ISO 27001: A.9.2.3 | CIS Control 5</t>
        </is>
      </c>
      <c r="J7" s="53" t="inlineStr">
        <is>
          <t>AC — Access Control</t>
        </is>
      </c>
      <c r="K7" s="52" t="n">
        <v>3</v>
      </c>
      <c r="L7" s="52" t="n">
        <v>4</v>
      </c>
      <c r="M7" s="52">
        <f>K7*L7</f>
        <v/>
      </c>
      <c r="N7" s="52" t="inlineStr">
        <is>
          <t>High</t>
        </is>
      </c>
      <c r="O7" s="52" t="inlineStr">
        <is>
          <t>High</t>
        </is>
      </c>
      <c r="P7" s="53" t="inlineStr">
        <is>
          <t>SCPs deployed; least-privilege IAM model in place across 500+ accounts</t>
        </is>
      </c>
      <c r="Q7" s="52" t="inlineStr">
        <is>
          <t>Medium</t>
        </is>
      </c>
      <c r="R7" s="53" t="inlineStr">
        <is>
          <t>Audit all cross-account trust relationships; enforce ExternalId conditions on all assume-role policies</t>
        </is>
      </c>
      <c r="S7" s="52" t="inlineStr">
        <is>
          <t>CIS Control 5.4 — Restrict Administrator Privileges</t>
        </is>
      </c>
      <c r="T7" s="53" t="inlineStr">
        <is>
          <t>Blaise Kingko</t>
        </is>
      </c>
      <c r="U7" s="52" t="inlineStr">
        <is>
          <t>Mitigating</t>
        </is>
      </c>
      <c r="V7" s="52" t="inlineStr">
        <is>
          <t>2026-06-14</t>
        </is>
      </c>
      <c r="W7" s="52" t="inlineStr">
        <is>
          <t>2026-05-29</t>
        </is>
      </c>
      <c r="X7" s="53" t="inlineStr">
        <is>
          <t>Leverage existing IAM governance model. SCP guardrails reduce blast radius significantly.</t>
        </is>
      </c>
    </row>
    <row r="8" ht="39.75" customHeight="1" s="42">
      <c r="A8" s="50" t="inlineStr">
        <is>
          <t>RR-004</t>
        </is>
      </c>
      <c r="B8" s="51" t="inlineStr">
        <is>
          <t>2026-05-29</t>
        </is>
      </c>
      <c r="C8" s="51" t="inlineStr">
        <is>
          <t>AI Governance Update</t>
        </is>
      </c>
      <c r="D8" s="51" t="inlineStr">
        <is>
          <t>EU-AI-ACT-2025-HIGH-RISK</t>
        </is>
      </c>
      <c r="E8" s="51" t="inlineStr">
        <is>
          <t>EU AI Act High-Risk AI System classification — internal LLM applications may require conformity assessment</t>
        </is>
      </c>
      <c r="F8" s="50" t="inlineStr">
        <is>
          <t>AI/ML — Governance</t>
        </is>
      </c>
      <c r="G8" s="51" t="inlineStr">
        <is>
          <t>Internal LLM Applications</t>
        </is>
      </c>
      <c r="H8" s="51" t="inlineStr">
        <is>
          <t>GenAI Platform (AWS Bedrock)</t>
        </is>
      </c>
      <c r="I8" s="51" t="inlineStr">
        <is>
          <t>NIST AI RMF: GOVERN 1.1, MAP 1.5 | ISO 42001: 6.1.2 | EU AI Act: Article 9, Annex III | NIST 800-53: SA-11</t>
        </is>
      </c>
      <c r="J8" s="51" t="inlineStr">
        <is>
          <t>AI Risk Governance</t>
        </is>
      </c>
      <c r="K8" s="50" t="n">
        <v>3</v>
      </c>
      <c r="L8" s="50" t="n">
        <v>5</v>
      </c>
      <c r="M8" s="50">
        <f>K8*L8</f>
        <v/>
      </c>
      <c r="N8" s="50" t="inlineStr">
        <is>
          <t>High</t>
        </is>
      </c>
      <c r="O8" s="50" t="inlineStr">
        <is>
          <t>High</t>
        </is>
      </c>
      <c r="P8" s="51" t="inlineStr">
        <is>
          <t>AI Governance program active; NIST AI RMF framework implemented; prompt injection controls deployed</t>
        </is>
      </c>
      <c r="Q8" s="50" t="inlineStr">
        <is>
          <t>Medium</t>
        </is>
      </c>
      <c r="R8" s="51" t="inlineStr">
        <is>
          <t>Conduct EU AI Act conformity assessment; document intended purpose and risk management system; prepare technical documentation per Article 11</t>
        </is>
      </c>
      <c r="S8" s="50" t="inlineStr">
        <is>
          <t>N/A — AI Governance Framework</t>
        </is>
      </c>
      <c r="T8" s="51" t="inlineStr">
        <is>
          <t>Blaise Kingko</t>
        </is>
      </c>
      <c r="U8" s="50" t="inlineStr">
        <is>
          <t>Open</t>
        </is>
      </c>
      <c r="V8" s="50" t="inlineStr">
        <is>
          <t>2026-07-01</t>
        </is>
      </c>
      <c r="W8" s="50" t="inlineStr">
        <is>
          <t>2026-06-29</t>
        </is>
      </c>
      <c r="X8" s="51" t="inlineStr">
        <is>
          <t>Regulatory deadline risk. EU AI Act enforcement begins Aug 2026. High-risk classification triggers conformity assessment requirement. REVISED 2026-06-29: European Parliament finalized amendments (approved 2026-06-16) delaying specific Annex III high-risk compliance deadlines; classification criteria unchanged. See AI-Governance/2026-06-EU-AI-Act-HighRisk-Classification-UPDATE for full change analysis.</t>
        </is>
      </c>
    </row>
    <row r="9" ht="39.75" customHeight="1" s="42">
      <c r="A9" s="52" t="inlineStr">
        <is>
          <t>RR-005</t>
        </is>
      </c>
      <c r="B9" s="53" t="inlineStr">
        <is>
          <t>2026-05-29</t>
        </is>
      </c>
      <c r="C9" s="53" t="inlineStr">
        <is>
          <t>US-CERT</t>
        </is>
      </c>
      <c r="D9" s="53" t="inlineStr">
        <is>
          <t>AA25-071A</t>
        </is>
      </c>
      <c r="E9" s="53" t="inlineStr">
        <is>
          <t>CISA Advisory — SVR cyber actors targeting cloud environments via misconfigured service accounts</t>
        </is>
      </c>
      <c r="F9" s="52" t="inlineStr">
        <is>
          <t>Cloud — Identity</t>
        </is>
      </c>
      <c r="G9" s="53" t="inlineStr">
        <is>
          <t>Cloud Service Accounts</t>
        </is>
      </c>
      <c r="H9" s="53" t="inlineStr">
        <is>
          <t>AWS / Azure Service Principals</t>
        </is>
      </c>
      <c r="I9" s="53" t="inlineStr">
        <is>
          <t>NIST CSF 2.0: PR.AA-01, DE.AE-02 | NIST 800-53: AC-6, AU-12 | ISO 27001: A.9.4.4 | CIS Control 4</t>
        </is>
      </c>
      <c r="J9" s="53" t="inlineStr">
        <is>
          <t>AC — Access Control</t>
        </is>
      </c>
      <c r="K9" s="52" t="n">
        <v>4</v>
      </c>
      <c r="L9" s="52" t="n">
        <v>4</v>
      </c>
      <c r="M9" s="52">
        <f>K9*L9</f>
        <v/>
      </c>
      <c r="N9" s="52" t="inlineStr">
        <is>
          <t>High</t>
        </is>
      </c>
      <c r="O9" s="52" t="inlineStr">
        <is>
          <t>High</t>
        </is>
      </c>
      <c r="P9" s="53" t="inlineStr">
        <is>
          <t>SIEM monitoring active; CloudTrail enabled; anomaly detection in place</t>
        </is>
      </c>
      <c r="Q9" s="52" t="inlineStr">
        <is>
          <t>Medium</t>
        </is>
      </c>
      <c r="R9" s="53" t="inlineStr">
        <is>
          <t>Audit all service account permissions; rotate credentials; implement Just-In-Time access for privileged service accounts</t>
        </is>
      </c>
      <c r="S9" s="52" t="inlineStr">
        <is>
          <t>CIS Control 4.7 — Manage Default Accounts</t>
        </is>
      </c>
      <c r="T9" s="53" t="inlineStr">
        <is>
          <t>Blaise Kingko</t>
        </is>
      </c>
      <c r="U9" s="52" t="inlineStr">
        <is>
          <t>Open</t>
        </is>
      </c>
      <c r="V9" s="52" t="inlineStr">
        <is>
          <t>2026-06-11</t>
        </is>
      </c>
      <c r="W9" s="52" t="inlineStr">
        <is>
          <t>2026-05-29</t>
        </is>
      </c>
      <c r="X9" s="53" t="inlineStr">
        <is>
          <t>Nation-state TTPs. Aligns with existing SIEM architecture. Review CloudWatch anomaly alerts immediately.</t>
        </is>
      </c>
    </row>
    <row r="10">
      <c r="A10" s="52" t="inlineStr">
        <is>
          <t>RR-006</t>
        </is>
      </c>
      <c r="B10" s="53" t="inlineStr">
        <is>
          <t>2026-06-08</t>
        </is>
      </c>
      <c r="C10" s="53" t="inlineStr">
        <is>
          <t>AWS Security Bulletin</t>
        </is>
      </c>
      <c r="D10" s="53" t="inlineStr">
        <is>
          <t>2026-030-AWS</t>
        </is>
      </c>
      <c r="E10" s="53" t="inlineStr">
        <is>
          <t>Linux Kernel "Copy.fail"/"DirtyFrag" privilege-escalation family (CVE-2026-46300, CVE-2026-31431, CVE-2026-43284, CVE-2026-43500) — local LPE in espintcp/algif_aead/xfrm_user/esp modules affecting AWS self-managed compute</t>
        </is>
      </c>
      <c r="F10" s="52" t="inlineStr">
        <is>
          <t>Cloud-Security</t>
        </is>
      </c>
      <c r="G10" s="83" t="inlineStr">
        <is>
          <t>Cloud Compute Infrastructure (Self-Managed Linux Nodes)</t>
        </is>
      </c>
      <c r="H10" s="83" t="inlineStr">
        <is>
          <t>AWS EKS Worker Nodes / Bottlerocket / EC2 Linux Instances</t>
        </is>
      </c>
      <c r="I10" s="83" t="inlineStr">
        <is>
          <t>NIST CSF 2.0 PR.PS-02/DE.CM-09 | NIST 800-53 SI-2/CM-2/CM-6/RA-5 | ISO 27001 A.8.8/A.8.9 | CIS Control 7/4</t>
        </is>
      </c>
      <c r="J10" s="83" t="inlineStr">
        <is>
          <t>SI-2, CM-6, RA-5</t>
        </is>
      </c>
      <c r="K10" s="84" t="n">
        <v>3</v>
      </c>
      <c r="L10" s="84" t="n">
        <v>4</v>
      </c>
      <c r="M10" s="84" t="n">
        <v>12</v>
      </c>
      <c r="N10" s="84" t="inlineStr">
        <is>
          <t>High</t>
        </is>
      </c>
      <c r="O10" s="84" t="inlineStr">
        <is>
          <t>High</t>
        </is>
      </c>
      <c r="P10" s="83" t="inlineStr">
        <is>
          <t>AWS-managed control planes patched; customer self-managed compute (EKS/EC2/Bottlerocket) requires manual node rotation</t>
        </is>
      </c>
      <c r="Q10" s="84" t="inlineStr">
        <is>
          <t>Medium</t>
        </is>
      </c>
      <c r="R10" s="83" t="inlineStr">
        <is>
          <t>Roll EKS-optimized AMIs and Bottlerocket hosts to patched builds (Bottlerocket &gt;= v1.61.0); confirm Fargate platform versions &gt;= 2026-06-09; validate via CSPM scan for zero non-compliant kernels</t>
        </is>
      </c>
      <c r="S10" s="84" t="inlineStr">
        <is>
          <t>Control 7 (7.4) / Control 4</t>
        </is>
      </c>
      <c r="T10" s="83" t="inlineStr">
        <is>
          <t>Cloud Platform Engineering</t>
        </is>
      </c>
      <c r="U10" s="84" t="inlineStr">
        <is>
          <t>Open</t>
        </is>
      </c>
      <c r="V10" s="84" t="inlineStr">
        <is>
          <t>2026-06-22</t>
        </is>
      </c>
      <c r="W10" s="85" t="inlineStr">
        <is>
          <t>2026-06-15</t>
        </is>
      </c>
      <c r="X10" s="85" t="inlineStr">
        <is>
          <t>Shared-responsibility seam — AWS patches control plane only; full case bundle in Cloud-Security/2026-06-AWS-Bulletin-Linux-Kernel-CopyFail REVISED 2026-06-15 — AWS Fargate patches deployed all regions by June 15. Customer EKS/Bottlerocket/EC2 action still required; Likelihood reduced 4→3.</t>
        </is>
      </c>
    </row>
    <row r="11">
      <c r="A11" s="52" t="inlineStr">
        <is>
          <t>RR-007</t>
        </is>
      </c>
      <c r="B11" s="53" t="inlineStr">
        <is>
          <t>2026-06-08</t>
        </is>
      </c>
      <c r="C11" s="53" t="inlineStr">
        <is>
          <t>Azure Security Update</t>
        </is>
      </c>
      <c r="D11" s="53" t="inlineStr">
        <is>
          <t>CVE-2026-48567</t>
        </is>
      </c>
      <c r="E11" s="53" t="inlineStr">
        <is>
          <t>Azure HorizonDB Elevation of Privilege — authentication bypass by spoofing (CWE-290) in managed multi-tenant database control plane, CVSS 10.0</t>
        </is>
      </c>
      <c r="F11" s="52" t="inlineStr">
        <is>
          <t>Cloud-Security</t>
        </is>
      </c>
      <c r="G11" s="83" t="inlineStr">
        <is>
          <t>Cloud Database Platform (Multi-Tenant Control Plane)</t>
        </is>
      </c>
      <c r="H11" s="83" t="inlineStr">
        <is>
          <t>Azure HorizonDB (Managed Database Service)</t>
        </is>
      </c>
      <c r="I11" s="83" t="inlineStr">
        <is>
          <t>NIST CSF 2.0 PR.AA-03/DE.CM-03/GV.SC-06 | NIST 800-53 IA-2/AC-3/SC-7/CA-7 | ISO 27001 A.5.15/A.8.5/A.5.23 | CIS Control 6/13</t>
        </is>
      </c>
      <c r="J11" s="83" t="inlineStr">
        <is>
          <t>IA-2, AC-3, SC-7</t>
        </is>
      </c>
      <c r="K11" s="84" t="n">
        <v>3</v>
      </c>
      <c r="L11" s="84" t="n">
        <v>5</v>
      </c>
      <c r="M11" s="84" t="n">
        <v>15</v>
      </c>
      <c r="N11" s="84" t="inlineStr">
        <is>
          <t>High</t>
        </is>
      </c>
      <c r="O11" s="84" t="inlineStr">
        <is>
          <t>Critical</t>
        </is>
      </c>
      <c r="P11" s="83" t="inlineStr">
        <is>
          <t>Microsoft platform-side patch pipeline (vendor-controlled); Entra ID conditional access as tenant-side compensating control</t>
        </is>
      </c>
      <c r="Q11" s="84" t="inlineStr">
        <is>
          <t>Low</t>
        </is>
      </c>
      <c r="R11" s="83" t="inlineStr">
        <is>
          <t>Confirm Microsoft platform patch applied via Azure Service Health; audit HorizonDB auth logs 2026-05-28 to 2026-06-04 for spoofing indicators; enforce Entra ID-only authentication and Conditional Access MFA</t>
        </is>
      </c>
      <c r="S11" s="84" t="inlineStr">
        <is>
          <t>Control 6 / Control 13</t>
        </is>
      </c>
      <c r="T11" s="83" t="inlineStr">
        <is>
          <t>Cloud Security Architecture</t>
        </is>
      </c>
      <c r="U11" s="84" t="inlineStr">
        <is>
          <t>Open</t>
        </is>
      </c>
      <c r="V11" s="84" t="inlineStr">
        <is>
          <t>2026-06-15</t>
        </is>
      </c>
      <c r="W11" s="85" t="inlineStr">
        <is>
          <t>2026-06-08</t>
        </is>
      </c>
      <c r="X11" s="85" t="inlineStr">
        <is>
          <t>Vendor-side CVSS 10.0 flaw — verification &amp; IAM hardening case; full bundle in Cloud-Security/2026-06-MSRC-Azure-HorizonDB</t>
        </is>
      </c>
    </row>
    <row r="12">
      <c r="A12" s="52" t="inlineStr">
        <is>
          <t>RR-008</t>
        </is>
      </c>
      <c r="B12" s="53" t="inlineStr">
        <is>
          <t>2026-06-08</t>
        </is>
      </c>
      <c r="C12" s="53" t="inlineStr">
        <is>
          <t>CISA KEV</t>
        </is>
      </c>
      <c r="D12" s="53" t="inlineStr">
        <is>
          <t>CVE-2026-45247</t>
        </is>
      </c>
      <c r="E12" s="53" t="inlineStr">
        <is>
          <t>Mirasvit Full Page Cache Warmer (Magento/Adobe Commerce) — deserialization of untrusted data / PHP object injection enabling unauthenticated RCE, CVSS 9.8, actively exploited in the wild</t>
        </is>
      </c>
      <c r="F12" s="52" t="inlineStr">
        <is>
          <t>Cloud-Security</t>
        </is>
      </c>
      <c r="G12" s="83" t="inlineStr">
        <is>
          <t>E-Commerce Application Platform</t>
        </is>
      </c>
      <c r="H12" s="83" t="inlineStr">
        <is>
          <t>Magento 2 / Adobe Commerce (Mirasvit Full Page Cache Warmer extension)</t>
        </is>
      </c>
      <c r="I12" s="83" t="inlineStr">
        <is>
          <t>NIST CSF 2.0 PR.PS-02/DE.CM-01/RS.AN-03 | NIST 800-53 SI-2/SI-3/SI-10/IR-4 | ISO 27001 A.8.8/A.8.28/A.8.16 | CIS Control 16/7/17 | PCI-DSS v4.0 Req 6.3.3/11.3</t>
        </is>
      </c>
      <c r="J12" s="83" t="inlineStr">
        <is>
          <t>SI-2, SI-3, SI-10</t>
        </is>
      </c>
      <c r="K12" s="84" t="n">
        <v>5</v>
      </c>
      <c r="L12" s="84" t="n">
        <v>5</v>
      </c>
      <c r="M12" s="84" t="n">
        <v>25</v>
      </c>
      <c r="N12" s="84" t="inlineStr">
        <is>
          <t>Critical</t>
        </is>
      </c>
      <c r="O12" s="84" t="inlineStr">
        <is>
          <t>Critical</t>
        </is>
      </c>
      <c r="P12" s="83" t="inlineStr">
        <is>
          <t>WAF signatures (Imperva) available as interim compensating control; PCI-mandated file-integrity monitoring may detect web-shell drops</t>
        </is>
      </c>
      <c r="Q12" s="84" t="inlineStr">
        <is>
          <t>Low</t>
        </is>
      </c>
      <c r="R12" s="83" t="inlineStr">
        <is>
          <t>Update Mirasvit Full Page Cache Warmer to v1.11.12+ on all Magento 2/Adobe Commerce instances immediately (target 2026-06-10); conduct web-shell forensic sweep of pub/media, var/, app/code directories; engage PCI Forensic Investigator if IOCs found</t>
        </is>
      </c>
      <c r="S12" s="84" t="inlineStr">
        <is>
          <t>Control 16 (16.13) / Control 7</t>
        </is>
      </c>
      <c r="T12" s="83" t="inlineStr">
        <is>
          <t>Application Security / E-commerce Engineering</t>
        </is>
      </c>
      <c r="U12" s="84" t="inlineStr">
        <is>
          <t>Open — Expedited</t>
        </is>
      </c>
      <c r="V12" s="84" t="inlineStr">
        <is>
          <t>2026-06-10</t>
        </is>
      </c>
      <c r="W12" s="85" t="inlineStr">
        <is>
          <t>2026-06-08</t>
        </is>
      </c>
      <c r="X12" s="85" t="inlineStr">
        <is>
          <t>CISA federal due date 2026-06-06; active exploitation confirmed by Sansec/Imperva/SecurityWeek; full bundle in Cloud-Security/2026-06-CISA-KEV-Magento-Mirasvit</t>
        </is>
      </c>
    </row>
    <row r="13">
      <c r="A13" s="52" t="inlineStr">
        <is>
          <t>RR-009</t>
        </is>
      </c>
      <c r="B13" s="53" t="inlineStr">
        <is>
          <t>2026-06-08</t>
        </is>
      </c>
      <c r="C13" s="53" t="inlineStr">
        <is>
          <t>AI Governance Update</t>
        </is>
      </c>
      <c r="D13" s="53" t="inlineStr">
        <is>
          <t>Draft Guidelines — High-Risk AI Classification (Consultation closed 2026-06-23)</t>
        </is>
      </c>
      <c r="E13" s="53" t="inlineStr">
        <is>
          <t>European Commission draft guidance on classifying AI systems as "high-risk" under EU AI Act Annex III; enforcement infrastructure being stood up; high-risk obligation deadlines extended to Dec 2027 / Aug 2028</t>
        </is>
      </c>
      <c r="F13" s="52" t="inlineStr">
        <is>
          <t>AI-Governance</t>
        </is>
      </c>
      <c r="G13" s="83" t="inlineStr">
        <is>
          <t>AI System Governance &amp; Compliance Program</t>
        </is>
      </c>
      <c r="H13" s="83" t="inlineStr">
        <is>
          <t>EU-Resident AI System Inventory (EU AI Act Annex III Scope)</t>
        </is>
      </c>
      <c r="I13" s="83" t="inlineStr">
        <is>
          <t>NIST AI RMF GOVERN/MAP (1.1, 5.1) | ISO 42001 Clauses 6.1.2/8.4/4.1 | EU AI Act Article 6/Annex III | GDPR Article 35 (DPIA overlap)</t>
        </is>
      </c>
      <c r="J13" s="83" t="inlineStr">
        <is>
          <t>GOVERN, MAP</t>
        </is>
      </c>
      <c r="K13" s="84" t="n">
        <v>3</v>
      </c>
      <c r="L13" s="84" t="n">
        <v>3</v>
      </c>
      <c r="M13" s="84" t="n">
        <v>9</v>
      </c>
      <c r="N13" s="84" t="inlineStr">
        <is>
          <t>Medium</t>
        </is>
      </c>
      <c r="O13" s="84" t="inlineStr">
        <is>
          <t>Medium-High</t>
        </is>
      </c>
      <c r="P13" s="83" t="inlineStr">
        <is>
          <t>Existing ISO 42001 risk-assessment processes (where implemented) and NIST AI RMF MAP practices provide a transferable methodology for classification</t>
        </is>
      </c>
      <c r="Q13" s="84" t="inlineStr">
        <is>
          <t>Low</t>
        </is>
      </c>
      <c r="R13" s="83" t="inlineStr">
        <is>
          <t>Compile complete AI-system inventory mapped to EU-resident exposure; classify each system against draft Annex III criteria using ISO 42001 Clause 8.4 template; consider submitting consultation feedback before 2026-06-23; build combined NIST AI RMF/ISO 42001/EU AI Act/GDPR evidence template</t>
        </is>
      </c>
      <c r="S13" s="84" t="inlineStr">
        <is>
          <t>N/A — Regulatory/Governance</t>
        </is>
      </c>
      <c r="T13" s="83" t="inlineStr">
        <is>
          <t>AI Governance Lead</t>
        </is>
      </c>
      <c r="U13" s="84" t="inlineStr">
        <is>
          <t>Open — Proactive</t>
        </is>
      </c>
      <c r="V13" s="84" t="inlineStr">
        <is>
          <t>2026-09-08</t>
        </is>
      </c>
      <c r="W13" s="85" t="inlineStr">
        <is>
          <t>2026-06-29</t>
        </is>
      </c>
      <c r="X13" s="85" t="inlineStr">
        <is>
          <t>18-month runway to Dec 2027 milestone; full bundle in AI-Governance/2026-06-EU-AI-Act-HighRisk-Classification. REVISED 2026-06-29: Public consultation closed as scheduled 2026-06-23; European Parliament finalized deadline-delay amendments (approved 2026-06-16) for certain Annex III high-risk categories. Recommend maintaining program momentum despite timeline relief — see AI-Governance/2026-06-EU-AI-Act-HighRisk-Classification-UPDATE.</t>
        </is>
      </c>
    </row>
    <row r="14">
      <c r="A14" s="52" t="inlineStr">
        <is>
          <t>RR-010</t>
        </is>
      </c>
      <c r="B14" s="53" t="inlineStr">
        <is>
          <t>2026-06-08</t>
        </is>
      </c>
      <c r="C14" s="53" t="inlineStr">
        <is>
          <t>CISA KEV</t>
        </is>
      </c>
      <c r="D14" s="53" t="inlineStr">
        <is>
          <t>CVE-2025-48595</t>
        </is>
      </c>
      <c r="E14" s="53" t="inlineStr">
        <is>
          <t>Android Framework integer overflow (CWE-190) enabling local elevation of privilege; CVSS 8.4; Google confirms limited, targeted exploitation (spyware/nation-state pattern); affects Android 14/15/16/16-QPR2</t>
        </is>
      </c>
      <c r="F14" s="52" t="inlineStr">
        <is>
          <t>IT-OT-Threats</t>
        </is>
      </c>
      <c r="G14" s="83" t="inlineStr">
        <is>
          <t>Mobile / BYOD Endpoint Fleet</t>
        </is>
      </c>
      <c r="H14" s="83" t="inlineStr">
        <is>
          <t>Android 14 / 15 / 16 / 16-QPR2 — Managed &amp; BYOD Devices</t>
        </is>
      </c>
      <c r="I14" s="83" t="inlineStr">
        <is>
          <t>NIST CSF 2.0 PR.PS-02/DE.CM-09 | NIST 800-53 SI-2/CM-6 | ISO 27001 A.8.8 | CIS Control 4 (Mobile/BYOD)</t>
        </is>
      </c>
      <c r="J14" s="83" t="inlineStr">
        <is>
          <t>SI-2, CM-6</t>
        </is>
      </c>
      <c r="K14" s="84" t="n">
        <v>4</v>
      </c>
      <c r="L14" s="84" t="n">
        <v>3</v>
      </c>
      <c r="M14" s="84" t="n">
        <v>12</v>
      </c>
      <c r="N14" s="84" t="inlineStr">
        <is>
          <t>High</t>
        </is>
      </c>
      <c r="O14" s="84" t="inlineStr">
        <is>
          <t>Medium</t>
        </is>
      </c>
      <c r="P14" s="83" t="inlineStr">
        <is>
          <t>MDM/UEM enforcement of OS patch-level baselines on managed devices; app-vetting controls limiting locally-installed untrusted apps</t>
        </is>
      </c>
      <c r="Q14" s="84" t="inlineStr">
        <is>
          <t>Low</t>
        </is>
      </c>
      <c r="R14" s="83" t="inlineStr">
        <is>
          <t>Push June 2026 Android security patch level to all managed/BYOD devices via MDM/UEM within 7 days; flag any device failing to report patched build for conditional-access restriction</t>
        </is>
      </c>
      <c r="S14" s="84" t="inlineStr">
        <is>
          <t>Control 4</t>
        </is>
      </c>
      <c r="T14" s="83" t="inlineStr">
        <is>
          <t>Endpoint / Mobility Engineering</t>
        </is>
      </c>
      <c r="U14" s="84" t="inlineStr">
        <is>
          <t>Open</t>
        </is>
      </c>
      <c r="V14" s="84" t="inlineStr">
        <is>
          <t>2026-06-15</t>
        </is>
      </c>
      <c r="W14" s="85" t="inlineStr">
        <is>
          <t>2026-06-08</t>
        </is>
      </c>
      <c r="X14" s="85" t="inlineStr">
        <is>
          <t>Register entry only — mobile/endpoint scope did not meet full-bundle threshold (no direct AWS/IAM/CSPM/AI-platform nexus); monitor for KEV escalation</t>
        </is>
      </c>
    </row>
    <row r="15">
      <c r="A15" s="52" t="inlineStr">
        <is>
          <t>RR-011</t>
        </is>
      </c>
      <c r="B15" s="53" t="inlineStr">
        <is>
          <t>2026-06-15</t>
        </is>
      </c>
      <c r="C15" s="53" t="inlineStr">
        <is>
          <t>CISA KEV</t>
        </is>
      </c>
      <c r="D15" s="53" t="inlineStr">
        <is>
          <t>CVE-2026-35273</t>
        </is>
      </c>
      <c r="E15" s="53" t="inlineStr">
        <is>
          <t>Oracle PeopleSoft Enterprise PeopleTools (EMHub) — Missing authentication for critical function enabling unauthenticated RCE; CVSS 9.8; zero-day exploited by UNC6240 (ShinyHunters) May 27–June 9, 2026; active extortion campaign</t>
        </is>
      </c>
      <c r="F15" s="52" t="inlineStr">
        <is>
          <t>IT-OT-Threats / Financial-Services</t>
        </is>
      </c>
      <c r="G15" s="53" t="inlineStr">
        <is>
          <t>ERP Platform (HR, Finance, Student Administration)</t>
        </is>
      </c>
      <c r="H15" s="53" t="inlineStr">
        <is>
          <t>Oracle PeopleSoft PeopleTools 8.61 / 8.62</t>
        </is>
      </c>
      <c r="I15" s="53" t="inlineStr">
        <is>
          <t>NIST CSF 2.0: PR.PS-04/DE.CM-01/RS.AN-03/RS.MI-02 | NIST 800-53: SI-2/IA-2/AC-3/SI-10/IR-4/AU-6 | ISO 27001: A.8.8/A.5.15/A.8.5/A.5.26 | CIS Control 7/12/17</t>
        </is>
      </c>
      <c r="J15" s="53" t="inlineStr">
        <is>
          <t>SI-2, IA-2, AC-3, IR-4</t>
        </is>
      </c>
      <c r="K15" s="52" t="n">
        <v>5</v>
      </c>
      <c r="L15" s="52" t="n">
        <v>5</v>
      </c>
      <c r="M15" s="52" t="n">
        <v>25</v>
      </c>
      <c r="N15" s="52" t="inlineStr">
        <is>
          <t>Critical</t>
        </is>
      </c>
      <c r="O15" s="52" t="inlineStr">
        <is>
          <t>Critical</t>
        </is>
      </c>
      <c r="P15" s="53" t="inlineStr">
        <is>
          <t>Network perimeter firewall; SIEM monitoring; vulnerability scanning (signatures not available during zero-day window)</t>
        </is>
      </c>
      <c r="Q15" s="52" t="inlineStr">
        <is>
          <t>Critical (without patch); High with VPN-only access compensating control</t>
        </is>
      </c>
      <c r="R15" s="53" t="inlineStr">
        <is>
          <t>Apply Oracle emergency patch for CVE-2026-35273 to all PeopleTools 8.61/8.62 by June 22; restrict internet-facing PeopleSoft portals to VPN/internal access immediately; conduct threat hunt for UNC6240 IOCs from Mandiant June 11 report; engage IR retainer if IOCs found; assess SEC 4-day disclosure obligation if breach confirmed</t>
        </is>
      </c>
      <c r="S15" s="52" t="inlineStr">
        <is>
          <t>CIS Control 7.4 / CIS Control 17.4 / CIS Control 12.2</t>
        </is>
      </c>
      <c r="T15" s="53" t="inlineStr">
        <is>
          <t>Enterprise Application Engineering / GRC</t>
        </is>
      </c>
      <c r="U15" s="52" t="inlineStr">
        <is>
          <t>Open — Emergency</t>
        </is>
      </c>
      <c r="V15" s="52" t="inlineStr">
        <is>
          <t>2026-06-22</t>
        </is>
      </c>
      <c r="W15" s="52" t="inlineStr">
        <is>
          <t>2026-06-15</t>
        </is>
      </c>
      <c r="X15" s="53" t="inlineStr">
        <is>
          <t>CISA KEV added 2026-06-12; federal due date 2026-07-03 (BOD 26-04); zero-day exploited by ShinyHunters (UNC6240) extortion campaign; Oracle out-of-band patch available June 12; full bundle in IT-OT-Threats/2026-06-CISA-KEV-Oracle-PeopleSoft</t>
        </is>
      </c>
    </row>
    <row r="16">
      <c r="A16" s="52" t="inlineStr">
        <is>
          <t>RR-012</t>
        </is>
      </c>
      <c r="B16" s="53" t="inlineStr">
        <is>
          <t>2026-06-15</t>
        </is>
      </c>
      <c r="C16" s="53" t="inlineStr">
        <is>
          <t>MSRC</t>
        </is>
      </c>
      <c r="D16" s="53" t="inlineStr">
        <is>
          <t>CVE-2026-45657</t>
        </is>
      </c>
      <c r="E16" s="53" t="inlineStr">
        <is>
          <t>Windows Kernel use-after-free RCE — wormable; CVSS 9.8; unauthenticated network attack, no user interaction; SYSTEM-level code execution; self-propagating exploit profile comparable to EternalBlue/WannaCry (June 2026 Patch Tuesday)</t>
        </is>
      </c>
      <c r="F16" s="52" t="inlineStr">
        <is>
          <t>Cloud-Security / IT-OT-Threats</t>
        </is>
      </c>
      <c r="G16" s="53" t="inlineStr">
        <is>
          <t>Windows Endpoints / Servers / Azure IaaS VMs / AWS EC2 Windows</t>
        </is>
      </c>
      <c r="H16" s="53" t="inlineStr">
        <is>
          <t>Windows 10, Windows 11, Windows Server 2019/2022/2025 (all supported versions)</t>
        </is>
      </c>
      <c r="I16" s="53" t="inlineStr">
        <is>
          <t>NIST CSF 2.0: PR.PS-04/PR.IR-01/DE.CM-09/RC.RP-01 | NIST 800-53: SI-2/CM-6/SC-7/CP-9/RA-5 | ISO 27001: A.8.8/A.8.9/A.8.22/A.8.13 | CIS Control 7/4/11/12</t>
        </is>
      </c>
      <c r="J16" s="53" t="inlineStr">
        <is>
          <t>SI-2, CM-6, SC-7, CP-9</t>
        </is>
      </c>
      <c r="K16" s="52" t="n">
        <v>4</v>
      </c>
      <c r="L16" s="52" t="n">
        <v>5</v>
      </c>
      <c r="M16" s="52" t="n">
        <v>20</v>
      </c>
      <c r="N16" s="52" t="inlineStr">
        <is>
          <t>Critical</t>
        </is>
      </c>
      <c r="O16" s="52" t="inlineStr">
        <is>
          <t>Critical</t>
        </is>
      </c>
      <c r="P16" s="53" t="inlineStr">
        <is>
          <t>Endpoint patch management (WSUS/Intune/SSM); network segmentation (NSGs/SGs/VPC); EDR (CrowdStrike/Defender); SMB east-west blocking partially implemented</t>
        </is>
      </c>
      <c r="Q16" s="52" t="inlineStr">
        <is>
          <t>High (without full patch deployment); Low after patch complete</t>
        </is>
      </c>
      <c r="R16" s="53" t="inlineStr">
        <is>
          <t>Deploy June 2026 Windows cumulative update to ALL endpoints and servers within 72 hours (by June 18); prioritize internet-facing, DCs, and cloud VMs; block SMB (TCP 445) between network segments immediately as worm containment control; verify immutable backups exist before possible exploitation; use Azure Update Manager / AWS SSM Patch Manager for cloud VM compliance</t>
        </is>
      </c>
      <c r="S16" s="52" t="inlineStr">
        <is>
          <t>CIS Control 7.4 / CIS Control 12.2 / CIS Control 11.2</t>
        </is>
      </c>
      <c r="T16" s="53" t="inlineStr">
        <is>
          <t>Cloud Platform Engineering / Endpoint Engineering</t>
        </is>
      </c>
      <c r="U16" s="52" t="inlineStr">
        <is>
          <t>Open — Emergency</t>
        </is>
      </c>
      <c r="V16" s="52" t="inlineStr">
        <is>
          <t>2026-06-18</t>
        </is>
      </c>
      <c r="W16" s="52" t="inlineStr">
        <is>
          <t>2026-06-15</t>
        </is>
      </c>
      <c r="X16" s="53" t="inlineStr">
        <is>
          <t>No confirmed exploitation at disclosure; wormable profile = treat as imminent (ZDI EternalBlue comparison); June 2026 Patch Tuesday (198 CVEs, largest ever); full bundle in Cloud-Security/2026-06-MSRC-PatchTuesday-WormableKernel</t>
        </is>
      </c>
    </row>
    <row r="17">
      <c r="A17" s="52" t="inlineStr">
        <is>
          <t>RR-013</t>
        </is>
      </c>
      <c r="B17" s="53" t="inlineStr">
        <is>
          <t>2026-06-15</t>
        </is>
      </c>
      <c r="C17" s="53" t="inlineStr">
        <is>
          <t>MSRC</t>
        </is>
      </c>
      <c r="D17" s="53" t="inlineStr">
        <is>
          <t>CVE-2026-47291</t>
        </is>
      </c>
      <c r="E17" s="53" t="inlineStr">
        <is>
          <t>Windows HTTP Protocol Stack (HTTP.sys) integer overflow/heap overflow RCE; CVSS 9.8; unauthenticated; single malicious HTTP packet achieves full server RCE; configurable registry mitigation available (MaxRequestBytes ≤ 65534) (June 2026 Patch Tuesday)</t>
        </is>
      </c>
      <c r="F17" s="52" t="inlineStr">
        <is>
          <t>Cloud-Security / IT-OT-Threats</t>
        </is>
      </c>
      <c r="G17" s="53" t="inlineStr">
        <is>
          <t>Internet-facing Windows Web Servers / Azure IaaS IIS / Cloud-hosted Web Infrastructure</t>
        </is>
      </c>
      <c r="H17" s="53" t="inlineStr">
        <is>
          <t>Windows HTTP.sys (all IIS/HTTP.sys-exposed Windows Server versions)</t>
        </is>
      </c>
      <c r="I17" s="53" t="inlineStr">
        <is>
          <t>NIST CSF 2.0: PR.PS-04/PR.PS-02/DE.CM-09 | NIST 800-53: SI-2/CM-6/SC-5/SC-7 | ISO 27001: A.8.8/A.8.9 | CIS Control 7/4/12</t>
        </is>
      </c>
      <c r="J17" s="53" t="inlineStr">
        <is>
          <t>SI-2, CM-6, SC-7</t>
        </is>
      </c>
      <c r="K17" s="52" t="n">
        <v>4</v>
      </c>
      <c r="L17" s="52" t="n">
        <v>5</v>
      </c>
      <c r="M17" s="52" t="n">
        <v>20</v>
      </c>
      <c r="N17" s="52" t="inlineStr">
        <is>
          <t>Critical</t>
        </is>
      </c>
      <c r="O17" s="52" t="inlineStr">
        <is>
          <t>Critical</t>
        </is>
      </c>
      <c r="P17" s="53" t="inlineStr">
        <is>
          <t>WAF; NSG inbound HTTP restrictions; endpoint patch management</t>
        </is>
      </c>
      <c r="Q17" s="52" t="inlineStr">
        <is>
          <t>Medium (with MaxRequestBytes registry workaround); Low after June 2026 patch applied</t>
        </is>
      </c>
      <c r="R17" s="53" t="inlineStr">
        <is>
          <t>IMMEDIATE: Set MaxRequestBytes registry value ≤ 65534 (default 16384) on all IIS/HTTP.sys servers via GPO/SSM — eliminates exposure without reboot. Then: apply June 2026 cumulative update to all internet-facing Windows web servers by June 16. Remove registry workaround after patch confirmed installed.</t>
        </is>
      </c>
      <c r="S17" s="52" t="inlineStr">
        <is>
          <t>CIS Control 7.4 / CIS Control 4.1</t>
        </is>
      </c>
      <c r="T17" s="53" t="inlineStr">
        <is>
          <t>Cloud Platform Engineering / Windows Sysadmin</t>
        </is>
      </c>
      <c r="U17" s="52" t="inlineStr">
        <is>
          <t>Open — Emergency</t>
        </is>
      </c>
      <c r="V17" s="52" t="inlineStr">
        <is>
          <t>2026-06-16</t>
        </is>
      </c>
      <c r="W17" s="52" t="inlineStr">
        <is>
          <t>2026-06-15</t>
        </is>
      </c>
      <c r="X17" s="53" t="inlineStr">
        <is>
          <t>Registry compensating control available immediately (no reboot required); full bundle in Cloud-Security/2026-06-MSRC-PatchTuesday-WormableKernel (combined with RR-012)</t>
        </is>
      </c>
    </row>
    <row r="18">
      <c r="A18" s="52" t="inlineStr">
        <is>
          <t>RR-014</t>
        </is>
      </c>
      <c r="B18" s="53" t="inlineStr">
        <is>
          <t>2026-06-15</t>
        </is>
      </c>
      <c r="C18" s="53" t="inlineStr">
        <is>
          <t>CISA KEV</t>
        </is>
      </c>
      <c r="D18" s="53" t="inlineStr">
        <is>
          <t>CVE-2026-7473</t>
        </is>
      </c>
      <c r="E18" s="53" t="inlineStr">
        <is>
          <t>Arista Networks EOS incomplete comparison vulnerability — processes non-configured tunnel traffic, bypassing tunnel policy enforcement; CVSS 6.9; actively exploited; NO VENDOR PATCH PLANNED</t>
        </is>
      </c>
      <c r="F18" s="52" t="inlineStr">
        <is>
          <t>IT-OT-Threats</t>
        </is>
      </c>
      <c r="G18" s="53" t="inlineStr">
        <is>
          <t>Enterprise Network Infrastructure / WAN / Data Center Switching</t>
        </is>
      </c>
      <c r="H18" s="53" t="inlineStr">
        <is>
          <t>Arista EOS (all affected versions with tunnel configurations)</t>
        </is>
      </c>
      <c r="I18" s="53" t="inlineStr">
        <is>
          <t>NIST CSF 2.0: PR.IR-01/DE.CM-01/GV.RM-06 | NIST 800-53: SC-7/AC-4/SI-4/RA-3 | ISO 27001: A.8.22/A.8.16/A.8.9 | CIS Control 12/13 | IEC 62443 Zone/Conduit model</t>
        </is>
      </c>
      <c r="J18" s="53" t="inlineStr">
        <is>
          <t>SC-7, AC-4, SI-4</t>
        </is>
      </c>
      <c r="K18" s="52" t="n">
        <v>4</v>
      </c>
      <c r="L18" s="52" t="n">
        <v>4</v>
      </c>
      <c r="M18" s="52" t="n">
        <v>16</v>
      </c>
      <c r="N18" s="52" t="inlineStr">
        <is>
          <t>High</t>
        </is>
      </c>
      <c r="O18" s="52" t="inlineStr">
        <is>
          <t>High</t>
        </is>
      </c>
      <c r="P18" s="53" t="inlineStr">
        <is>
          <t>Network firewall; SIEM monitoring; existing tunnel configurations as intended (but now unreliable as security boundary)</t>
        </is>
      </c>
      <c r="Q18" s="52" t="inlineStr">
        <is>
          <t>Medium (with interface ACLs, NetFlow monitoring, and defense-in-depth inline firewall at critical boundaries)</t>
        </is>
      </c>
      <c r="R18" s="53" t="inlineStr">
        <is>
          <t>No patch available (vendor will not fix). Compensating controls: (1) Deploy explicit interface-level ACLs denying unexpected tunnel sources on all Arista EOS devices; (2) Enable NetFlow/sFlow telemetry on all affected devices with SIEM alerting for unexpected tunnel traffic; (3) For critical boundaries (OT/financial): deploy inline stateful firewall as defense-in-depth; (4) Execute formal risk acceptance with CISO/CRO sign-off by June 30.</t>
        </is>
      </c>
      <c r="S18" s="52" t="inlineStr">
        <is>
          <t>CIS Control 12.2 / CIS Control 13.6</t>
        </is>
      </c>
      <c r="T18" s="53" t="inlineStr">
        <is>
          <t>Network Engineering / GRC</t>
        </is>
      </c>
      <c r="U18" s="52" t="inlineStr">
        <is>
          <t>Open — Compensating Controls / Risk Acceptance</t>
        </is>
      </c>
      <c r="V18" s="52" t="inlineStr">
        <is>
          <t>2026-06-30</t>
        </is>
      </c>
      <c r="W18" s="52" t="inlineStr">
        <is>
          <t>2026-06-15</t>
        </is>
      </c>
      <c r="X18" s="53" t="inlineStr">
        <is>
          <t>CISA KEV added 2026-06-09; BOD 26-04 due date June 30; Arista confirmed no patch planned; permanent unpatched state requires formal risk acceptance; IEC 62443 zone integrity implications for OT environments; full bundle in IT-OT-Threats/2026-06-CISA-KEV-Arista-EOS</t>
        </is>
      </c>
    </row>
    <row r="19">
      <c r="A19" s="52" t="inlineStr">
        <is>
          <t>RR-015</t>
        </is>
      </c>
      <c r="B19" s="53" t="inlineStr">
        <is>
          <t>2026-06-15</t>
        </is>
      </c>
      <c r="C19" s="53" t="inlineStr">
        <is>
          <t>CISA KEV</t>
        </is>
      </c>
      <c r="D19" s="53" t="inlineStr">
        <is>
          <t>CVE-2026-11645</t>
        </is>
      </c>
      <c r="E19" s="53" t="inlineStr">
        <is>
          <t>Google Chromium V8 out-of-bounds read/write enabling sandbox escape and arbitrary code execution via crafted HTML page; CVSS 8.8; actively exploited via phishing/malvertising; also affects all Electron-based enterprise desktop apps (VS Code, Slack, etc.)</t>
        </is>
      </c>
      <c r="F19" s="52" t="inlineStr">
        <is>
          <t>IT-OT-Threats</t>
        </is>
      </c>
      <c r="G19" s="53" t="inlineStr">
        <is>
          <t>Enterprise Endpoints / User Workstations / Cloud Console Users</t>
        </is>
      </c>
      <c r="H19" s="53" t="inlineStr">
        <is>
          <t>Google Chrome, Microsoft Edge (Chromium), all Electron-based enterprise applications</t>
        </is>
      </c>
      <c r="I19" s="53" t="inlineStr">
        <is>
          <t>NIST CSF 2.0: PR.PS-04/DE.CM-04/PR.AT-01 | NIST 800-53: SI-2/SI-3/SC-18/AT-2 | ISO 27001: A.8.8/A.8.7/A.6.3/A.8.23 | CIS Control 7/9/14</t>
        </is>
      </c>
      <c r="J19" s="53" t="inlineStr">
        <is>
          <t>SI-2, SI-3, SC-18</t>
        </is>
      </c>
      <c r="K19" s="52" t="n">
        <v>5</v>
      </c>
      <c r="L19" s="52" t="n">
        <v>4</v>
      </c>
      <c r="M19" s="52" t="n">
        <v>20</v>
      </c>
      <c r="N19" s="52" t="inlineStr">
        <is>
          <t>Critical</t>
        </is>
      </c>
      <c r="O19" s="52" t="inlineStr">
        <is>
          <t>Critical</t>
        </is>
      </c>
      <c r="P19" s="53" t="inlineStr">
        <is>
          <t>Chrome auto-update (if not blocked); MDM/Intune browser policy; web content filtering; EDR endpoint protection; email security (DMARC/DKIM)</t>
        </is>
      </c>
      <c r="Q19" s="52" t="inlineStr">
        <is>
          <t>Medium (Chrome/Edge patched); pending Electron app inventory and vendor patch assessment</t>
        </is>
      </c>
      <c r="R19" s="53" t="inlineStr">
        <is>
          <t>Force Chrome and Edge update to latest stable via MDM/Intune — verify 100% compliance. Inventory all Electron-based enterprise apps and track embedded Chromium version for each. Push available Electron app updates; restrict unpatched Electron apps pending vendor fix. Update web filtering threat intel feeds. Send security awareness communication re: phishing/malvertising campaign.</t>
        </is>
      </c>
      <c r="S19" s="52" t="inlineStr">
        <is>
          <t>CIS Control 7.4 / CIS Control 9.2 / CIS Control 14.1</t>
        </is>
      </c>
      <c r="T19" s="53" t="inlineStr">
        <is>
          <t>Endpoint Engineering / SOC</t>
        </is>
      </c>
      <c r="U19" s="52" t="inlineStr">
        <is>
          <t>Open — Emergency</t>
        </is>
      </c>
      <c r="V19" s="52" t="inlineStr">
        <is>
          <t>2026-06-18</t>
        </is>
      </c>
      <c r="W19" s="52" t="inlineStr">
        <is>
          <t>2026-06-15</t>
        </is>
      </c>
      <c r="X19" s="53" t="inlineStr">
        <is>
          <t>CISA KEV added 2026-06-09; BOD 26-04 due date June 30; key risk: Electron app coverage gap — Chrome auto-update alone insufficient; exploit is silent (no user prompt); session theft from cloud console workers is highest-probability impact; full bundle in IT-OT-Threats/2026-06-CISA-KEV-Chrome-V8</t>
        </is>
      </c>
    </row>
    <row r="20">
      <c r="A20" s="52" t="inlineStr">
        <is>
          <t>RR-016</t>
        </is>
      </c>
      <c r="B20" s="53" t="inlineStr">
        <is>
          <t>2026-06-15</t>
        </is>
      </c>
      <c r="C20" s="53" t="inlineStr">
        <is>
          <t>CISA KEV</t>
        </is>
      </c>
      <c r="D20" s="53" t="inlineStr">
        <is>
          <t>CVE-2026-20245</t>
        </is>
      </c>
      <c r="E20" s="53" t="inlineStr">
        <is>
          <t>Cisco Catalyst SD-WAN Manager (vManage) authenticated local OS command injection enabling arbitrary command execution as root via crafted file; CVSS 7.8; actively exploited; root on SD-WAN Manager = control of entire enterprise WAN fabric</t>
        </is>
      </c>
      <c r="F20" s="52" t="inlineStr">
        <is>
          <t>IT-OT-Threats</t>
        </is>
      </c>
      <c r="G20" s="53" t="inlineStr">
        <is>
          <t>Enterprise WAN Infrastructure / Network Management Plane</t>
        </is>
      </c>
      <c r="H20" s="53" t="inlineStr">
        <is>
          <t>Cisco Catalyst SD-WAN Manager (vManage)</t>
        </is>
      </c>
      <c r="I20" s="53" t="inlineStr">
        <is>
          <t>NIST CSF 2.0: PR.AA-05/PR.PS-04/DE.CM-03 | NIST 800-53: SI-2/AC-6/AC-2/CM-3/AU-9 | ISO 27001: A.8.8/A.5.15/A.8.22/A.8.32 | CIS Control 5/7/8/12</t>
        </is>
      </c>
      <c r="J20" s="53" t="inlineStr">
        <is>
          <t>SI-2, AC-6, AC-2, CM-3</t>
        </is>
      </c>
      <c r="K20" s="52" t="n">
        <v>4</v>
      </c>
      <c r="L20" s="52" t="n">
        <v>5</v>
      </c>
      <c r="M20" s="52" t="n">
        <v>20</v>
      </c>
      <c r="N20" s="52" t="inlineStr">
        <is>
          <t>Critical</t>
        </is>
      </c>
      <c r="O20" s="52" t="inlineStr">
        <is>
          <t>Critical</t>
        </is>
      </c>
      <c r="P20" s="53" t="inlineStr">
        <is>
          <t>RBAC on vManage; network-level restriction (variable); audit logging; MFA (variable by org)</t>
        </is>
      </c>
      <c r="Q20" s="52" t="inlineStr">
        <is>
          <t>High until patched; Medium with MFA + management-segment restriction + audit alerting</t>
        </is>
      </c>
      <c r="R20" s="53" t="inlineStr">
        <is>
          <t>Apply Cisco security patch for CVE-2026-20245 immediately (target June 18). Simultaneously: audit all vManage accounts — remove inactive/shared accounts; enforce MFA on all admin accounts; restrict vManage to dedicated management network segment (no direct internet access); forward vManage audit logs to SIEM with alert on policy changes and file uploads; review logs from June 1–15 for exploitation indicators.</t>
        </is>
      </c>
      <c r="S20" s="52" t="inlineStr">
        <is>
          <t>CIS Control 5.4 / CIS Control 7.4 / CIS Control 8.2</t>
        </is>
      </c>
      <c r="T20" s="53" t="inlineStr">
        <is>
          <t>Network Engineering / IAM</t>
        </is>
      </c>
      <c r="U20" s="52" t="inlineStr">
        <is>
          <t>Open — Emergency</t>
        </is>
      </c>
      <c r="V20" s="52" t="inlineStr">
        <is>
          <t>2026-06-30</t>
        </is>
      </c>
      <c r="W20" s="52" t="inlineStr">
        <is>
          <t>2026-06-15</t>
        </is>
      </c>
      <c r="X20" s="53" t="inlineStr">
        <is>
          <t>CISA KEV added 2026-06-09; BOD 26-04 due date June 30; authentication prerequisite (insider/compromised account); root on vManage = WAN-wide control; complementary PAM hardening critical; full bundle in IT-OT-Threats/2026-06-CISA-KEV-Cisco-SDWAN</t>
        </is>
      </c>
    </row>
    <row r="21">
      <c r="A21" s="52" t="inlineStr">
        <is>
          <t>RR-017</t>
        </is>
      </c>
      <c r="B21" s="53" t="inlineStr">
        <is>
          <t>2026-06-22</t>
        </is>
      </c>
      <c r="C21" s="53" t="inlineStr">
        <is>
          <t>CISA KEV</t>
        </is>
      </c>
      <c r="D21" s="53" t="inlineStr">
        <is>
          <t>CVE-2026-20262</t>
        </is>
      </c>
      <c r="E21" s="53" t="inlineStr">
        <is>
          <t>Cisco Catalyst SD-WAN Manager (vManage) path traversal vulnerability allowing unauthenticated attacker to read/overwrite arbitrary files; CVSS 6.5; new vendor patch released this week; KEV-added 2026-06-15; distinct from CVE-2026-20245 (RR-016) — same product, different flaw</t>
        </is>
      </c>
      <c r="F21" s="52" t="inlineStr">
        <is>
          <t>IT-OT-Threats</t>
        </is>
      </c>
      <c r="G21" s="53" t="inlineStr">
        <is>
          <t>Enterprise WAN Infrastructure / Network Management Plane</t>
        </is>
      </c>
      <c r="H21" s="53" t="inlineStr">
        <is>
          <t>Cisco Catalyst SD-WAN Manager (vManage)</t>
        </is>
      </c>
      <c r="I21" s="53" t="inlineStr">
        <is>
          <t>NIST CSF 2.0: PR.PS-04/PR.DS-01/DE.CM-03 | NIST 800-53: SI-2/AC-3/SC-28 | ISO 27001: A.8.8/A.8.24 | CIS Control 7/12</t>
        </is>
      </c>
      <c r="J21" s="53" t="inlineStr">
        <is>
          <t>SI-2, AC-3, SC-28</t>
        </is>
      </c>
      <c r="K21" s="52" t="n">
        <v>4</v>
      </c>
      <c r="L21" s="52" t="n">
        <v>4</v>
      </c>
      <c r="M21" s="52" t="n">
        <v>16</v>
      </c>
      <c r="N21" s="52" t="inlineStr">
        <is>
          <t>High</t>
        </is>
      </c>
      <c r="O21" s="52" t="inlineStr">
        <is>
          <t>High</t>
        </is>
      </c>
      <c r="P21" s="53" t="inlineStr">
        <is>
          <t>Network-level restriction (variable); audit logging</t>
        </is>
      </c>
      <c r="Q21" s="52" t="inlineStr">
        <is>
          <t>Medium until patched; Low-Medium with management-segment restriction</t>
        </is>
      </c>
      <c r="R21" s="53" t="inlineStr">
        <is>
          <t>Apply Cisco patch for CVE-2026-20262 immediately (due 2026-06-29). Restrict vManage management interface to dedicated segment; review file-access logs for path traversal indicators.</t>
        </is>
      </c>
      <c r="S21" s="52" t="inlineStr">
        <is>
          <t>CIS Control 7.4 / CIS Control 12.2</t>
        </is>
      </c>
      <c r="T21" s="53" t="inlineStr">
        <is>
          <t>Network Engineering / IAM</t>
        </is>
      </c>
      <c r="U21" s="52" t="inlineStr">
        <is>
          <t>Open — Emergency</t>
        </is>
      </c>
      <c r="V21" s="52" t="inlineStr">
        <is>
          <t>2026-06-29</t>
        </is>
      </c>
      <c r="W21" s="52" t="inlineStr">
        <is>
          <t>2026-06-22</t>
        </is>
      </c>
      <c r="X21" s="53" t="inlineStr">
        <is>
          <t>ESCALATE/UPDATE relative to RR-016 (CVE-2026-20245) — new, distinct KEV entry on same product family, not a revision; full bundle in IT-OT-Threats/2026-06-CISA-KEV-Cisco-SDWAN-UPDATE</t>
        </is>
      </c>
    </row>
    <row r="22">
      <c r="A22" s="52" t="inlineStr">
        <is>
          <t>RR-018</t>
        </is>
      </c>
      <c r="B22" s="53" t="inlineStr">
        <is>
          <t>2026-06-22</t>
        </is>
      </c>
      <c r="C22" s="53" t="inlineStr">
        <is>
          <t>CISA KEV</t>
        </is>
      </c>
      <c r="D22" s="53" t="inlineStr">
        <is>
          <t>CVE-2026-54420</t>
        </is>
      </c>
      <c r="E22" s="53" t="inlineStr">
        <is>
          <t>LiteSpeed cPanel Plugin UNIX symlink-following vulnerability enabling privilege escalation to root on shared hosting; defeats CloudLinux/CageFS tenant isolation; CVSS 8.5; actively exploited; federal due date already passed</t>
        </is>
      </c>
      <c r="F22" s="52" t="inlineStr">
        <is>
          <t>IT-OT-Threats</t>
        </is>
      </c>
      <c r="G22" s="53" t="inlineStr">
        <is>
          <t>Shared/Multi-Tenant Web Hosting Infrastructure</t>
        </is>
      </c>
      <c r="H22" s="53" t="inlineStr">
        <is>
          <t>LiteSpeed WHM Plugin &lt; 5.3.2.0 / cPanel plugin &lt; 2.4.8</t>
        </is>
      </c>
      <c r="I22" s="53" t="inlineStr">
        <is>
          <t>NIST CSF 2.0: PR.PS-04/DE.CM-09/PR.AA-05 | NIST 800-53: SI-2/CM-6/AC-6 | ISO 27001: A.8.8/A.8.9 | CIS Control 7/4</t>
        </is>
      </c>
      <c r="J22" s="53" t="inlineStr">
        <is>
          <t>SI-2, CM-6, AC-6</t>
        </is>
      </c>
      <c r="K22" s="52" t="n">
        <v>5</v>
      </c>
      <c r="L22" s="52" t="n">
        <v>5</v>
      </c>
      <c r="M22" s="52" t="n">
        <v>25</v>
      </c>
      <c r="N22" s="52" t="inlineStr">
        <is>
          <t>Critical</t>
        </is>
      </c>
      <c r="O22" s="52" t="inlineStr">
        <is>
          <t>Critical</t>
        </is>
      </c>
      <c r="P22" s="53" t="inlineStr">
        <is>
          <t>CloudLinux/CageFS tenant isolation (defeated by this vulnerability — no effective compensating control)</t>
        </is>
      </c>
      <c r="Q22" s="52" t="inlineStr">
        <is>
          <t>Critical (no effective compensating control short of patching)</t>
        </is>
      </c>
      <c r="R22" s="53" t="inlineStr">
        <is>
          <t>Upgrade to LiteSpeed WHM Plugin v5.3.2.1 / cPanel plugin v2.4.8+ immediately on all shared hosting servers. Review logs for symlink-creation anomalies predating patch. Federal due date (2026-06-18) has passed — overdue.</t>
        </is>
      </c>
      <c r="S22" s="52" t="inlineStr">
        <is>
          <t>CIS Control 7.4 / CIS Control 4</t>
        </is>
      </c>
      <c r="T22" s="53" t="inlineStr">
        <is>
          <t>Hosting Operations / Security Operations</t>
        </is>
      </c>
      <c r="U22" s="52" t="inlineStr">
        <is>
          <t>Open — Emergency / Overdue</t>
        </is>
      </c>
      <c r="V22" s="52" t="inlineStr">
        <is>
          <t>2026-06-18</t>
        </is>
      </c>
      <c r="W22" s="52" t="inlineStr">
        <is>
          <t>2026-06-22</t>
        </is>
      </c>
      <c r="X22" s="53" t="inlineStr">
        <is>
          <t>KEV-added 2026-06-15; BOD 26-04 due date already passed as of this run; full bundle in IT-OT-Threats/2026-06-CISA-KEV-LiteSpeed-cPanel</t>
        </is>
      </c>
    </row>
    <row r="23">
      <c r="A23" s="52" t="inlineStr">
        <is>
          <t>RR-019</t>
        </is>
      </c>
      <c r="B23" s="53" t="inlineStr">
        <is>
          <t>2026-06-22</t>
        </is>
      </c>
      <c r="C23" s="53" t="inlineStr">
        <is>
          <t>CISA KEV</t>
        </is>
      </c>
      <c r="D23" s="53" t="inlineStr">
        <is>
          <t>CVE-2026-48907</t>
        </is>
      </c>
      <c r="E23" s="53" t="inlineStr">
        <is>
          <t>Joomla! JCE Editor plugin unrestricted file upload vulnerability enabling unauthenticated/low-privilege remote code execution via web shell upload; CVSS 9.8; actively exploited</t>
        </is>
      </c>
      <c r="F23" s="52" t="inlineStr">
        <is>
          <t>IT-OT-Threats</t>
        </is>
      </c>
      <c r="G23" s="53" t="inlineStr">
        <is>
          <t>Public-Facing CMS Web Applications</t>
        </is>
      </c>
      <c r="H23" s="53" t="inlineStr">
        <is>
          <t>Joomla! JCE Editor plugin (pre-patch versions)</t>
        </is>
      </c>
      <c r="I23" s="53" t="inlineStr">
        <is>
          <t>NIST CSF 2.0: PR.PS-04/DE.CM-09/PR.IR-01 | NIST 800-53: SI-2/SI-3/SC-7 | ISO 27001: A.8.8/A.8.28 | CIS Control 7/16</t>
        </is>
      </c>
      <c r="J23" s="53" t="inlineStr">
        <is>
          <t>SI-2, SI-3, SC-7</t>
        </is>
      </c>
      <c r="K23" s="52" t="n">
        <v>5</v>
      </c>
      <c r="L23" s="52" t="n">
        <v>4</v>
      </c>
      <c r="M23" s="52" t="n">
        <v>20</v>
      </c>
      <c r="N23" s="52" t="inlineStr">
        <is>
          <t>Critical</t>
        </is>
      </c>
      <c r="O23" s="52" t="inlineStr">
        <is>
          <t>Critical</t>
        </is>
      </c>
      <c r="P23" s="53" t="inlineStr">
        <is>
          <t>WAF (variable); CMS plugin inventory (often absent)</t>
        </is>
      </c>
      <c r="Q23" s="52" t="inlineStr">
        <is>
          <t>High until patched; Medium with WAF rules on upload endpoint</t>
        </is>
      </c>
      <c r="R23" s="53" t="inlineStr">
        <is>
          <t>Upgrade JCE plugin to vendor-patched version on all Joomla! sites. Scan web roots for unauthorized files/web shells. Deploy WAF rules on upload endpoint as interim mitigation. Due 2026-07-07.</t>
        </is>
      </c>
      <c r="S23" s="52" t="inlineStr">
        <is>
          <t>CIS Control 7 / CIS Control 16</t>
        </is>
      </c>
      <c r="T23" s="53" t="inlineStr">
        <is>
          <t>Web/IT Operations / Security Operations</t>
        </is>
      </c>
      <c r="U23" s="52" t="inlineStr">
        <is>
          <t>Open — Emergency</t>
        </is>
      </c>
      <c r="V23" s="52" t="inlineStr">
        <is>
          <t>2026-07-07</t>
        </is>
      </c>
      <c r="W23" s="52" t="inlineStr">
        <is>
          <t>2026-06-22</t>
        </is>
      </c>
      <c r="X23" s="53" t="inlineStr">
        <is>
          <t>KEV-added 2026-06-16; BOD 26-04 due date 2026-07-07; full bundle in IT-OT-Threats/2026-06-CISA-KEV-Joomla-JCE</t>
        </is>
      </c>
    </row>
    <row r="24">
      <c r="A24" s="52" t="inlineStr">
        <is>
          <t>RR-020</t>
        </is>
      </c>
      <c r="B24" s="53" t="inlineStr">
        <is>
          <t>2026-06-22</t>
        </is>
      </c>
      <c r="C24" s="53" t="inlineStr">
        <is>
          <t>CISA ICS Advisory</t>
        </is>
      </c>
      <c r="D24" s="53" t="inlineStr">
        <is>
          <t>CVE-2025-13036; CVE-2025-44019; CVE-2025-36539</t>
        </is>
      </c>
      <c r="E24" s="53" t="inlineStr">
        <is>
          <t>Rockwell Automation FactoryTalk Historian SE — chained vulnerabilities: insecure deserialization enabling RCE (CVSS 9.8), hardcoded credentials (CVSS 8.4), improper access control (CVSS 7.5); not yet KEV-listed, no confirmed active exploitation</t>
        </is>
      </c>
      <c r="F24" s="52" t="inlineStr">
        <is>
          <t>IT-OT-Threats</t>
        </is>
      </c>
      <c r="G24" s="53" t="inlineStr">
        <is>
          <t>OT/ICS Data Historian Infrastructure (IT/OT Boundary)</t>
        </is>
      </c>
      <c r="H24" s="53" t="inlineStr">
        <is>
          <t>Rockwell Automation FactoryTalk Historian SE</t>
        </is>
      </c>
      <c r="I24" s="53" t="inlineStr">
        <is>
          <t>NIST CSF 2.0: PR.PS-04/PR.AA-01/DE.CM-09 | NIST 800-53: SI-2/IA-5/AC-3 | IEC 62443: SR 1.1/SR 3.1/SR 7.6 | ISO 27001: A.8.8/A.8.5</t>
        </is>
      </c>
      <c r="J24" s="53" t="inlineStr">
        <is>
          <t>SI-2, IA-5, AC-3</t>
        </is>
      </c>
      <c r="K24" s="52" t="n">
        <v>3</v>
      </c>
      <c r="L24" s="52" t="n">
        <v>5</v>
      </c>
      <c r="M24" s="52" t="n">
        <v>15</v>
      </c>
      <c r="N24" s="52" t="inlineStr">
        <is>
          <t>High</t>
        </is>
      </c>
      <c r="O24" s="52" t="inlineStr">
        <is>
          <t>High</t>
        </is>
      </c>
      <c r="P24" s="53" t="inlineStr">
        <is>
          <t>IT/OT network segmentation (effectiveness unverified)</t>
        </is>
      </c>
      <c r="Q24" s="52" t="inlineStr">
        <is>
          <t>Medium-High pending segmentation verification and patch</t>
        </is>
      </c>
      <c r="R24" s="53" t="inlineStr">
        <is>
          <t>Apply Rockwell vendor patches for all three CVEs. Rotate hardcoded/default credentials. Verify IT/OT network segmentation around historian servers. Target 2026-07-06.</t>
        </is>
      </c>
      <c r="S24" s="52" t="inlineStr">
        <is>
          <t>N/A (ICS/IEC 62443 context)</t>
        </is>
      </c>
      <c r="T24" s="53" t="inlineStr">
        <is>
          <t>OT/ICS Engineering / Security Architecture</t>
        </is>
      </c>
      <c r="U24" s="52" t="inlineStr">
        <is>
          <t>Open</t>
        </is>
      </c>
      <c r="V24" s="52" t="inlineStr">
        <is>
          <t>2026-07-06</t>
        </is>
      </c>
      <c r="W24" s="52" t="inlineStr">
        <is>
          <t>2026-06-22</t>
        </is>
      </c>
      <c r="X24" s="53" t="inlineStr">
        <is>
          <t>CISA Advisory ICSA-26-167-02 published 2026-06-16; not yet KEV-listed; full bundle in IT-OT-Threats/2026-06-CISA-Advisory-Rockwell-FactoryTalkHistorian</t>
        </is>
      </c>
    </row>
    <row r="25">
      <c r="A25" s="52" t="inlineStr">
        <is>
          <t>RR-021</t>
        </is>
      </c>
      <c r="B25" s="53" t="inlineStr">
        <is>
          <t>2026-06-22</t>
        </is>
      </c>
      <c r="C25" s="53" t="inlineStr">
        <is>
          <t>CISA ICS Advisory</t>
        </is>
      </c>
      <c r="D25" s="53" t="inlineStr">
        <is>
          <t>ICSA-26-167-04</t>
        </is>
      </c>
      <c r="E25" s="53" t="inlineStr">
        <is>
          <t>Rockwell Automation CompactLogix denial-of-service vulnerability; CVSS 6.3 (Medium); DoS-only impact; vendor fix available; below full-bundle threshold per program precedent (consistent with RR-010 treatment)</t>
        </is>
      </c>
      <c r="F25" s="52" t="inlineStr">
        <is>
          <t>IT-OT-Threats</t>
        </is>
      </c>
      <c r="G25" s="53" t="inlineStr">
        <is>
          <t>OT/ICS Programmable Logic Controllers</t>
        </is>
      </c>
      <c r="H25" s="53" t="inlineStr">
        <is>
          <t>Rockwell Automation CompactLogix PLC family</t>
        </is>
      </c>
      <c r="I25" s="53" t="inlineStr">
        <is>
          <t>NIST CSF 2.0: PR.PS-04/DE.AE-02 | NIST 800-53: SI-2 | IEC 62443: SR 7.1</t>
        </is>
      </c>
      <c r="J25" s="53" t="inlineStr">
        <is>
          <t>SI-2</t>
        </is>
      </c>
      <c r="K25" s="52" t="n">
        <v>2</v>
      </c>
      <c r="L25" s="52" t="n">
        <v>3</v>
      </c>
      <c r="M25" s="52" t="n">
        <v>6</v>
      </c>
      <c r="N25" s="52" t="inlineStr">
        <is>
          <t>Medium</t>
        </is>
      </c>
      <c r="O25" s="52" t="inlineStr">
        <is>
          <t>Medium</t>
        </is>
      </c>
      <c r="P25" s="53" t="inlineStr">
        <is>
          <t>Standard OT patch cycle; network segmentation</t>
        </is>
      </c>
      <c r="Q25" s="52" t="inlineStr">
        <is>
          <t>Low-Medium with timely patching</t>
        </is>
      </c>
      <c r="R25" s="53" t="inlineStr">
        <is>
          <t>Apply Rockwell vendor fix for CompactLogix DoS vulnerability during next standard OT patch cycle.</t>
        </is>
      </c>
      <c r="S25" s="52" t="inlineStr">
        <is>
          <t>N/A (ICS context)</t>
        </is>
      </c>
      <c r="T25" s="53" t="inlineStr">
        <is>
          <t>OT/ICS Engineering</t>
        </is>
      </c>
      <c r="U25" s="52" t="inlineStr">
        <is>
          <t>Open — Standard Cycle</t>
        </is>
      </c>
      <c r="V25" s="52" t="inlineStr">
        <is>
          <t>2026-07-31</t>
        </is>
      </c>
      <c r="W25" s="52" t="inlineStr">
        <is>
          <t>2026-06-22</t>
        </is>
      </c>
      <c r="X25" s="53" t="inlineStr">
        <is>
          <t>Register-entry only — no full case-study bundle built; DoS-only impact, vendor fix available, below program full-bundle threshold (precedent: RR-010)</t>
        </is>
      </c>
    </row>
    <row r="26">
      <c r="A26" s="52" t="inlineStr">
        <is>
          <t>RR-022</t>
        </is>
      </c>
      <c r="B26" s="53" t="inlineStr">
        <is>
          <t>2026-06-22</t>
        </is>
      </c>
      <c r="C26" s="53" t="inlineStr">
        <is>
          <t>Obsidian Security / CISA KEV</t>
        </is>
      </c>
      <c r="D26" s="53" t="inlineStr">
        <is>
          <t>CVE-2026-42271; CVE-2026-47101; CVE-2026-47102; CVE-2026-40217</t>
        </is>
      </c>
      <c r="E26" s="53" t="inlineStr">
        <is>
          <t>LiteLLM AI Gateway/Proxy — authentication bypass (CVSS 9.1) plus related SSRF/privilege escalation/info disclosure vulnerabilities; actively exploited; gateway sits between applications and upstream LLM providers, risking credential exposure</t>
        </is>
      </c>
      <c r="F26" s="52" t="inlineStr">
        <is>
          <t>AI-Governance / Cloud-Security (dual-category)</t>
        </is>
      </c>
      <c r="G26" s="53" t="inlineStr">
        <is>
          <t>AI/LLM Infrastructure — Model Gateway/Proxy</t>
        </is>
      </c>
      <c r="H26" s="53" t="inlineStr">
        <is>
          <t>LiteLLM open-source AI gateway</t>
        </is>
      </c>
      <c r="I26" s="53" t="inlineStr">
        <is>
          <t>NIST AI RMF: GOVERN 1.1/MANAGE 2.3/MAP 4.1 | ISO/IEC 42001: Clause 8.1/6.1 | NIST CSF 2.0: PR.AA-01/DE.CM-09 | NIST 800-53: SI-2/IA-2/SC-7 | EU AI Act: Article 9</t>
        </is>
      </c>
      <c r="J26" s="53" t="inlineStr">
        <is>
          <t>SI-2, IA-2, SC-7</t>
        </is>
      </c>
      <c r="K26" s="52" t="n">
        <v>5</v>
      </c>
      <c r="L26" s="52" t="n">
        <v>5</v>
      </c>
      <c r="M26" s="52" t="n">
        <v>25</v>
      </c>
      <c r="N26" s="52" t="inlineStr">
        <is>
          <t>Critical</t>
        </is>
      </c>
      <c r="O26" s="52" t="inlineStr">
        <is>
          <t>Critical</t>
        </is>
      </c>
      <c r="P26" s="53" t="inlineStr">
        <is>
          <t>Standard application authentication (bypassed by this vulnerability)</t>
        </is>
      </c>
      <c r="Q26" s="52" t="inlineStr">
        <is>
          <t>High until patched; reduced with credential rotation and egress restriction</t>
        </is>
      </c>
      <c r="R26" s="53" t="inlineStr">
        <is>
          <t>Upgrade LiteLLM to patched release immediately. Rotate all AI provider API keys/credentials proxied through the gateway. Restrict gateway network egress. Review access and billing logs for anomalies since 2026-06-11.</t>
        </is>
      </c>
      <c r="S26" s="52" t="inlineStr">
        <is>
          <t>N/A (AI governance context)</t>
        </is>
      </c>
      <c r="T26" s="53" t="inlineStr">
        <is>
          <t>AI/Platform Engineering / Security Operations</t>
        </is>
      </c>
      <c r="U26" s="52" t="inlineStr">
        <is>
          <t>Open — Emergency</t>
        </is>
      </c>
      <c r="V26" s="52" t="inlineStr">
        <is>
          <t>2026-06-25</t>
        </is>
      </c>
      <c r="W26" s="52" t="inlineStr">
        <is>
          <t>2026-06-22</t>
        </is>
      </c>
      <c r="X26" s="53" t="inlineStr">
        <is>
          <t>Disclosed 2026-06-11 (Obsidian Security); related CVEs KEV-added week of 2026-06-15; included per program priority on AI/LLM platform risk despite disclosure falling just before strict 7-day window — documented judgment call; dual-category bundle duplicated in AI-Governance and Cloud-Security</t>
        </is>
      </c>
    </row>
    <row r="27">
      <c r="A27" s="52" t="inlineStr">
        <is>
          <t>RR-023</t>
        </is>
      </c>
      <c r="B27" s="53" t="inlineStr">
        <is>
          <t>2026-06-29</t>
        </is>
      </c>
      <c r="C27" s="53" t="inlineStr">
        <is>
          <t>CISA KEV</t>
        </is>
      </c>
      <c r="D27" s="53" t="inlineStr">
        <is>
          <t>CVE-2025-67038</t>
        </is>
      </c>
      <c r="E27" s="53" t="inlineStr">
        <is>
          <t>Lantronix EDS5000 series (EDS5008/5016/5032) HTTP RPC module OS command injection via unsanitized username field; CVSS 9.8; root-level RCE; KEV added 2026-06-23; CISA 3-day emergency mandate (BOD 26-04)</t>
        </is>
      </c>
      <c r="F27" s="52" t="inlineStr">
        <is>
          <t>IT-OT-Threats</t>
        </is>
      </c>
      <c r="G27" s="53" t="inlineStr">
        <is>
          <t>OT/ICS Remote Device Server Infrastructure</t>
        </is>
      </c>
      <c r="H27" s="53" t="inlineStr">
        <is>
          <t>Lantronix EDS5000 series (EDS5008/EDS5016/EDS5032)</t>
        </is>
      </c>
      <c r="I27" s="53" t="inlineStr">
        <is>
          <t>NIST CSF 2.0: PR.PS-04/DE.CM-09 | NIST 800-53: SI-2/SI-10/AC-3 | ISO 27001: A.8.8 | CIS Controls v8: 4,7 | IEC 62443: SR 3.1/SR 7.6</t>
        </is>
      </c>
      <c r="J27" s="53" t="inlineStr">
        <is>
          <t>SI-2, SI-10, AC-3</t>
        </is>
      </c>
      <c r="K27" s="52" t="n">
        <v>5</v>
      </c>
      <c r="L27" s="52" t="n">
        <v>5</v>
      </c>
      <c r="M27" s="52" t="n">
        <v>25</v>
      </c>
      <c r="N27" s="52" t="inlineStr">
        <is>
          <t>Critical</t>
        </is>
      </c>
      <c r="O27" s="52" t="inlineStr">
        <is>
          <t>Critical</t>
        </is>
      </c>
      <c r="P27" s="53" t="inlineStr">
        <is>
          <t>Standard network perimeter controls (insufficient against unauthenticated RCE)</t>
        </is>
      </c>
      <c r="Q27" s="52" t="inlineStr">
        <is>
          <t>Critical until patched; High with network isolation pending patch</t>
        </is>
      </c>
      <c r="R27" s="53" t="inlineStr">
        <is>
          <t>Apply Lantronix firmware 2.2.0.0R1 immediately to all EDS5000 series devices. Restrict HTTP RPC module access to management network only pending patch.</t>
        </is>
      </c>
      <c r="S27" s="52" t="inlineStr">
        <is>
          <t>Control 4, 7</t>
        </is>
      </c>
      <c r="T27" s="53" t="inlineStr">
        <is>
          <t>OT/ICS Engineering</t>
        </is>
      </c>
      <c r="U27" s="52" t="inlineStr">
        <is>
          <t>Open — Emergency</t>
        </is>
      </c>
      <c r="V27" s="52" t="inlineStr">
        <is>
          <t>2026-06-26</t>
        </is>
      </c>
      <c r="W27" s="52" t="inlineStr">
        <is>
          <t>2026-06-29</t>
        </is>
      </c>
      <c r="X27" s="53" t="inlineStr">
        <is>
          <t>3-day CISA emergency mandate (BOD 26-04); full bundle in IT-OT-Threats/2026-06-CISA-KEV-Lantronix-EDS5000</t>
        </is>
      </c>
    </row>
    <row r="28">
      <c r="A28" s="52" t="inlineStr">
        <is>
          <t>RR-024</t>
        </is>
      </c>
      <c r="B28" s="53" t="inlineStr">
        <is>
          <t>2026-06-29</t>
        </is>
      </c>
      <c r="C28" s="53" t="inlineStr">
        <is>
          <t>CISA KEV</t>
        </is>
      </c>
      <c r="D28" s="53" t="inlineStr">
        <is>
          <t>CVE-2026-34908; CVE-2026-34909; CVE-2026-34910</t>
        </is>
      </c>
      <c r="E28" s="53" t="inlineStr">
        <is>
          <t>Ubiquiti UniFi OS chained vulnerabilities — improper access control, path traversal, command injection; CVSS 10.0 each; unauthenticated full device takeover; confirmed active exploitation via Mirai/Gafgyt botnet campaign; KEV added 2026-06-23</t>
        </is>
      </c>
      <c r="F28" s="52" t="inlineStr">
        <is>
          <t>IT-OT-Threats</t>
        </is>
      </c>
      <c r="G28" s="53" t="inlineStr">
        <is>
          <t>Network Infrastructure / Physical Security Systems</t>
        </is>
      </c>
      <c r="H28" s="53" t="inlineStr">
        <is>
          <t>UniFi OS-powered devices (Cloud Gateways, Network Controllers, Protect NVRs, Access Hubs, Talk)</t>
        </is>
      </c>
      <c r="I28" s="53" t="inlineStr">
        <is>
          <t>NIST CSF 2.0: PR.AA-05/PR.PS-04/DE.CM-01 | NIST 800-53: AC-3/SI-2/SI-10/SC-7 | ISO 27001: A.8.8/A.8.9/A.8.16 | CIS Controls v8: 4,7,13</t>
        </is>
      </c>
      <c r="J28" s="53" t="inlineStr">
        <is>
          <t>AC-3, SI-2, SI-10, SC-7</t>
        </is>
      </c>
      <c r="K28" s="52" t="n">
        <v>5</v>
      </c>
      <c r="L28" s="52" t="n">
        <v>5</v>
      </c>
      <c r="M28" s="52" t="n">
        <v>25</v>
      </c>
      <c r="N28" s="52" t="inlineStr">
        <is>
          <t>Critical</t>
        </is>
      </c>
      <c r="O28" s="52" t="inlineStr">
        <is>
          <t>Critical</t>
        </is>
      </c>
      <c r="P28" s="53" t="inlineStr">
        <is>
          <t>Standard network perimeter controls (insufficient against unauthenticated takeover chain)</t>
        </is>
      </c>
      <c r="Q28" s="52" t="inlineStr">
        <is>
          <t>High until patched; Low-Medium with patch plus removal of direct internet exposure</t>
        </is>
      </c>
      <c r="R28" s="53" t="inlineStr">
        <is>
          <t>Upgrade all UniFi OS devices to UniFi OS Server v5.0.8+ immediately. Restrict management interfaces to VPN-only access pending fleet-wide patch.</t>
        </is>
      </c>
      <c r="S28" s="52" t="inlineStr">
        <is>
          <t>Control 4, 7, 13</t>
        </is>
      </c>
      <c r="T28" s="53" t="inlineStr">
        <is>
          <t>Network Engineering / Security Operations</t>
        </is>
      </c>
      <c r="U28" s="52" t="inlineStr">
        <is>
          <t>Open — Emergency</t>
        </is>
      </c>
      <c r="V28" s="52" t="inlineStr">
        <is>
          <t>2026-06-26</t>
        </is>
      </c>
      <c r="W28" s="52" t="inlineStr">
        <is>
          <t>2026-06-29</t>
        </is>
      </c>
      <c r="X28" s="53" t="inlineStr">
        <is>
          <t>Confirmed botnet (Mirai/Gafgyt) active exploitation; ~1-month patch-deployment gap (vendor fix available 2026-05-21); full bundle in IT-OT-Threats/2026-06-CISA-KEV-Ubiquiti-UniFiOS</t>
        </is>
      </c>
    </row>
    <row r="29">
      <c r="A29" s="52" t="inlineStr">
        <is>
          <t>RR-025</t>
        </is>
      </c>
      <c r="B29" s="53" t="inlineStr">
        <is>
          <t>2026-06-29</t>
        </is>
      </c>
      <c r="C29" s="53" t="inlineStr">
        <is>
          <t>CISA KEV</t>
        </is>
      </c>
      <c r="D29" s="53" t="inlineStr">
        <is>
          <t>CVE-2026-12569</t>
        </is>
      </c>
      <c r="E29" s="53" t="inlineStr">
        <is>
          <t>PTC Windchill/FlexPLM unauthenticated remote code execution; CVSS 9.8; confirmed active exploitation; KEV added 2026-06-23; CISA 3-day emergency mandate (BOD 26-04)</t>
        </is>
      </c>
      <c r="F29" s="52" t="inlineStr">
        <is>
          <t>IT-OT-Threats</t>
        </is>
      </c>
      <c r="G29" s="53" t="inlineStr">
        <is>
          <t>Product Lifecycle Management (PLM) Platform</t>
        </is>
      </c>
      <c r="H29" s="53" t="inlineStr">
        <is>
          <t>PTC Windchill / FlexPLM</t>
        </is>
      </c>
      <c r="I29" s="53" t="inlineStr">
        <is>
          <t>NIST CSF 2.0: PR.PS-04/PR.DS-01/DE.CM-01 | NIST 800-53: SI-2/SC-7/AC-3 | ISO 27001: A.8.8/A.8.12 | CIS Controls v8: 3,7</t>
        </is>
      </c>
      <c r="J29" s="53" t="inlineStr">
        <is>
          <t>SI-2, SC-7, AC-3</t>
        </is>
      </c>
      <c r="K29" s="52" t="n">
        <v>5</v>
      </c>
      <c r="L29" s="52" t="n">
        <v>5</v>
      </c>
      <c r="M29" s="52" t="n">
        <v>25</v>
      </c>
      <c r="N29" s="52" t="inlineStr">
        <is>
          <t>Critical</t>
        </is>
      </c>
      <c r="O29" s="52" t="inlineStr">
        <is>
          <t>Critical</t>
        </is>
      </c>
      <c r="P29" s="53" t="inlineStr">
        <is>
          <t>Standard application-layer authentication (bypassed by this vulnerability)</t>
        </is>
      </c>
      <c r="Q29" s="52" t="inlineStr">
        <is>
          <t>High until patched; Medium with patch plus network segmentation</t>
        </is>
      </c>
      <c r="R29" s="53" t="inlineStr">
        <is>
          <t>Apply PTC vendor patch for CVE-2026-12569 immediately. Remove direct internet exposure on Windchill/FlexPLM instances pending patch; restrict to VPN-gated access.</t>
        </is>
      </c>
      <c r="S29" s="52" t="inlineStr">
        <is>
          <t>Control 3, 7</t>
        </is>
      </c>
      <c r="T29" s="53" t="inlineStr">
        <is>
          <t>IT/Engineering Systems</t>
        </is>
      </c>
      <c r="U29" s="52" t="inlineStr">
        <is>
          <t>Open — Emergency</t>
        </is>
      </c>
      <c r="V29" s="52" t="inlineStr">
        <is>
          <t>2026-06-28</t>
        </is>
      </c>
      <c r="W29" s="52" t="inlineStr">
        <is>
          <t>2026-06-29</t>
        </is>
      </c>
      <c r="X29" s="53" t="inlineStr">
        <is>
          <t>3-day CISA emergency mandate (BOD 26-04); potential CUI/export-control data exposure for defense/aerospace deployments (CMMC/DFARS nexus); full bundle in IT-OT-Threats/2026-06-CISA-KEV-PTC-WindchillFlexPLM</t>
        </is>
      </c>
    </row>
    <row r="30">
      <c r="A30" s="52" t="inlineStr">
        <is>
          <t>RR-026</t>
        </is>
      </c>
      <c r="B30" s="53" t="inlineStr">
        <is>
          <t>2026-06-29</t>
        </is>
      </c>
      <c r="C30" s="53" t="inlineStr">
        <is>
          <t>CISA KEV</t>
        </is>
      </c>
      <c r="D30" s="53" t="inlineStr">
        <is>
          <t>CVE-2026-20384</t>
        </is>
      </c>
      <c r="E30" s="53" t="inlineStr">
        <is>
          <t>Cisco Unified Communications Manager (Unified CM) and Unified CM Session Management Edition static/undocumented credential enabling authentication bypass and root-level RCE; CVSS 10.0; confirmed active exploitation; KEV added 2026-06-24</t>
        </is>
      </c>
      <c r="F30" s="52" t="inlineStr">
        <is>
          <t>IT-OT-Threats</t>
        </is>
      </c>
      <c r="G30" s="53" t="inlineStr">
        <is>
          <t>Enterprise Voice / Call-Control Infrastructure</t>
        </is>
      </c>
      <c r="H30" s="53" t="inlineStr">
        <is>
          <t>Cisco Unified Communications Manager / Unified CM Session Management Edition</t>
        </is>
      </c>
      <c r="I30" s="53" t="inlineStr">
        <is>
          <t>NIST CSF 2.0: PR.AA-01/PR.PS-04/DE.CM-01 | NIST 800-53: IA-5/SI-2/AC-6 | ISO 27001: A.8.5/A.8.8 | CIS Controls v8: 5,7</t>
        </is>
      </c>
      <c r="J30" s="53" t="inlineStr">
        <is>
          <t>IA-5, SI-2, AC-6</t>
        </is>
      </c>
      <c r="K30" s="52" t="n">
        <v>5</v>
      </c>
      <c r="L30" s="52" t="n">
        <v>5</v>
      </c>
      <c r="M30" s="52" t="n">
        <v>25</v>
      </c>
      <c r="N30" s="52" t="inlineStr">
        <is>
          <t>Critical</t>
        </is>
      </c>
      <c r="O30" s="52" t="inlineStr">
        <is>
          <t>Critical</t>
        </is>
      </c>
      <c r="P30" s="53" t="inlineStr">
        <is>
          <t>Standard authentication (bypassed via undocumented static credential)</t>
        </is>
      </c>
      <c r="Q30" s="52" t="inlineStr">
        <is>
          <t>High until patched; Medium with patch plus credential rotation and network restriction</t>
        </is>
      </c>
      <c r="R30" s="53" t="inlineStr">
        <is>
          <t>Apply Cisco patch removing/rotating the static credential immediately. Audit authentication logs and CDRs for use of the affected credential; restrict management plane to internal/VPN-only access.</t>
        </is>
      </c>
      <c r="S30" s="52" t="inlineStr">
        <is>
          <t>Control 5, 7</t>
        </is>
      </c>
      <c r="T30" s="53" t="inlineStr">
        <is>
          <t>IT/Telecom Engineering / Security Operations</t>
        </is>
      </c>
      <c r="U30" s="52" t="inlineStr">
        <is>
          <t>Open — Emergency</t>
        </is>
      </c>
      <c r="V30" s="52" t="inlineStr">
        <is>
          <t>2026-06-27</t>
        </is>
      </c>
      <c r="W30" s="52" t="inlineStr">
        <is>
          <t>2026-06-29</t>
        </is>
      </c>
      <c r="X30" s="53" t="inlineStr">
        <is>
          <t>3-day CISA emergency mandate (BOD 26-04); potential wiretapping/communications-privacy exposure under GLBA/HIPAA if interception confirmed; full bundle in IT-OT-Threats/2026-06-CISA-KEV-Cisco-UnifiedCM</t>
        </is>
      </c>
    </row>
    <row r="31">
      <c r="A31" s="52" t="inlineStr">
        <is>
          <t>RR-027</t>
        </is>
      </c>
      <c r="B31" s="53" t="inlineStr">
        <is>
          <t>2026-06-29</t>
        </is>
      </c>
      <c r="C31" s="53" t="inlineStr">
        <is>
          <t>CISA ICS Advisory</t>
        </is>
      </c>
      <c r="D31" s="53" t="inlineStr">
        <is>
          <t>ICSA-26-176-04</t>
        </is>
      </c>
      <c r="E31" s="53" t="inlineStr">
        <is>
          <t>Daktronics controller firmware — chained vulnerabilities (authentication weakness, improper input validation, insecure firmware update mechanism); CVSS up to 9.3; root-level device access; not KEV-listed, no confirmed active exploitation</t>
        </is>
      </c>
      <c r="F31" s="52" t="inlineStr">
        <is>
          <t>IT-OT-Threats</t>
        </is>
      </c>
      <c r="G31" s="53" t="inlineStr">
        <is>
          <t>Public Display / Signage Controller Infrastructure</t>
        </is>
      </c>
      <c r="H31" s="53" t="inlineStr">
        <is>
          <t>Daktronics controller firmware (multiple controller models)</t>
        </is>
      </c>
      <c r="I31" s="53" t="inlineStr">
        <is>
          <t>NIST CSF 2.0: PR.AA-01/PR.PS-04/PR.IR-01 | NIST 800-53: IA-2/SI-10/SC-7 | IEC 62443: SR 1.1/SR 3.1 | CIS Controls v8: 7,12</t>
        </is>
      </c>
      <c r="J31" s="53" t="inlineStr">
        <is>
          <t>IA-2, SI-10, SC-7</t>
        </is>
      </c>
      <c r="K31" s="52" t="n">
        <v>3</v>
      </c>
      <c r="L31" s="52" t="n">
        <v>4</v>
      </c>
      <c r="M31" s="52" t="n">
        <v>12</v>
      </c>
      <c r="N31" s="52" t="inlineStr">
        <is>
          <t>High</t>
        </is>
      </c>
      <c r="O31" s="52" t="inlineStr">
        <is>
          <t>High</t>
        </is>
      </c>
      <c r="P31" s="53" t="inlineStr">
        <is>
          <t>Standard network segmentation (effectiveness unverified for display controller segments)</t>
        </is>
      </c>
      <c r="Q31" s="52" t="inlineStr">
        <is>
          <t>Medium with firmware update and segmentation verification</t>
        </is>
      </c>
      <c r="R31" s="53" t="inlineStr">
        <is>
          <t>Apply Daktronics firmware update addressing authentication, input validation, and insecure update mechanism flaws. Verify network segmentation isolates controllers from other OT/IT systems; prioritize safety-relevant signage deployments.</t>
        </is>
      </c>
      <c r="S31" s="52" t="inlineStr">
        <is>
          <t>Control 7, 12</t>
        </is>
      </c>
      <c r="T31" s="53" t="inlineStr">
        <is>
          <t>Facilities/IT Engineering</t>
        </is>
      </c>
      <c r="U31" s="52" t="inlineStr">
        <is>
          <t>Open — Standard Cycle</t>
        </is>
      </c>
      <c r="V31" s="52" t="inlineStr">
        <is>
          <t>2026-07-13</t>
        </is>
      </c>
      <c r="W31" s="52" t="inlineStr">
        <is>
          <t>2026-06-29</t>
        </is>
      </c>
      <c r="X31" s="53" t="inlineStr">
        <is>
          <t>CISA ICS Advisory ICSA-26-176-04; no confirmed active exploitation; comparable to RR-020 precedent (multi-CVE chain to root, full bundle warranted by severity/footprint); full bundle in IT-OT-Threats/2026-06-CISA-Advisory-Daktronics-ControllerFirmware</t>
        </is>
      </c>
    </row>
    <row r="32">
      <c r="A32" s="52" t="inlineStr">
        <is>
          <t>RR-028</t>
        </is>
      </c>
      <c r="B32" s="53" t="inlineStr">
        <is>
          <t>2026-07-13</t>
        </is>
      </c>
      <c r="C32" s="53" t="inlineStr">
        <is>
          <t>CISA KEV</t>
        </is>
      </c>
      <c r="D32" s="53" t="inlineStr">
        <is>
          <t>CVE-2026-55255</t>
        </is>
      </c>
      <c r="E32" s="53" t="inlineStr">
        <is>
          <t>Langflow AI agent platform — Authorization bypass through user-controlled key (IDOR) in /api/v1/responses endpoint enabling execution of another user's AI agent flow; CVSS 9.9; first AI agent platform added to CISA KEV; actively exploited</t>
        </is>
      </c>
      <c r="F32" s="52" t="inlineStr">
        <is>
          <t>AI-Governance / Cloud-Security (dual-category)</t>
        </is>
      </c>
      <c r="G32" s="53" t="inlineStr">
        <is>
          <t>AI/LLM Infrastructure — Agent Orchestration Platform</t>
        </is>
      </c>
      <c r="H32" s="53" t="inlineStr">
        <is>
          <t>Langflow (versions prior to 1.9.2)</t>
        </is>
      </c>
      <c r="I32" s="53" t="inlineStr">
        <is>
          <t>NIST AI RMF GOVERN 1.1/MAP 4.1/MANAGE 2.3 | ISO/IEC 42001 Clause 6.1.2/8.1 | NIST CSF 2.0 PR.AA-05/DE.CM-09 | NIST 800-53 AC-3/IA-2/SI-2 | EU AI Act Article 9/15</t>
        </is>
      </c>
      <c r="J32" s="53" t="inlineStr">
        <is>
          <t>AC-3, IA-2, SI-2</t>
        </is>
      </c>
      <c r="K32" s="52" t="n">
        <v>5</v>
      </c>
      <c r="L32" s="52" t="n">
        <v>5</v>
      </c>
      <c r="M32" s="52" t="n">
        <v>25</v>
      </c>
      <c r="N32" s="52" t="inlineStr">
        <is>
          <t>Critical</t>
        </is>
      </c>
      <c r="O32" s="52" t="inlineStr">
        <is>
          <t>Critical</t>
        </is>
      </c>
      <c r="P32" s="53" t="inlineStr">
        <is>
          <t>Standard application authentication (insufficient — flaw is in authorization/ownership check, not authentication)</t>
        </is>
      </c>
      <c r="Q32" s="52" t="inlineStr">
        <is>
          <t>High</t>
        </is>
      </c>
      <c r="R32" s="53" t="inlineStr">
        <is>
          <t>Upgrade Langflow to v1.9.2+ immediately; rotate all credentials reachable by any agent flow; review flow-execution logs for cross-user access since 2026-07-07; complete AI agent inventory</t>
        </is>
      </c>
      <c r="S32" s="52" t="inlineStr">
        <is>
          <t>N/A (AI governance context)</t>
        </is>
      </c>
      <c r="T32" s="53" t="inlineStr">
        <is>
          <t>AI/Platform Engineering</t>
        </is>
      </c>
      <c r="U32" s="52" t="inlineStr">
        <is>
          <t>Open — Emergency</t>
        </is>
      </c>
      <c r="V32" s="52" t="inlineStr">
        <is>
          <t>2026-07-10</t>
        </is>
      </c>
      <c r="W32" s="52" t="inlineStr">
        <is>
          <t>2026-07-13</t>
        </is>
      </c>
      <c r="X32" s="53" t="inlineStr">
        <is>
          <t>CISA KEV added 2026-07-07; 3-day BOD 26-04 mandate; first AI agent orchestration platform in KEV catalog; related precedent — "agentic ransomware" via earlier Langflow CVE-2025-3248 (Sysdig); full bundle duplicated in AI-Governance/2026-07-CISA-KEV-Langflow and Cloud-Security/2026-07-CISA-KEV-Langflow</t>
        </is>
      </c>
    </row>
    <row r="33">
      <c r="A33" s="52" t="inlineStr">
        <is>
          <t>RR-029</t>
        </is>
      </c>
      <c r="B33" s="53" t="inlineStr">
        <is>
          <t>2026-07-13</t>
        </is>
      </c>
      <c r="C33" s="53" t="inlineStr">
        <is>
          <t>CISA KEV</t>
        </is>
      </c>
      <c r="D33" s="53" t="inlineStr">
        <is>
          <t>CVE-2026-48282</t>
        </is>
      </c>
      <c r="E33" s="53" t="inlineStr">
        <is>
          <t>Adobe ColdFusion RDS FILEIO path traversal enabling arbitrary file write and unauthenticated RCE as ColdFusion service account (SYSTEM on Windows); CVSS 10.0; actively exploited within approximately 2 hours of public technical disclosure</t>
        </is>
      </c>
      <c r="F33" s="52" t="inlineStr">
        <is>
          <t>IT-OT-Threats</t>
        </is>
      </c>
      <c r="G33" s="53" t="inlineStr">
        <is>
          <t>Enterprise Web Application Platform</t>
        </is>
      </c>
      <c r="H33" s="53" t="inlineStr">
        <is>
          <t>Adobe ColdFusion 2025 (Update 9 and earlier) / ColdFusion 2023 (Update 20 and earlier)</t>
        </is>
      </c>
      <c r="I33" s="53" t="inlineStr">
        <is>
          <t>NIST CSF 2.0 PR.PS-04/DE.CM-01/RS.AN-03 | NIST 800-53 SI-2/SI-3/SI-10/AC-3 | ISO 27001 A.8.8/A.8.28 | CIS Control 7/16</t>
        </is>
      </c>
      <c r="J33" s="53" t="inlineStr">
        <is>
          <t>SI-2, SI-3, SI-10</t>
        </is>
      </c>
      <c r="K33" s="52" t="n">
        <v>5</v>
      </c>
      <c r="L33" s="52" t="n">
        <v>5</v>
      </c>
      <c r="M33" s="52" t="n">
        <v>25</v>
      </c>
      <c r="N33" s="52" t="inlineStr">
        <is>
          <t>Critical</t>
        </is>
      </c>
      <c r="O33" s="52" t="inlineStr">
        <is>
          <t>Critical</t>
        </is>
      </c>
      <c r="P33" s="53" t="inlineStr">
        <is>
          <t>Vendor patch available (APSB26-68, released 2026-06-30); WAF may provide interim compensating control on RDS/CFIDE endpoints</t>
        </is>
      </c>
      <c r="Q33" s="52" t="inlineStr">
        <is>
          <t>Medium</t>
        </is>
      </c>
      <c r="R33" s="53" t="inlineStr">
        <is>
          <t>Apply ColdFusion 2025 Update 10 / 2023 Update 21 immediately; disable RDS where not required; block external access to /CFIDE/administrator and RDS endpoints via WAF; forensic sweep for unauthorized .cfm/.cfc/.jsp files</t>
        </is>
      </c>
      <c r="S33" s="52" t="inlineStr">
        <is>
          <t>Control 7 (7.4) / Control 16</t>
        </is>
      </c>
      <c r="T33" s="53" t="inlineStr">
        <is>
          <t>Enterprise Application Engineering</t>
        </is>
      </c>
      <c r="U33" s="52" t="inlineStr">
        <is>
          <t>Open — Emergency</t>
        </is>
      </c>
      <c r="V33" s="52" t="inlineStr">
        <is>
          <t>2026-07-10</t>
        </is>
      </c>
      <c r="W33" s="52" t="inlineStr">
        <is>
          <t>2026-07-13</t>
        </is>
      </c>
      <c r="X33" s="53" t="inlineStr">
        <is>
          <t>CISA KEV added 2026-07-07; 3-day BOD 26-04 mandate; Adobe patch available 2026-06-30 (APSB26-68); active exploitation confirmed by KEVIntel honeypots within ~2 hours of technical disclosure; full bundle in IT-OT-Threats/2026-07-CISA-KEV-Adobe-ColdFusion</t>
        </is>
      </c>
    </row>
    <row r="34">
      <c r="A34" s="52" t="inlineStr">
        <is>
          <t>RR-030</t>
        </is>
      </c>
      <c r="B34" s="53" t="inlineStr">
        <is>
          <t>2026-07-13</t>
        </is>
      </c>
      <c r="C34" s="53" t="inlineStr">
        <is>
          <t>CISA KEV</t>
        </is>
      </c>
      <c r="D34" s="53" t="inlineStr">
        <is>
          <t>CVE-2026-48908</t>
        </is>
      </c>
      <c r="E34" s="53" t="inlineStr">
        <is>
          <t>SP Page Builder for Joomla (JoomShaper) — unauthenticated arbitrary file upload via uploadCustomIcon functionality enabling RCE; CVSS 10.0; actively exploited as zero-day; affects versions &lt;= 6.6.1</t>
        </is>
      </c>
      <c r="F34" s="52" t="inlineStr">
        <is>
          <t>IT-OT-Threats</t>
        </is>
      </c>
      <c r="G34" s="53" t="inlineStr">
        <is>
          <t>Public-Facing CMS Web Applications</t>
        </is>
      </c>
      <c r="H34" s="53" t="inlineStr">
        <is>
          <t>Joomla! — SP Page Builder extension (JoomShaper) &lt;= 6.6.1</t>
        </is>
      </c>
      <c r="I34" s="53" t="inlineStr">
        <is>
          <t>NIST CSF 2.0 PR.PS-04/DE.CM-09 | NIST 800-53 SI-2/SI-10/SC-7 | ISO 27001 A.8.8 | CIS Control 7/16</t>
        </is>
      </c>
      <c r="J34" s="53" t="inlineStr">
        <is>
          <t>SI-2, SI-10, SC-7</t>
        </is>
      </c>
      <c r="K34" s="52" t="n">
        <v>5</v>
      </c>
      <c r="L34" s="52" t="n">
        <v>5</v>
      </c>
      <c r="M34" s="52" t="n">
        <v>25</v>
      </c>
      <c r="N34" s="52" t="inlineStr">
        <is>
          <t>Critical</t>
        </is>
      </c>
      <c r="O34" s="52" t="inlineStr">
        <is>
          <t>Critical</t>
        </is>
      </c>
      <c r="P34" s="53" t="inlineStr">
        <is>
          <t>WAF (variable); no default protection against unauthenticated upload-endpoint abuse</t>
        </is>
      </c>
      <c r="Q34" s="52" t="inlineStr">
        <is>
          <t>Medium</t>
        </is>
      </c>
      <c r="R34" s="53" t="inlineStr">
        <is>
          <t>Upgrade SP Page Builder to v6.6.2+ on all Joomla sites; scan web roots for unauthorized files; deploy WAF rule on upload endpoint pending patch</t>
        </is>
      </c>
      <c r="S34" s="52" t="inlineStr">
        <is>
          <t>Control 7 / Control 16</t>
        </is>
      </c>
      <c r="T34" s="53" t="inlineStr">
        <is>
          <t>Web/IT Operations</t>
        </is>
      </c>
      <c r="U34" s="52" t="inlineStr">
        <is>
          <t>Open — Emergency</t>
        </is>
      </c>
      <c r="V34" s="52" t="inlineStr">
        <is>
          <t>2026-07-10</t>
        </is>
      </c>
      <c r="W34" s="52" t="inlineStr">
        <is>
          <t>2026-07-13</t>
        </is>
      </c>
      <c r="X34" s="53" t="inlineStr">
        <is>
          <t>KEV added 2026-07-07; one of four unrelated Joomla extensions with the identical unauthenticated file-upload RCE class added to KEV this week (see RR-031/032/033); combined bundle in IT-OT-Threats/2026-07-CISA-KEV-Joomla-ExtensionFileUpload</t>
        </is>
      </c>
    </row>
    <row r="35">
      <c r="A35" s="52" t="inlineStr">
        <is>
          <t>RR-031</t>
        </is>
      </c>
      <c r="B35" s="53" t="inlineStr">
        <is>
          <t>2026-07-13</t>
        </is>
      </c>
      <c r="C35" s="53" t="inlineStr">
        <is>
          <t>CISA KEV</t>
        </is>
      </c>
      <c r="D35" s="53" t="inlineStr">
        <is>
          <t>CVE-2026-56290</t>
        </is>
      </c>
      <c r="E35" s="53" t="inlineStr">
        <is>
          <t>Joomlack Page Builder for Joomla — improper access control enabling unauthenticated arbitrary file upload and RCE; CVSS 10.0; actively exploited</t>
        </is>
      </c>
      <c r="F35" s="52" t="inlineStr">
        <is>
          <t>IT-OT-Threats</t>
        </is>
      </c>
      <c r="G35" s="53" t="inlineStr">
        <is>
          <t>Public-Facing CMS Web Applications</t>
        </is>
      </c>
      <c r="H35" s="53" t="inlineStr">
        <is>
          <t>Joomla! — Page Builder extension (Joomlack)</t>
        </is>
      </c>
      <c r="I35" s="53" t="inlineStr">
        <is>
          <t>NIST CSF 2.0 PR.PS-04/DE.CM-09 | NIST 800-53 SI-2/SI-10/SC-7 | ISO 27001 A.8.8 | CIS Control 7/16</t>
        </is>
      </c>
      <c r="J35" s="53" t="inlineStr">
        <is>
          <t>SI-2, SI-10, SC-7</t>
        </is>
      </c>
      <c r="K35" s="52" t="n">
        <v>5</v>
      </c>
      <c r="L35" s="52" t="n">
        <v>5</v>
      </c>
      <c r="M35" s="52" t="n">
        <v>25</v>
      </c>
      <c r="N35" s="52" t="inlineStr">
        <is>
          <t>Critical</t>
        </is>
      </c>
      <c r="O35" s="52" t="inlineStr">
        <is>
          <t>Critical</t>
        </is>
      </c>
      <c r="P35" s="53" t="inlineStr">
        <is>
          <t>WAF (variable); no default protection against unauthenticated upload-endpoint abuse</t>
        </is>
      </c>
      <c r="Q35" s="52" t="inlineStr">
        <is>
          <t>Medium</t>
        </is>
      </c>
      <c r="R35" s="53" t="inlineStr">
        <is>
          <t>Apply vendor patch for Joomlack Page Builder immediately on all Joomla sites; scan web roots for unauthorized files; deploy WAF rule on upload endpoint pending patch</t>
        </is>
      </c>
      <c r="S35" s="52" t="inlineStr">
        <is>
          <t>Control 7 / Control 16</t>
        </is>
      </c>
      <c r="T35" s="53" t="inlineStr">
        <is>
          <t>Web/IT Operations</t>
        </is>
      </c>
      <c r="U35" s="52" t="inlineStr">
        <is>
          <t>Open — Emergency</t>
        </is>
      </c>
      <c r="V35" s="52" t="inlineStr">
        <is>
          <t>2026-07-10</t>
        </is>
      </c>
      <c r="W35" s="52" t="inlineStr">
        <is>
          <t>2026-07-13</t>
        </is>
      </c>
      <c r="X35" s="53" t="inlineStr">
        <is>
          <t>KEV added 2026-07-07; one of four unrelated Joomla extensions with the identical unauthenticated file-upload RCE class added to KEV this week; combined bundle in IT-OT-Threats/2026-07-CISA-KEV-Joomla-ExtensionFileUpload</t>
        </is>
      </c>
    </row>
    <row r="36">
      <c r="A36" s="52" t="inlineStr">
        <is>
          <t>RR-032</t>
        </is>
      </c>
      <c r="B36" s="53" t="inlineStr">
        <is>
          <t>2026-07-13</t>
        </is>
      </c>
      <c r="C36" s="53" t="inlineStr">
        <is>
          <t>CISA KEV</t>
        </is>
      </c>
      <c r="D36" s="53" t="inlineStr">
        <is>
          <t>CVE-2026-48939</t>
        </is>
      </c>
      <c r="E36" s="53" t="inlineStr">
        <is>
          <t>iCagenda extension for Joomla — unauthenticated arbitrary file upload via file-attachment functionality enabling RCE; CVSS 10.0; actively exploited as zero-day; affects versions &lt;= 4.0.7</t>
        </is>
      </c>
      <c r="F36" s="52" t="inlineStr">
        <is>
          <t>IT-OT-Threats</t>
        </is>
      </c>
      <c r="G36" s="53" t="inlineStr">
        <is>
          <t>Public-Facing CMS Web Applications / Event Registration Systems (PII)</t>
        </is>
      </c>
      <c r="H36" s="53" t="inlineStr">
        <is>
          <t>Joomla! — iCagenda extension &lt;= 4.0.7</t>
        </is>
      </c>
      <c r="I36" s="53" t="inlineStr">
        <is>
          <t>NIST CSF 2.0 PR.PS-04/DE.CM-09 | NIST 800-53 SI-2/SI-10/SC-7 | ISO 27001 A.8.8 | CIS Control 7/16</t>
        </is>
      </c>
      <c r="J36" s="53" t="inlineStr">
        <is>
          <t>SI-2, SI-10, SC-7</t>
        </is>
      </c>
      <c r="K36" s="52" t="n">
        <v>5</v>
      </c>
      <c r="L36" s="52" t="n">
        <v>5</v>
      </c>
      <c r="M36" s="52" t="n">
        <v>25</v>
      </c>
      <c r="N36" s="52" t="inlineStr">
        <is>
          <t>Critical</t>
        </is>
      </c>
      <c r="O36" s="52" t="inlineStr">
        <is>
          <t>Critical</t>
        </is>
      </c>
      <c r="P36" s="53" t="inlineStr">
        <is>
          <t>WAF (variable); no default protection against unauthenticated upload-endpoint abuse</t>
        </is>
      </c>
      <c r="Q36" s="52" t="inlineStr">
        <is>
          <t>Medium</t>
        </is>
      </c>
      <c r="R36" s="53" t="inlineStr">
        <is>
          <t>Upgrade iCagenda to v4.0.8+ on all Joomla sites; scan web roots for unauthorized files; deploy WAF rule on upload endpoint pending patch</t>
        </is>
      </c>
      <c r="S36" s="52" t="inlineStr">
        <is>
          <t>Control 7 / Control 16</t>
        </is>
      </c>
      <c r="T36" s="53" t="inlineStr">
        <is>
          <t>Web/IT Operations</t>
        </is>
      </c>
      <c r="U36" s="52" t="inlineStr">
        <is>
          <t>Open — Emergency</t>
        </is>
      </c>
      <c r="V36" s="52" t="inlineStr">
        <is>
          <t>2026-07-13</t>
        </is>
      </c>
      <c r="W36" s="52" t="inlineStr">
        <is>
          <t>2026-07-13</t>
        </is>
      </c>
      <c r="X36" s="53" t="inlineStr">
        <is>
          <t>KEV added 2026-07-10; one of four unrelated Joomla extensions with the identical unauthenticated file-upload RCE class added to KEV this week; combined bundle in IT-OT-Threats/2026-07-CISA-KEV-Joomla-ExtensionFileUpload</t>
        </is>
      </c>
    </row>
    <row r="37">
      <c r="A37" s="52" t="inlineStr">
        <is>
          <t>RR-033</t>
        </is>
      </c>
      <c r="B37" s="53" t="inlineStr">
        <is>
          <t>2026-07-13</t>
        </is>
      </c>
      <c r="C37" s="53" t="inlineStr">
        <is>
          <t>CISA KEV</t>
        </is>
      </c>
      <c r="D37" s="53" t="inlineStr">
        <is>
          <t>CVE-2026-56291</t>
        </is>
      </c>
      <c r="E37" s="53" t="inlineStr">
        <is>
          <t>Balbooa Forms extension for Joomla — unauthenticated arbitrary file upload enabling RCE; CVSS 10.0; actively exploited as zero-day</t>
        </is>
      </c>
      <c r="F37" s="52" t="inlineStr">
        <is>
          <t>IT-OT-Threats</t>
        </is>
      </c>
      <c r="G37" s="53" t="inlineStr">
        <is>
          <t>Public-Facing CMS Web Applications / Form-Intake Systems (PII)</t>
        </is>
      </c>
      <c r="H37" s="53" t="inlineStr">
        <is>
          <t>Joomla! — Balbooa Forms extension</t>
        </is>
      </c>
      <c r="I37" s="53" t="inlineStr">
        <is>
          <t>NIST CSF 2.0 PR.PS-04/DE.CM-09 | NIST 800-53 SI-2/SI-10/SC-7 | ISO 27001 A.8.8 | CIS Control 7/16</t>
        </is>
      </c>
      <c r="J37" s="53" t="inlineStr">
        <is>
          <t>SI-2, SI-10, SC-7</t>
        </is>
      </c>
      <c r="K37" s="52" t="n">
        <v>5</v>
      </c>
      <c r="L37" s="52" t="n">
        <v>5</v>
      </c>
      <c r="M37" s="52" t="n">
        <v>25</v>
      </c>
      <c r="N37" s="52" t="inlineStr">
        <is>
          <t>Critical</t>
        </is>
      </c>
      <c r="O37" s="52" t="inlineStr">
        <is>
          <t>Critical</t>
        </is>
      </c>
      <c r="P37" s="53" t="inlineStr">
        <is>
          <t>WAF (variable); no default protection against unauthenticated upload-endpoint abuse</t>
        </is>
      </c>
      <c r="Q37" s="52" t="inlineStr">
        <is>
          <t>Medium</t>
        </is>
      </c>
      <c r="R37" s="53" t="inlineStr">
        <is>
          <t>Apply vendor patch for Balbooa Forms immediately on all Joomla sites; scan web roots for unauthorized files; deploy WAF rule on upload endpoint pending patch</t>
        </is>
      </c>
      <c r="S37" s="52" t="inlineStr">
        <is>
          <t>Control 7 / Control 16</t>
        </is>
      </c>
      <c r="T37" s="53" t="inlineStr">
        <is>
          <t>Web/IT Operations</t>
        </is>
      </c>
      <c r="U37" s="52" t="inlineStr">
        <is>
          <t>Open — Emergency</t>
        </is>
      </c>
      <c r="V37" s="52" t="inlineStr">
        <is>
          <t>2026-07-13</t>
        </is>
      </c>
      <c r="W37" s="52" t="inlineStr">
        <is>
          <t>2026-07-13</t>
        </is>
      </c>
      <c r="X37" s="53" t="inlineStr">
        <is>
          <t>KEV added 2026-07-10; one of four unrelated Joomla extensions with the identical unauthenticated file-upload RCE class added to KEV this week; combined bundle in IT-OT-Threats/2026-07-CISA-KEV-Joomla-ExtensionFileUpload</t>
        </is>
      </c>
    </row>
    <row r="38" s="42">
      <c r="A38" s="52" t="inlineStr">
        <is>
          <t>RR-034</t>
        </is>
      </c>
      <c r="B38" s="53" t="inlineStr">
        <is>
          <t>2026-07-13</t>
        </is>
      </c>
      <c r="C38" s="53" t="inlineStr">
        <is>
          <t>CISA/NSA/FBI Advisory</t>
        </is>
      </c>
      <c r="D38" s="53" t="inlineStr">
        <is>
          <t>U/OO/6042849-26 | PP-26-2829</t>
        </is>
      </c>
      <c r="E38" s="53" t="inlineStr">
        <is>
          <t>Joint NSA/CISA/FBI/DC3 + international partners advisory — Russian FSB Center 16 actors scanning internet-connected routers for default/common SNMP authentication strings, then issuing spoofed-IP commands to copy device configuration files and exfiltrate via TFTP to actor-controlled infrastructure</t>
        </is>
      </c>
      <c r="F38" s="52" t="inlineStr">
        <is>
          <t>IT-OT-Threats</t>
        </is>
      </c>
      <c r="G38" s="53" t="inlineStr">
        <is>
          <t>Enterprise Network Infrastructure</t>
        </is>
      </c>
      <c r="H38" s="53" t="inlineStr">
        <is>
          <t>Internet-connected routers with default/weak SNMP community strings</t>
        </is>
      </c>
      <c r="I38" s="53" t="inlineStr">
        <is>
          <t>NIST CSF 2.0 PR.AA-01/PR.PS-01/DE.CM-01 | NIST 800-53 IA-5/CM-6/SC-7 | ISO 27001 A.8.20/A.8.9 | CIS Control 4/12</t>
        </is>
      </c>
      <c r="J38" s="53" t="inlineStr">
        <is>
          <t>IA-5, CM-6, SC-7</t>
        </is>
      </c>
      <c r="K38" s="52" t="n">
        <v>4</v>
      </c>
      <c r="L38" s="52" t="n">
        <v>4</v>
      </c>
      <c r="M38" s="52" t="n">
        <v>16</v>
      </c>
      <c r="N38" s="52" t="inlineStr">
        <is>
          <t>High</t>
        </is>
      </c>
      <c r="O38" s="52" t="inlineStr">
        <is>
          <t>High</t>
        </is>
      </c>
      <c r="P38" s="53" t="inlineStr">
        <is>
          <t>Standard network perimeter controls; SNMP typically not hardened by default configuration</t>
        </is>
      </c>
      <c r="Q38" s="52" t="inlineStr">
        <is>
          <t>Medium</t>
        </is>
      </c>
      <c r="R38" s="53" t="inlineStr">
        <is>
          <t>Disable SNMP where not required; change default/common community strings; restrict SNMP access to management network only; monitor for anomalous TFTP egress; apply router hygiene guidance per joint advisory</t>
        </is>
      </c>
      <c r="S38" s="52" t="inlineStr">
        <is>
          <t>Control 4 / Control 12</t>
        </is>
      </c>
      <c r="T38" s="53" t="inlineStr">
        <is>
          <t>Network Engineering</t>
        </is>
      </c>
      <c r="U38" s="52" t="inlineStr">
        <is>
          <t>Open</t>
        </is>
      </c>
      <c r="V38" s="52" t="inlineStr">
        <is>
          <t>2026-08-09</t>
        </is>
      </c>
      <c r="W38" s="52" t="inlineStr">
        <is>
          <t>2026-07-13</t>
        </is>
      </c>
      <c r="X38" s="53" t="inlineStr">
        <is>
          <t>Joint advisory published 2026-07-09 by NSA/CISA/FBI/DC3 + ASD ACSC and international partners (Australia, Canada, Czech Republic, Denmark, Estonia, Finland, France, Italy, New Zealand, Poland, Sweden, UK NCSC); attributes activity to Russian FSB Center 16; register-entry only — TTP/hygiene advisory, no specific CVE; no full case-study bundle built, consistent with RR-005 precedent</t>
        </is>
      </c>
    </row>
    <row r="39" s="42">
      <c r="A39" s="52" t="inlineStr">
        <is>
          <t>RR-035</t>
        </is>
      </c>
      <c r="B39" s="53" t="inlineStr">
        <is>
          <t>2026-07-27</t>
        </is>
      </c>
      <c r="C39" s="53" t="inlineStr">
        <is>
          <t>CISA KEV</t>
        </is>
      </c>
      <c r="D39" s="53" t="inlineStr">
        <is>
          <t>CVE-2026-0770</t>
        </is>
      </c>
      <c r="E39" s="53" t="inlineStr">
        <is>
          <t>Langflow AI agent/workflow platform — unauthenticated remote code execution as root via the exec_globals parameter in the /api/v1/validate/code endpoint; CVSS 9.8; actively exploited since 2026-06-27 (220+ attempts, 64 source IPs) with observed AWS credential and container metadata theft attempts</t>
        </is>
      </c>
      <c r="F39" s="52" t="inlineStr">
        <is>
          <t>AI-Governance / Cloud-Security (dual-category)</t>
        </is>
      </c>
      <c r="G39" s="53" t="inlineStr">
        <is>
          <t>AI/LLM Infrastructure — Agent Orchestration Platform</t>
        </is>
      </c>
      <c r="H39" s="53" t="inlineStr">
        <is>
          <t>Langflow (versions 0 through 1.7.3)</t>
        </is>
      </c>
      <c r="I39" s="53" t="inlineStr">
        <is>
          <t>NIST AI RMF GOVERN 1.1/MAP 4.1/MANAGE 2.3 | ISO/IEC 42001 Clause 6.1.2/8.1 | NIST CSF 2.0 PR.AA-01/DE.CM-09 | NIST 800-53 IA-2/AC-3/SC-7 | EU AI Act Article 9</t>
        </is>
      </c>
      <c r="J39" s="53" t="inlineStr">
        <is>
          <t>IA-2, AC-3, SC-7</t>
        </is>
      </c>
      <c r="K39" s="52" t="n">
        <v>5</v>
      </c>
      <c r="L39" s="52" t="n">
        <v>5</v>
      </c>
      <c r="M39" s="52" t="n">
        <v>25</v>
      </c>
      <c r="N39" s="52" t="inlineStr">
        <is>
          <t>Critical</t>
        </is>
      </c>
      <c r="O39" s="52" t="inlineStr">
        <is>
          <t>Critical</t>
        </is>
      </c>
      <c r="P39" s="53" t="inlineStr">
        <is>
          <t>Standard application authentication (endpoint required none — root-cause control failure)</t>
        </is>
      </c>
      <c r="Q39" s="52" t="inlineStr">
        <is>
          <t>High until patched and credentials rotated</t>
        </is>
      </c>
      <c r="R39" s="53" t="inlineStr">
        <is>
          <t>Upgrade Langflow to the vendor-patched release addressing CVE-2026-0770 immediately; restrict /api/v1/validate/code to authenticated/internal-network access pending patch; rotate all AWS credentials and secrets reachable by any affected instance; review logs for exploitation since 2026-06-27</t>
        </is>
      </c>
      <c r="S39" s="52" t="inlineStr">
        <is>
          <t>N/A (AI governance context)</t>
        </is>
      </c>
      <c r="T39" s="53" t="inlineStr">
        <is>
          <t>AI/Platform Engineering / Security Operations</t>
        </is>
      </c>
      <c r="U39" s="52" t="inlineStr">
        <is>
          <t>Open — Emergency</t>
        </is>
      </c>
      <c r="V39" s="52" t="inlineStr">
        <is>
          <t>2026-07-24</t>
        </is>
      </c>
      <c r="W39" s="52" t="inlineStr">
        <is>
          <t>2026-07-27</t>
        </is>
      </c>
      <c r="X39" s="53" t="inlineStr">
        <is>
          <t>KEV added 2026-07-21; 3-day BOD 26-04 mandate; fourth actively-exploited Langflow KEV entry in 14 months (after CVE-2025-3248, CVE-2026-33017, CVE-2026-55255/RR-028); distinct vulnerability from RR-028 (no auth required at all, root-level); dual-category bundle duplicated in AI-Governance and Cloud-Security</t>
        </is>
      </c>
    </row>
    <row r="40" s="42">
      <c r="A40" s="52" t="inlineStr">
        <is>
          <t>RR-036</t>
        </is>
      </c>
      <c r="B40" s="53" t="inlineStr">
        <is>
          <t>2026-07-27</t>
        </is>
      </c>
      <c r="C40" s="53" t="inlineStr">
        <is>
          <t>CISA KEV</t>
        </is>
      </c>
      <c r="D40" s="53" t="inlineStr">
        <is>
          <t>CVE-2026-63030; CVE-2026-60137</t>
        </is>
      </c>
      <c r="E40" s="53" t="inlineStr">
        <is>
          <t>WordPress Core "wp2shell" exploit chain — REST API batch-route confusion (CVE-2026-63030) chained with unauthenticated SQL injection in WP_Query author__not_in (CVE-2026-60137) enabling full unauthenticated remote code execution; CVSS 9.8 (CNA/Wordfence/WPScan; CISA-ADP secondary score 7.5); actively exploited with webshell and rogue-admin-account deployment; first critical unauthenticated WordPress Core RCE in nearly a decade</t>
        </is>
      </c>
      <c r="F40" s="52" t="inlineStr">
        <is>
          <t>IT-OT-Threats</t>
        </is>
      </c>
      <c r="G40" s="53" t="inlineStr">
        <is>
          <t>Public-Facing CMS Web Applications</t>
        </is>
      </c>
      <c r="H40" s="53" t="inlineStr">
        <is>
          <t>WordPress Core 6.8.0-6.8.5 / 6.9.0-6.9.4 / 7.0.0-7.0.1</t>
        </is>
      </c>
      <c r="I40" s="53" t="inlineStr">
        <is>
          <t>NIST CSF 2.0 PR.PS-04/DE.CM-09 | NIST 800-53 SI-2/SI-10/AC-3 | ISO 27001 A.8.8 | CIS Control 7/16</t>
        </is>
      </c>
      <c r="J40" s="53" t="inlineStr">
        <is>
          <t>SI-2, SI-10, AC-3</t>
        </is>
      </c>
      <c r="K40" s="52" t="n">
        <v>5</v>
      </c>
      <c r="L40" s="52" t="n">
        <v>5</v>
      </c>
      <c r="M40" s="52" t="n">
        <v>25</v>
      </c>
      <c r="N40" s="52" t="inlineStr">
        <is>
          <t>Critical</t>
        </is>
      </c>
      <c r="O40" s="52" t="inlineStr">
        <is>
          <t>Critical</t>
        </is>
      </c>
      <c r="P40" s="53" t="inlineStr">
        <is>
          <t>WordPress Core auto-update (effective only where not disabled); no default WAF coverage of the vulnerable REST route</t>
        </is>
      </c>
      <c r="Q40" s="52" t="inlineStr">
        <is>
          <t>High until patched and compromise-swept</t>
        </is>
      </c>
      <c r="R40" s="53" t="inlineStr">
        <is>
          <t>Upgrade WordPress Core to 7.0.2 / 6.9.5 / 6.8.6 on all sites immediately; sweep web roots (especially /wp-content/cache/) for webshells; audit administrator accounts and installed plugins for unauthorized additions; rotate database credentials and authentication keys if sweep findings are positive</t>
        </is>
      </c>
      <c r="S40" s="52" t="inlineStr">
        <is>
          <t>Control 7 / Control 16</t>
        </is>
      </c>
      <c r="T40" s="53" t="inlineStr">
        <is>
          <t>Web/IT Operations / Security Operations</t>
        </is>
      </c>
      <c r="U40" s="52" t="inlineStr">
        <is>
          <t>Open — Emergency</t>
        </is>
      </c>
      <c r="V40" s="52" t="inlineStr">
        <is>
          <t>2026-07-24</t>
        </is>
      </c>
      <c r="W40" s="52" t="inlineStr">
        <is>
          <t>2026-07-27</t>
        </is>
      </c>
      <c r="X40" s="53" t="inlineStr">
        <is>
          <t>KEV added 2026-07-21; exploitation confirmed predating public disclosure (probing observed 2026-07-17); patch rate ~81.6% of sampled sites as of run date; full bundle in IT-OT-Threats/2026-07-CISA-KEV-WordPress-Core-wp2shell</t>
        </is>
      </c>
    </row>
    <row r="41" s="42">
      <c r="A41" s="52" t="inlineStr">
        <is>
          <t>RR-037</t>
        </is>
      </c>
      <c r="B41" s="53" t="inlineStr">
        <is>
          <t>2026-07-27</t>
        </is>
      </c>
      <c r="C41" s="53" t="inlineStr">
        <is>
          <t>CISA KEV</t>
        </is>
      </c>
      <c r="D41" s="53" t="inlineStr">
        <is>
          <t>CVE-2026-16232 (related: CVE-2026-62144, CVE-2026-62145)</t>
        </is>
      </c>
      <c r="E41" s="53" t="inlineStr">
        <is>
          <t>Check Point SmartConsole authentication bypass — unauthenticated attacker obtains application login token and authenticates with full administrative privileges over Security Management/MDSM, enabling security policy modification; CVSS 9.3; confirmed active exploitation against a limited customer set; exploitation requires Management Server internet exposure without Trusted Client IP restriction</t>
        </is>
      </c>
      <c r="F41" s="52" t="inlineStr">
        <is>
          <t>IT-OT-Threats</t>
        </is>
      </c>
      <c r="G41" s="53" t="inlineStr">
        <is>
          <t>Security Management / Firewall Control-Plane Infrastructure</t>
        </is>
      </c>
      <c r="H41" s="53" t="inlineStr">
        <is>
          <t>Check Point Security Management / Multi-Domain Security Management, R77.30-R82.10</t>
        </is>
      </c>
      <c r="I41" s="53" t="inlineStr">
        <is>
          <t>NIST CSF 2.0 PR.AA-05/DE.CM-01 | NIST 800-53 IA-2/AC-6/SC-7 | ISO 27001 A.8.20/A.8.9 | CIS Control 4/12</t>
        </is>
      </c>
      <c r="J41" s="53" t="inlineStr">
        <is>
          <t>IA-2, AC-6, SC-7</t>
        </is>
      </c>
      <c r="K41" s="52" t="n">
        <v>4</v>
      </c>
      <c r="L41" s="52" t="n">
        <v>5</v>
      </c>
      <c r="M41" s="52" t="n">
        <v>20</v>
      </c>
      <c r="N41" s="52" t="inlineStr">
        <is>
          <t>Critical</t>
        </is>
      </c>
      <c r="O41" s="52" t="inlineStr">
        <is>
          <t>Critical</t>
        </is>
      </c>
      <c r="P41" s="53" t="inlineStr">
        <is>
          <t>Trusted Client IP allowlist (frequently unconfigured/unrestricted in practice)</t>
        </is>
      </c>
      <c r="Q41" s="52" t="inlineStr">
        <is>
          <t>Low-Medium once hotfix applied and Trusted Clients restricted</t>
        </is>
      </c>
      <c r="R41" s="53" t="inlineStr">
        <is>
          <t>Apply the July 22 Jumbo hotfix to all Management Servers; restrict Trusted Clients (GUI clients) to known administrative IP ranges; place Management Server behind VPN/firewall; compare live firewall policy and admin accounts against last known-good baseline</t>
        </is>
      </c>
      <c r="S41" s="52" t="inlineStr">
        <is>
          <t>Control 4 / Control 12</t>
        </is>
      </c>
      <c r="T41" s="53" t="inlineStr">
        <is>
          <t>Security Architecture / Network Engineering</t>
        </is>
      </c>
      <c r="U41" s="52" t="inlineStr">
        <is>
          <t>Open — Emergency</t>
        </is>
      </c>
      <c r="V41" s="52" t="inlineStr">
        <is>
          <t>2026-07-25</t>
        </is>
      </c>
      <c r="W41" s="52" t="inlineStr">
        <is>
          <t>2026-07-27</t>
        </is>
      </c>
      <c r="X41" s="53" t="inlineStr">
        <is>
          <t>KEV added 2026-07-22; related CVE-2026-62144 (CVSS 9.3, admin command execution bypass) and CVE-2026-62145 (CVSS 7.5, Gaia Portal root privilege escalation) patched in same hotfix — not separately KEV-listed/exploited, tracked here as context rather than separate register rows per program precedent for non-independently-triaged companion CVEs; full bundle in IT-OT-Threats/2026-07-CISA-KEV-CheckPoint-SmartConsole</t>
        </is>
      </c>
    </row>
    <row r="42" s="42">
      <c r="A42" s="52" t="inlineStr">
        <is>
          <t>RR-038</t>
        </is>
      </c>
      <c r="B42" s="53" t="inlineStr">
        <is>
          <t>2026-07-27</t>
        </is>
      </c>
      <c r="C42" s="53" t="inlineStr">
        <is>
          <t>CISA KEV</t>
        </is>
      </c>
      <c r="D42" s="53" t="inlineStr">
        <is>
          <t>CVE-2026-50522</t>
        </is>
      </c>
      <c r="E42" s="53" t="inlineStr">
        <is>
          <t>Microsoft SharePoint Server (on-premises) deserialization of untrusted data enabling RCE for an attacker authenticated as at least Site Owner; CVSS 9.8; public PoC released 2026-07-20, active exploitation within hours including theft of IIS machine keys enabling forged authentication tokens that persist after patching; third SharePoint Server CVE exploited in an ongoing July attack wave</t>
        </is>
      </c>
      <c r="F42" s="52" t="inlineStr">
        <is>
          <t>IT-OT-Threats</t>
        </is>
      </c>
      <c r="G42" s="53" t="inlineStr">
        <is>
          <t>Enterprise Collaboration / Document Management Platform</t>
        </is>
      </c>
      <c r="H42" s="53" t="inlineStr">
        <is>
          <t>Microsoft SharePoint Server — Subscription Edition, 2019, 2016 (on-premises)</t>
        </is>
      </c>
      <c r="I42" s="53" t="inlineStr">
        <is>
          <t>NIST CSF 2.0 PR.PS-04/RS.AN-03/DE.CM-01 | NIST 800-53 SI-2/SI-3/IA-5 | ISO 27001 A.8.8 | CIS Control 7/16</t>
        </is>
      </c>
      <c r="J42" s="53" t="inlineStr">
        <is>
          <t>SI-2, SI-3, IA-5</t>
        </is>
      </c>
      <c r="K42" s="52" t="n">
        <v>5</v>
      </c>
      <c r="L42" s="52" t="n">
        <v>5</v>
      </c>
      <c r="M42" s="52" t="n">
        <v>25</v>
      </c>
      <c r="N42" s="52" t="inlineStr">
        <is>
          <t>Critical</t>
        </is>
      </c>
      <c r="O42" s="52" t="inlineStr">
        <is>
          <t>Critical</t>
        </is>
      </c>
      <c r="P42" s="53" t="inlineStr">
        <is>
          <t>Standard Site Owner-level authorization (insufficient — vulnerability exploitable at that privilege tier)</t>
        </is>
      </c>
      <c r="Q42" s="52" t="inlineStr">
        <is>
          <t>High until patched AND machine keys rotated — patching alone is explicitly insufficient per researcher guidance</t>
        </is>
      </c>
      <c r="R42" s="53" t="inlineStr">
        <is>
          <t>Apply Microsoft's security update for CVE-2026-50522 to all on-prem SharePoint servers; sweep for web shells/persistence artifacts BEFORE rotating machine keys; rotate IIS machine keys and invalidate existing sessions only after sweep confirms clean; remediate jointly with related CVE-2026-32201/-45659/-56164/-58644</t>
        </is>
      </c>
      <c r="S42" s="52" t="inlineStr">
        <is>
          <t>Control 7 (7.4) / Control 16</t>
        </is>
      </c>
      <c r="T42" s="53" t="inlineStr">
        <is>
          <t>Enterprise Application Engineering</t>
        </is>
      </c>
      <c r="U42" s="52" t="inlineStr">
        <is>
          <t>Open — Emergency</t>
        </is>
      </c>
      <c r="V42" s="52" t="inlineStr">
        <is>
          <t>2026-07-25</t>
        </is>
      </c>
      <c r="W42" s="52" t="inlineStr">
        <is>
          <t>2026-07-27</t>
        </is>
      </c>
      <c r="X42" s="53" t="inlineStr">
        <is>
          <t>KEV added 2026-07-22; watchTowr confirmed active exploitation and explicitly warned patching alone is insufficient (machine key theft survives patch); third of four related SharePoint CVEs exploited this month; full bundle in IT-OT-Threats/2026-07-CISA-KEV-SharePoint-MachineKeyTheft</t>
        </is>
      </c>
    </row>
    <row r="43" s="42">
      <c r="A43" s="52" t="inlineStr">
        <is>
          <t>RR-039</t>
        </is>
      </c>
      <c r="B43" s="53" t="inlineStr">
        <is>
          <t>2026-07-27</t>
        </is>
      </c>
      <c r="C43" s="53" t="inlineStr">
        <is>
          <t>CISA KEV</t>
        </is>
      </c>
      <c r="D43" s="53" t="inlineStr">
        <is>
          <t>CVE-2021-27137</t>
        </is>
      </c>
      <c r="E43" s="53" t="inlineStr">
        <is>
          <t>DD-WRT router firmware — stack-based buffer overflow in UPnP SSDP M-SEARCH handling (unsafe strcpy) allowing unauthenticated remote attacker to overflow a fixed internal buffer; CVSS 8.1; KEV-listed based on confirmed exploitation, but requires UPnP enabled (off by default) and listening on an externally-reachable interface (internal-only by default)</t>
        </is>
      </c>
      <c r="F43" s="52" t="inlineStr">
        <is>
          <t>IT-OT-Threats</t>
        </is>
      </c>
      <c r="G43" s="53" t="inlineStr">
        <is>
          <t>SOHO/SMB Network Infrastructure</t>
        </is>
      </c>
      <c r="H43" s="53" t="inlineStr">
        <is>
          <t>DD-WRT firmware, builds prior to 45724</t>
        </is>
      </c>
      <c r="I43" s="53" t="inlineStr">
        <is>
          <t>NIST CSF 2.0 PR.PS-04 | NIST 800-53 SI-2/SI-10 | CIS Control 4</t>
        </is>
      </c>
      <c r="J43" s="53" t="inlineStr">
        <is>
          <t>SI-2, SI-10</t>
        </is>
      </c>
      <c r="K43" s="52" t="n">
        <v>3</v>
      </c>
      <c r="L43" s="52" t="n">
        <v>4</v>
      </c>
      <c r="M43" s="52" t="n">
        <v>12</v>
      </c>
      <c r="N43" s="52" t="inlineStr">
        <is>
          <t>High</t>
        </is>
      </c>
      <c r="O43" s="52" t="inlineStr">
        <is>
          <t>High</t>
        </is>
      </c>
      <c r="P43" s="53" t="inlineStr">
        <is>
          <t>UPnP disabled by default; internal-interface-only listening by default</t>
        </is>
      </c>
      <c r="Q43" s="52" t="inlineStr">
        <is>
          <t>Low-Medium given non-default exploitation prerequisite; High if UPnP is enabled and reachable</t>
        </is>
      </c>
      <c r="R43" s="53" t="inlineStr">
        <is>
          <t>Update DD-WRT firmware to build 45724 or later; disable UPnP where not operationally required; if UPnP must remain enabled, confirm it is not reachable from external interfaces</t>
        </is>
      </c>
      <c r="S43" s="52" t="inlineStr">
        <is>
          <t>Control 4</t>
        </is>
      </c>
      <c r="T43" s="53" t="inlineStr">
        <is>
          <t>Network Engineering</t>
        </is>
      </c>
      <c r="U43" s="52" t="inlineStr">
        <is>
          <t>Open — Standard Cycle</t>
        </is>
      </c>
      <c r="V43" s="52" t="inlineStr">
        <is>
          <t>2026-08-17</t>
        </is>
      </c>
      <c r="W43" s="52" t="inlineStr">
        <is>
          <t>2026-07-27</t>
        </is>
      </c>
      <c r="X43" s="53" t="inlineStr">
        <is>
          <t>KEV added 2026-07-21 alongside Langflow/WordPress additions; register-entry only — no full case-study bundle built; narrow, non-default exploitation prerequisite places this below full-bundle threshold, consistent with RR-021/RR-034 precedent</t>
        </is>
      </c>
    </row>
    <row r="44" s="42">
      <c r="A44" s="52" t="inlineStr">
        <is>
          <t>RR-040</t>
        </is>
      </c>
      <c r="B44" s="53" t="inlineStr">
        <is>
          <t>2026-07-27</t>
        </is>
      </c>
      <c r="C44" s="53" t="inlineStr">
        <is>
          <t>CISA KEV</t>
        </is>
      </c>
      <c r="D44" s="53" t="inlineStr">
        <is>
          <t>CVE-2026-16812</t>
        </is>
      </c>
      <c r="E44" s="53" t="inlineStr">
        <is>
          <t>Arista VeloCloud Orchestrator (VCO) — unauthenticated OS command injection enabling full orchestrator compromise; actively exploited</t>
        </is>
      </c>
      <c r="F44" s="52" t="inlineStr">
        <is>
          <t>IT — Network (SD-WAN)</t>
        </is>
      </c>
      <c r="G44" s="53" t="inlineStr">
        <is>
          <t>SD-WAN Management Plane</t>
        </is>
      </c>
      <c r="H44" s="53" t="inlineStr">
        <is>
          <t>Arista VeloCloud Orchestrator (on-prem)</t>
        </is>
      </c>
      <c r="I44" s="53" t="inlineStr">
        <is>
          <t>NIST CSF 2.0: PR.PS-04, PR.AA-05, DE.CM-01 | NIST 800-53: SI-10, SC-7, SI-2 | ISO 27001: A.8.8, A.8.20 | CIS Control 12</t>
        </is>
      </c>
      <c r="J44" s="53" t="inlineStr">
        <is>
          <t>SC — System &amp; Comms Protection</t>
        </is>
      </c>
      <c r="K44" s="52" t="n">
        <v>5</v>
      </c>
      <c r="L44" s="52" t="n">
        <v>5</v>
      </c>
      <c r="M44" s="52" t="n">
        <v>25</v>
      </c>
      <c r="N44" s="52" t="inlineStr">
        <is>
          <t>Critical</t>
        </is>
      </c>
      <c r="O44" s="52" t="inlineStr">
        <is>
          <t>Critical</t>
        </is>
      </c>
      <c r="P44" s="53" t="inlineStr">
        <is>
          <t>Vendor patch available; network segmentation varies by deployment</t>
        </is>
      </c>
      <c r="Q44" s="52" t="inlineStr">
        <is>
          <t>Low (post-patch + isolation)</t>
        </is>
      </c>
      <c r="R44" s="53" t="inlineStr">
        <is>
          <t>Upgrade to VCO 5.2.3.14 / 6.1.3.4 / 6.4.2.4 / 7.0.0.1+; restrict management interface to admin network</t>
        </is>
      </c>
      <c r="S44" s="52" t="inlineStr">
        <is>
          <t>CIS Control 12.2 — Establish and Maintain a Secure Network Architecture</t>
        </is>
      </c>
      <c r="T44" s="53" t="inlineStr">
        <is>
          <t>Blaise Kingko</t>
        </is>
      </c>
      <c r="U44" s="52" t="inlineStr">
        <is>
          <t>Open</t>
        </is>
      </c>
      <c r="V44" s="52" t="inlineStr">
        <is>
          <t>2026-07-30</t>
        </is>
      </c>
      <c r="W44" s="52" t="inlineStr">
        <is>
          <t>2026-08-03</t>
        </is>
      </c>
      <c r="X44" s="53" t="inlineStr">
        <is>
          <t>Actively exploited per CISA KEV; 3-day federal remediation window. CVSS 10.0. Case folder: IT-OT-Threats/2026-08-CISA-KEV-Arista-VeloCloud-CommandInjection</t>
        </is>
      </c>
    </row>
    <row r="45" s="42">
      <c r="A45" s="52" t="inlineStr">
        <is>
          <t>RR-041</t>
        </is>
      </c>
      <c r="B45" s="53" t="inlineStr">
        <is>
          <t>2026-07-29</t>
        </is>
      </c>
      <c r="C45" s="53" t="inlineStr">
        <is>
          <t>CISA KEV</t>
        </is>
      </c>
      <c r="D45" s="53" t="inlineStr">
        <is>
          <t>CVE-2026-20316</t>
        </is>
      </c>
      <c r="E45" s="53" t="inlineStr">
        <is>
          <t>Cisco Secure Firewall Management Center — hard-coded low-privileged credential; actively exploited zero-day</t>
        </is>
      </c>
      <c r="F45" s="52" t="inlineStr">
        <is>
          <t>IT — Network (Firewall Management)</t>
        </is>
      </c>
      <c r="G45" s="53" t="inlineStr">
        <is>
          <t>Firewall Management Plane</t>
        </is>
      </c>
      <c r="H45" s="53" t="inlineStr">
        <is>
          <t>Cisco Secure Firewall Management Center</t>
        </is>
      </c>
      <c r="I45" s="53" t="inlineStr">
        <is>
          <t>NIST CSF 2.0: PR.AA-01, DE.CM-03 | NIST 800-53: IA-5, AC-2, CM-6 | ISO 27001: A.5.17, A.8.5 | CIS Control 5</t>
        </is>
      </c>
      <c r="J45" s="53" t="inlineStr">
        <is>
          <t>IA — Identification &amp; Authentication</t>
        </is>
      </c>
      <c r="K45" s="52" t="n">
        <v>5</v>
      </c>
      <c r="L45" s="52" t="n">
        <v>4</v>
      </c>
      <c r="M45" s="52" t="n">
        <v>20</v>
      </c>
      <c r="N45" s="52" t="inlineStr">
        <is>
          <t>Critical</t>
        </is>
      </c>
      <c r="O45" s="52" t="inlineStr">
        <is>
          <t>Critical</t>
        </is>
      </c>
      <c r="P45" s="53" t="inlineStr">
        <is>
          <t>Vendor hot fix/patch available; no customer-side workaround pre-patch</t>
        </is>
      </c>
      <c r="Q45" s="52" t="inlineStr">
        <is>
          <t>Low-Medium (post-patch + credential rotation)</t>
        </is>
      </c>
      <c r="R45" s="53" t="inlineStr">
        <is>
          <t>Upgrade to FMC 7.0.9+ / 7.2.11+ / 7.4.6+ per branch; rotate all managed credentials, certificates, and keys</t>
        </is>
      </c>
      <c r="S45" s="52" t="inlineStr">
        <is>
          <t>CIS Control 5.1 — Establish and Maintain an Inventory of Accounts</t>
        </is>
      </c>
      <c r="T45" s="53" t="inlineStr">
        <is>
          <t>Blaise Kingko</t>
        </is>
      </c>
      <c r="U45" s="52" t="inlineStr">
        <is>
          <t>Open</t>
        </is>
      </c>
      <c r="V45" s="52" t="inlineStr">
        <is>
          <t>2026-08-01</t>
        </is>
      </c>
      <c r="W45" s="52" t="inlineStr">
        <is>
          <t>2026-08-03</t>
        </is>
      </c>
      <c r="X45" s="53" t="inlineStr">
        <is>
          <t>Zero-day, actively exploited. Cisco Security Impact Rating 8.9 (High). Case folder: IT-OT-Threats/2026-08-CISA-KEV-Cisco-FMC-HardcodedPassword</t>
        </is>
      </c>
    </row>
    <row r="46" s="42">
      <c r="A46" s="52" t="inlineStr">
        <is>
          <t>RR-042</t>
        </is>
      </c>
      <c r="B46" s="53" t="inlineStr">
        <is>
          <t>2026-07-30</t>
        </is>
      </c>
      <c r="C46" s="53" t="inlineStr">
        <is>
          <t>MSRC / Microsoft Security Advisory</t>
        </is>
      </c>
      <c r="D46" s="53" t="inlineStr">
        <is>
          <t>CVE-2026-66803</t>
        </is>
      </c>
      <c r="E46" s="53" t="inlineStr">
        <is>
          <t>Azure Cosmos DB "CosmosEscape" — Gremlin API sandbox escape exposing platform-wide signing secret, enabling cross-tenant database compromise (Wiz Research; fully remediated by Microsoft pre-disclosure)</t>
        </is>
      </c>
      <c r="F46" s="52" t="inlineStr">
        <is>
          <t>Cloud — Data Platform (CSP-side)</t>
        </is>
      </c>
      <c r="G46" s="53" t="inlineStr">
        <is>
          <t>Cloud Database Platform (multi-tenant control plane)</t>
        </is>
      </c>
      <c r="H46" s="53" t="inlineStr">
        <is>
          <t>Microsoft Azure Cosmos DB (Gremlin API)</t>
        </is>
      </c>
      <c r="I46" s="53" t="inlineStr">
        <is>
          <t>NIST CSF 2.0: GV.SC-06, GV.SC-07 | NIST 800-53: SA-9, CA-3 | ISO 27001: A.5.23, A.5.19 | CIS Control 3.11</t>
        </is>
      </c>
      <c r="J46" s="53" t="inlineStr">
        <is>
          <t>SA — System &amp; Services Acquisition (Third-Party Risk)</t>
        </is>
      </c>
      <c r="K46" s="52" t="n">
        <v>2</v>
      </c>
      <c r="L46" s="52" t="n">
        <v>5</v>
      </c>
      <c r="M46" s="52" t="n">
        <v>10</v>
      </c>
      <c r="N46" s="52" t="inlineStr">
        <is>
          <t>High</t>
        </is>
      </c>
      <c r="O46" s="52" t="inlineStr">
        <is>
          <t>Critical (pre-remediation)</t>
        </is>
      </c>
      <c r="P46" s="53" t="inlineStr">
        <is>
          <t>Fully remediated by Microsoft platform-wide prior to disclosure; no evidence of customer impact</t>
        </is>
      </c>
      <c r="Q46" s="52" t="inlineStr">
        <is>
          <t>Low</t>
        </is>
      </c>
      <c r="R46" s="53" t="inlineStr">
        <is>
          <t>Log in cloud vendor risk register; confirm remediation coverage with Azure account team; no customer-side technical action required</t>
        </is>
      </c>
      <c r="S46" s="52" t="inlineStr">
        <is>
          <t>CIS Control 3.11 — Encrypt Sensitive Data at Rest (defense-in-depth, CMK)</t>
        </is>
      </c>
      <c r="T46" s="53" t="inlineStr">
        <is>
          <t>Blaise Kingko</t>
        </is>
      </c>
      <c r="U46" s="52" t="inlineStr">
        <is>
          <t>Monitoring — Register-Only Governance Item</t>
        </is>
      </c>
      <c r="V46" s="52" t="inlineStr">
        <is>
          <t>2026-08-17</t>
        </is>
      </c>
      <c r="W46" s="52" t="inlineStr">
        <is>
          <t>2026-08-03</t>
        </is>
      </c>
      <c r="X46" s="53" t="inlineStr">
        <is>
          <t>Wiz Research responsible disclosure; reported to Microsoft Nov 2025, hotfixed within 2 days, full platform remediation completed July 2026. No known exploitation. Case folder: Cloud-Security/2026-08-MSRC-Azure-CosmosDB-CrossTenantEscape</t>
        </is>
      </c>
    </row>
    <row r="47" s="42">
      <c r="A47" s="52" t="inlineStr">
        <is>
          <t>RR-043</t>
        </is>
      </c>
      <c r="B47" s="53" t="inlineStr">
        <is>
          <t>2026-08-02</t>
        </is>
      </c>
      <c r="C47" s="53" t="inlineStr">
        <is>
          <t>EU AI Act / European Commission AI Office</t>
        </is>
      </c>
      <c r="D47" s="53" t="inlineStr">
        <is>
          <t>N/A — Regulation (EU) 2024/1689, Art. 50/99</t>
        </is>
      </c>
      <c r="E47" s="53" t="inlineStr">
        <is>
          <t>EU AI Act Article 50 transparency obligations now actively enforced — AI-interaction disclosure, deepfake labeling, and generative-content watermarking required; non-compliance risk for EU-facing AI chatbots/content tools</t>
        </is>
      </c>
      <c r="F47" s="52" t="inlineStr">
        <is>
          <t>AI Governance — Regulatory Compliance</t>
        </is>
      </c>
      <c r="G47" s="53" t="inlineStr">
        <is>
          <t>Customer-facing AI/chatbot and generative content systems</t>
        </is>
      </c>
      <c r="H47" s="53" t="inlineStr">
        <is>
          <t>Any EU-facing AI interaction or generative content feature</t>
        </is>
      </c>
      <c r="I47" s="53" t="inlineStr">
        <is>
          <t>NIST AI RMF: GOVERN 1.1, MAP 1.1, MANAGE 4.1 | ISO 42001: Cl. 8.4, Cl. 6.1.3 | EU AI Act: Art. 50, Art. 99</t>
        </is>
      </c>
      <c r="J47" s="53" t="inlineStr">
        <is>
          <t>GV — Govern (AI Governance)</t>
        </is>
      </c>
      <c r="K47" s="52" t="n">
        <v>5</v>
      </c>
      <c r="L47" s="52" t="n">
        <v>4</v>
      </c>
      <c r="M47" s="52" t="n">
        <v>20</v>
      </c>
      <c r="N47" s="52" t="inlineStr">
        <is>
          <t>Critical</t>
        </is>
      </c>
      <c r="O47" s="52" t="inlineStr">
        <is>
          <t>High</t>
        </is>
      </c>
      <c r="P47" s="53" t="inlineStr">
        <is>
          <t>Varies by organization; many EU-facing AI deployments lack conspicuous disclosure/watermarking today</t>
        </is>
      </c>
      <c r="Q47" s="52" t="inlineStr">
        <is>
          <t>Low (post-implementation of disclosure UI + watermarking)</t>
        </is>
      </c>
      <c r="R47" s="53" t="inlineStr">
        <is>
          <t>Implement AI-interaction disclosure UI, deepfake labeling, C2PA-compliant watermarking; publish compliance attestation</t>
        </is>
      </c>
      <c r="S47" s="52" t="inlineStr">
        <is>
          <t>N/A — regulatory/governance control, not CIS-mapped</t>
        </is>
      </c>
      <c r="T47" s="53" t="inlineStr">
        <is>
          <t>Blaise Kingko</t>
        </is>
      </c>
      <c r="U47" s="52" t="inlineStr">
        <is>
          <t>Open</t>
        </is>
      </c>
      <c r="V47" s="52" t="inlineStr">
        <is>
          <t>2026-11-01</t>
        </is>
      </c>
      <c r="W47" s="52" t="inlineStr">
        <is>
          <t>2026-08-03</t>
        </is>
      </c>
      <c r="X47" s="53" t="inlineStr">
        <is>
          <t>Enforcement began 2026-08-02; fines up to €15M or 3% global turnover (Art. 99 Tier 2). Parallel California SB 942 obligation, same effective date. High-risk AI system obligations separately delayed to Dec 2027 via Digital Omnibus — do not conflate the two timelines. Case folder: AI-Governance/2026-08-EU-AI-Act-Transparency-Enforcement</t>
        </is>
      </c>
    </row>
    <row r="48" s="42">
      <c r="A48" s="52" t="inlineStr">
        <is>
          <t>RR-044</t>
        </is>
      </c>
      <c r="B48" s="53" t="inlineStr">
        <is>
          <t>2026-07-27</t>
        </is>
      </c>
      <c r="C48" s="53" t="inlineStr">
        <is>
          <t>CISA KEV</t>
        </is>
      </c>
      <c r="D48" s="53" t="inlineStr">
        <is>
          <t>CVE-2025-68686</t>
        </is>
      </c>
      <c r="E48" s="53" t="inlineStr">
        <is>
          <t>Fortinet FortiOS — Exposure of Sensitive Information allowing bypass of symlink-persistence patch; requires prior filesystem-level compromise via separate vulnerability</t>
        </is>
      </c>
      <c r="F48" s="52" t="inlineStr">
        <is>
          <t>IT — Network (Register-Only)</t>
        </is>
      </c>
      <c r="G48" s="53" t="inlineStr">
        <is>
          <t>Network Security Appliance</t>
        </is>
      </c>
      <c r="H48" s="53" t="inlineStr">
        <is>
          <t>Fortinet FortiOS 6.4 – 7.6.1</t>
        </is>
      </c>
      <c r="I48" s="53" t="inlineStr">
        <is>
          <t>NIST CSF 2.0: PR.PS-04 | NIST 800-53: SI-2, CM-6 | CIS Control 7</t>
        </is>
      </c>
      <c r="J48" s="53" t="inlineStr">
        <is>
          <t>SI — System Integrity</t>
        </is>
      </c>
      <c r="K48" s="52" t="n">
        <v>3</v>
      </c>
      <c r="L48" s="52" t="n">
        <v>2</v>
      </c>
      <c r="M48" s="52" t="n">
        <v>6</v>
      </c>
      <c r="N48" s="52" t="inlineStr">
        <is>
          <t>Medium</t>
        </is>
      </c>
      <c r="O48" s="52" t="inlineStr">
        <is>
          <t>Medium</t>
        </is>
      </c>
      <c r="P48" s="53" t="inlineStr">
        <is>
          <t>Vendor patch available</t>
        </is>
      </c>
      <c r="Q48" s="52" t="inlineStr">
        <is>
          <t>Low</t>
        </is>
      </c>
      <c r="R48" s="53" t="inlineStr">
        <is>
          <t>Apply FortiOS patch; verify no symlink-based persistence remains from any prior compromise</t>
        </is>
      </c>
      <c r="S48" s="52" t="inlineStr">
        <is>
          <t>CIS Control 7.4</t>
        </is>
      </c>
      <c r="T48" s="53" t="inlineStr">
        <is>
          <t>Blaise Kingko</t>
        </is>
      </c>
      <c r="U48" s="52" t="inlineStr">
        <is>
          <t>Open — Register-Only</t>
        </is>
      </c>
      <c r="V48" s="52" t="inlineStr">
        <is>
          <t>2026-08-17</t>
        </is>
      </c>
      <c r="W48" s="52" t="inlineStr">
        <is>
          <t>2026-08-03</t>
        </is>
      </c>
      <c r="X48" s="53" t="inlineStr">
        <is>
          <t>KEV-listed (active exploitation confirmed) but CVSS 5.3 with narrow precondition — requires prior compromise via separate vulnerability to exploit. Register-only entry, no full case bundle, per RR-021/RR-034 precedent for narrow-precondition KEV findings.</t>
        </is>
      </c>
    </row>
    <row r="49">
      <c r="A49" s="52" t="inlineStr">
        <is>
          <t>RR-045</t>
        </is>
      </c>
      <c r="B49" s="53" t="inlineStr">
        <is>
          <t>2026-08-04</t>
        </is>
      </c>
      <c r="C49" s="53" t="inlineStr">
        <is>
          <t>CISA KEV</t>
        </is>
      </c>
      <c r="D49" s="53" t="inlineStr">
        <is>
          <t>CVE-2026-9198</t>
        </is>
      </c>
      <c r="E49" s="53" t="inlineStr">
        <is>
          <t>IBM Langflow OSS — unauthenticated auto-login token forge chained with code-validation exec() RCE; actively exploited</t>
        </is>
      </c>
      <c r="F49" s="52" t="inlineStr">
        <is>
          <t>AI — Agent/Workflow Platform</t>
        </is>
      </c>
      <c r="G49" s="53" t="inlineStr">
        <is>
          <t>AI Agent/Workflow Orchestration Platform</t>
        </is>
      </c>
      <c r="H49" s="53" t="inlineStr">
        <is>
          <t>IBM Langflow OSS (1.0.0-1.10.0)</t>
        </is>
      </c>
      <c r="I49" s="53" t="inlineStr">
        <is>
          <t>NIST AI RMF: MAP 5.1, GOVERN 1.1 | ISO 42001: 8.4 | NIST CSF 2.0: PR.PS-01 | NIST 800-53: IA-2, SI-2 | CIS Control 16.1</t>
        </is>
      </c>
      <c r="J49" s="53" t="inlineStr">
        <is>
          <t>IA — Identification &amp; Authentication</t>
        </is>
      </c>
      <c r="K49" s="52" t="n">
        <v>5</v>
      </c>
      <c r="L49" s="52" t="n">
        <v>5</v>
      </c>
      <c r="M49" s="52" t="n">
        <v>25</v>
      </c>
      <c r="N49" s="52" t="inlineStr">
        <is>
          <t>Critical</t>
        </is>
      </c>
      <c r="O49" s="52" t="inlineStr">
        <is>
          <t>Critical</t>
        </is>
      </c>
      <c r="P49" s="53" t="inlineStr">
        <is>
          <t>Vendor patch available (1.10.1); no customer-side workaround pre-patch beyond network isolation</t>
        </is>
      </c>
      <c r="Q49" s="52" t="inlineStr">
        <is>
          <t>Low-Medium (post-patch + full credential rotation)</t>
        </is>
      </c>
      <c r="R49" s="53" t="inlineStr">
        <is>
          <t>Upgrade to Langflow 1.10.1+; rotate all credentials/API keys wired into flows on affected instance</t>
        </is>
      </c>
      <c r="S49" s="52" t="inlineStr">
        <is>
          <t>CIS Control 16.1 — Application Software Security</t>
        </is>
      </c>
      <c r="T49" s="53" t="inlineStr">
        <is>
          <t>Blaise Kingko</t>
        </is>
      </c>
      <c r="U49" s="52" t="inlineStr">
        <is>
          <t>Open — Emergency</t>
        </is>
      </c>
      <c r="V49" s="52" t="inlineStr">
        <is>
          <t>2026-08-15</t>
        </is>
      </c>
      <c r="W49" s="52" t="inlineStr">
        <is>
          <t>2026-08-10</t>
        </is>
      </c>
      <c r="X49" s="53" t="inlineStr">
        <is>
          <t>Third Langflow CVE logged in 90 days (see RR-028, RR-035) — platform-level trust pattern. Case folder: AI-Governance/2026-08-CISA-KEV-Langflow-AutoLoginRCE (dual: Cloud-Security)</t>
        </is>
      </c>
    </row>
    <row r="50">
      <c r="A50" s="52" t="inlineStr">
        <is>
          <t>RR-046</t>
        </is>
      </c>
      <c r="B50" s="53" t="inlineStr">
        <is>
          <t>2026-08-03</t>
        </is>
      </c>
      <c r="C50" s="53" t="inlineStr">
        <is>
          <t>CISA KEV</t>
        </is>
      </c>
      <c r="D50" s="53" t="inlineStr">
        <is>
          <t>CVE-2026-18556; CVE-2026-18577</t>
        </is>
      </c>
      <c r="E50" s="53" t="inlineStr">
        <is>
          <t>N-able N-central RMM platform — authentication bypass (incomplete first fix, second CVE for bypass of same logic); actively exploited, Take Control abuse + Cloudflare Tunnel persistence</t>
        </is>
      </c>
      <c r="F50" s="52" t="inlineStr">
        <is>
          <t>IT — Network (RMM/Management Plane)</t>
        </is>
      </c>
      <c r="G50" s="53" t="inlineStr">
        <is>
          <t>Remote Monitoring &amp; Management Platform</t>
        </is>
      </c>
      <c r="H50" s="53" t="inlineStr">
        <is>
          <t>N-able N-central (pre-2026.3.1.7)</t>
        </is>
      </c>
      <c r="I50" s="53" t="inlineStr">
        <is>
          <t>NIST CSF 2.0: GV.SC-05, DE.CM-03 | NIST 800-53: IA-2, AC-17, SC-7 | ISO 27001: A.5.19, A.8.16 | CIS Control 13.3</t>
        </is>
      </c>
      <c r="J50" s="53" t="inlineStr">
        <is>
          <t>IA — Identification &amp; Authentication</t>
        </is>
      </c>
      <c r="K50" s="52" t="n">
        <v>5</v>
      </c>
      <c r="L50" s="52" t="n">
        <v>5</v>
      </c>
      <c r="M50" s="52" t="n">
        <v>25</v>
      </c>
      <c r="N50" s="52" t="inlineStr">
        <is>
          <t>Critical</t>
        </is>
      </c>
      <c r="O50" s="52" t="inlineStr">
        <is>
          <t>Critical</t>
        </is>
      </c>
      <c r="P50" s="53" t="inlineStr">
        <is>
          <t>Vendor hotfix available (2026.3.1.7); first fix (2026.2) confirmed incomplete</t>
        </is>
      </c>
      <c r="Q50" s="52" t="inlineStr">
        <is>
          <t>Medium (pending independent verification of second fix + session audit)</t>
        </is>
      </c>
      <c r="R50" s="53" t="inlineStr">
        <is>
          <t>Apply N-central 2026.3 Hotfix 1 (build 2026.3.1.7+); audit Take Control sessions since 2026-08-01; sweep for unauthorized Cloudflare Tunnel instances</t>
        </is>
      </c>
      <c r="S50" s="52" t="inlineStr">
        <is>
          <t>CIS Control 13.3 — Deploy a Network Intrusion Detection Solution</t>
        </is>
      </c>
      <c r="T50" s="53" t="inlineStr">
        <is>
          <t>Blaise Kingko</t>
        </is>
      </c>
      <c r="U50" s="52" t="inlineStr">
        <is>
          <t>Open — Emergency</t>
        </is>
      </c>
      <c r="V50" s="52" t="inlineStr">
        <is>
          <t>2026-08-14</t>
        </is>
      </c>
      <c r="W50" s="52" t="inlineStr">
        <is>
          <t>2026-08-10</t>
        </is>
      </c>
      <c r="X50" s="53" t="inlineStr">
        <is>
          <t>MSP supply-chain-multiplier risk; vendor's first patch (2026.2) confirmed incomplete before second CVE assigned. Case folder: IT-OT-Threats/2026-08-CISA-KEV-Nable-Ncentral-AuthBypass</t>
        </is>
      </c>
    </row>
    <row r="51">
      <c r="A51" s="52" t="inlineStr">
        <is>
          <t>RR-047</t>
        </is>
      </c>
      <c r="B51" s="53" t="inlineStr">
        <is>
          <t>2026-08-04</t>
        </is>
      </c>
      <c r="C51" s="53" t="inlineStr">
        <is>
          <t>CISA KEV</t>
        </is>
      </c>
      <c r="D51" s="53" t="inlineStr">
        <is>
          <t>CVE-2026-34486</t>
        </is>
      </c>
      <c r="E51" s="53" t="inlineStr">
        <is>
          <t>Apache Tomcat — EncryptInterceptor bypass from incomplete prior fix (CVE-2026-29146); actively exploited by AI-assisted threat actor deploying deserialization reverse shells</t>
        </is>
      </c>
      <c r="F51" s="52" t="inlineStr">
        <is>
          <t>IT — Application Server</t>
        </is>
      </c>
      <c r="G51" s="53" t="inlineStr">
        <is>
          <t>Clustered Web Application Server</t>
        </is>
      </c>
      <c r="H51" s="53" t="inlineStr">
        <is>
          <t>Apache Tomcat 11.0.20 / 10.1.53 / 9.0.116</t>
        </is>
      </c>
      <c r="I51" s="53" t="inlineStr">
        <is>
          <t>NIST CSF 2.0: PR.DS-02, DE.CM-01 | NIST 800-53: SC-8, SI-2 | ISO 27001: A.8.24 | CIS Control 7.1</t>
        </is>
      </c>
      <c r="J51" s="53" t="inlineStr">
        <is>
          <t>SC — System &amp; Communications Protection</t>
        </is>
      </c>
      <c r="K51" s="52" t="n">
        <v>5</v>
      </c>
      <c r="L51" s="52" t="n">
        <v>4</v>
      </c>
      <c r="M51" s="52" t="n">
        <v>20</v>
      </c>
      <c r="N51" s="52" t="inlineStr">
        <is>
          <t>Critical</t>
        </is>
      </c>
      <c r="O51" s="52" t="inlineStr">
        <is>
          <t>Critical</t>
        </is>
      </c>
      <c r="P51" s="53" t="inlineStr">
        <is>
          <t>Vendor patch available (11.0.21/10.1.54/9.0.117); no workaround for the code-level regression</t>
        </is>
      </c>
      <c r="Q51" s="52" t="inlineStr">
        <is>
          <t>Low-Medium (post-patch + traffic-encryption verification)</t>
        </is>
      </c>
      <c r="R51" s="53" t="inlineStr">
        <is>
          <t>Upgrade to fixed Tomcat release per branch; verify cluster traffic encryption via network capture; scan for reverse-shell indicators</t>
        </is>
      </c>
      <c r="S51" s="52" t="inlineStr">
        <is>
          <t>CIS Control 7.1 — Establish and Maintain a Vulnerability Management Process</t>
        </is>
      </c>
      <c r="T51" s="53" t="inlineStr">
        <is>
          <t>Blaise Kingko</t>
        </is>
      </c>
      <c r="U51" s="52" t="inlineStr">
        <is>
          <t>Open — Emergency</t>
        </is>
      </c>
      <c r="V51" s="52" t="inlineStr">
        <is>
          <t>2026-08-07</t>
        </is>
      </c>
      <c r="W51" s="52" t="inlineStr">
        <is>
          <t>2026-08-10</t>
        </is>
      </c>
      <c r="X51" s="53" t="inlineStr">
        <is>
          <t>AI-assisted threat-actor tradecraft (Unit 42 attribution) — flagged for AI Governance Watch as adversary-side AI use, not a platform vulnerability. Case folder: IT-OT-Threats/2026-08-CISA-KEV-Apache-Tomcat-EncryptInterceptor</t>
        </is>
      </c>
    </row>
    <row r="52">
      <c r="A52" s="52" t="inlineStr">
        <is>
          <t>RR-048</t>
        </is>
      </c>
      <c r="B52" s="53" t="inlineStr">
        <is>
          <t>2026-08-07</t>
        </is>
      </c>
      <c r="C52" s="53" t="inlineStr">
        <is>
          <t>CISA KEV</t>
        </is>
      </c>
      <c r="D52" s="53" t="inlineStr">
        <is>
          <t>CVE-2026-8037</t>
        </is>
      </c>
      <c r="E52" s="53" t="inlineStr">
        <is>
          <t>Progress Kemp LoadMaster — pre-auth OS command injection via flawed escape_quotes() sanitization; actively exploited since 2026-06-29</t>
        </is>
      </c>
      <c r="F52" s="52" t="inlineStr">
        <is>
          <t>IT — Network (ADC/Load Balancer)</t>
        </is>
      </c>
      <c r="G52" s="53" t="inlineStr">
        <is>
          <t>Application Delivery Controller (perimeter)</t>
        </is>
      </c>
      <c r="H52" s="53" t="inlineStr">
        <is>
          <t>Progress Kemp LoadMaster GA &lt;=7.2.63.1 / LTSF &lt;=7.2.54.17</t>
        </is>
      </c>
      <c r="I52" s="53" t="inlineStr">
        <is>
          <t>NIST CSF 2.0: PR.PS-01 | NIST 800-53: SI-10, SI-2, AC-4 | ISO 27001: A.8.28, A.8.20 | CIS Control 12.2</t>
        </is>
      </c>
      <c r="J52" s="53" t="inlineStr">
        <is>
          <t>SI — System &amp; Information Integrity</t>
        </is>
      </c>
      <c r="K52" s="52" t="n">
        <v>5</v>
      </c>
      <c r="L52" s="52" t="n">
        <v>5</v>
      </c>
      <c r="M52" s="52" t="n">
        <v>25</v>
      </c>
      <c r="N52" s="52" t="inlineStr">
        <is>
          <t>Critical</t>
        </is>
      </c>
      <c r="O52" s="52" t="inlineStr">
        <is>
          <t>Critical</t>
        </is>
      </c>
      <c r="P52" s="53" t="inlineStr">
        <is>
          <t>Vendor patch available since June 2026 (7.2.63.2/7.2.54.18); exploitation continued 5+ weeks post-patch</t>
        </is>
      </c>
      <c r="Q52" s="52" t="inlineStr">
        <is>
          <t>Low-Medium (post-patch + log review back to 2026-06-29)</t>
        </is>
      </c>
      <c r="R52" s="53" t="inlineStr">
        <is>
          <t>Upgrade to GA 7.2.63.2 / LTSF 7.2.54.18; restrict management API to internal network; review logs back to 2026-06-29</t>
        </is>
      </c>
      <c r="S52" s="52" t="inlineStr">
        <is>
          <t>CIS Control 12.2 — Establish and Maintain a Secure Network Architecture</t>
        </is>
      </c>
      <c r="T52" s="53" t="inlineStr">
        <is>
          <t>Blaise Kingko</t>
        </is>
      </c>
      <c r="U52" s="52" t="inlineStr">
        <is>
          <t>Open — Emergency / Overdue</t>
        </is>
      </c>
      <c r="V52" s="52" t="inlineStr">
        <is>
          <t>2026-08-12</t>
        </is>
      </c>
      <c r="W52" s="52" t="inlineStr">
        <is>
          <t>2026-08-10</t>
        </is>
      </c>
      <c r="X52" s="53" t="inlineStr">
        <is>
          <t>Vendor patch predates KEV listing by 5+ weeks with confirmed ongoing exploitation — patch-SLA should not depend on KEV status alone. Case folder: IT-OT-Threats/2026-08-CISA-KEV-Progress-LoadMaster-CommandInjection</t>
        </is>
      </c>
    </row>
    <row r="53">
      <c r="A53" s="52" t="inlineStr">
        <is>
          <t>RR-049</t>
        </is>
      </c>
      <c r="B53" s="53" t="inlineStr">
        <is>
          <t>2026-08-06</t>
        </is>
      </c>
      <c r="C53" s="53" t="inlineStr">
        <is>
          <t>AWS Security Bulletin / Vendor Advisories</t>
        </is>
      </c>
      <c r="D53" s="53" t="inlineStr">
        <is>
          <t>CVE-2026-18830; CVE-2026-18236; CVE-2026-64650; CVE-2026-64651</t>
        </is>
      </c>
      <c r="E53" s="53" t="inlineStr">
        <is>
          <t>Cross-platform "CoreBreak" agentic AI tool-invocation authorization bypass across AWS Bedrock AgentCore, Google ADK, and Vercel AI SDK — no confirmed ITW exploitation, all vendors patched</t>
        </is>
      </c>
      <c r="F53" s="52" t="inlineStr">
        <is>
          <t>AI — Agent/Workflow Platform (multi-vendor architecture class)</t>
        </is>
      </c>
      <c r="G53" s="53" t="inlineStr">
        <is>
          <t>AI Agent Orchestration / Tool-Invocation Layer</t>
        </is>
      </c>
      <c r="H53" s="53" t="inlineStr">
        <is>
          <t>Amazon Bedrock AgentCore InvokeHarness; Google ADK for Python &lt;2.5.0; Vercel @ai-sdk/harness-codex &lt;1.0.29, @ai-sdk/harness-opencode &lt;1.0.28</t>
        </is>
      </c>
      <c r="I53" s="53" t="inlineStr">
        <is>
          <t>NIST AI RMF: MAP 1.1, MANAGE 4.1, GOVERN 1.3 | ISO 42001: 6.1.2, 8.4 | NIST 800-53: AC-3 | MITRE ATLAS: ML Model Access</t>
        </is>
      </c>
      <c r="J53" s="53" t="inlineStr">
        <is>
          <t>AC — Access Control</t>
        </is>
      </c>
      <c r="K53" s="52" t="n">
        <v>4</v>
      </c>
      <c r="L53" s="52" t="n">
        <v>5</v>
      </c>
      <c r="M53" s="52" t="n">
        <v>20</v>
      </c>
      <c r="N53" s="52" t="inlineStr">
        <is>
          <t>Critical</t>
        </is>
      </c>
      <c r="O53" s="52" t="inlineStr">
        <is>
          <t>Critical</t>
        </is>
      </c>
      <c r="P53" s="53" t="inlineStr">
        <is>
          <t>All 3 vendors patched (AWS auto-fixed server-side; Google ADK 2.5.0; Vercel 1.0.29/1.0.28); Strands standalone SDK path documented, not code-fixed</t>
        </is>
      </c>
      <c r="Q53" s="52" t="inlineStr">
        <is>
          <t>Low-Medium (Low for managed services; Medium for standalone Strands deployments and comparable in-house agents)</t>
        </is>
      </c>
      <c r="R53" s="53" t="inlineStr">
        <is>
          <t>Patch all 4 affected packages; apply documented Strands mitigation for standalone deployments; review in-house agentic AI systems for the same trust-boundary pattern</t>
        </is>
      </c>
      <c r="S53" s="52" t="inlineStr">
        <is>
          <t>N/A — architectural finding; see NIST AI RMF MANAGE 4.1</t>
        </is>
      </c>
      <c r="T53" s="53" t="inlineStr">
        <is>
          <t>Blaise Kingko</t>
        </is>
      </c>
      <c r="U53" s="52" t="inlineStr">
        <is>
          <t>Open — Proactive (Architecture Review)</t>
        </is>
      </c>
      <c r="V53" s="52" t="inlineStr">
        <is>
          <t>2026-08-24</t>
        </is>
      </c>
      <c r="W53" s="52" t="inlineStr">
        <is>
          <t>2026-08-10</t>
        </is>
      </c>
      <c r="X53" s="53" t="inlineStr">
        <is>
          <t>First cross-vendor AI-agent-architecture-class finding in this register; disclosed at Black Hat USA 2026 (CoreBreak). No confirmed ITW exploitation. Case folder: AI-Governance/2026-08-AWS-Bulletin-CoreBreak-AgentToolInvocationBypass (dual: Cloud-Security)</t>
        </is>
      </c>
    </row>
    <row r="54" s="42">
      <c r="A54" s="52" t="inlineStr">
        <is>
          <t>RR-050</t>
        </is>
      </c>
      <c r="B54" s="53" t="inlineStr">
        <is>
          <t>2026-08-05</t>
        </is>
      </c>
      <c r="C54" s="53" t="inlineStr">
        <is>
          <t>Jenkins Security Advisory</t>
        </is>
      </c>
      <c r="D54" s="53" t="inlineStr">
        <is>
          <t>CVE-2026-70426; CVE-2026-70427; CVE-2026-70428</t>
        </is>
      </c>
      <c r="E54" s="53" t="inlineStr">
        <is>
          <t>Jenkins — JEP-200 deserialization filter bypass (Remoting fallback path) plus companion arbitrary-file-write findings enabling controller code execution; responsibly disclosed, no known ITW exploitation</t>
        </is>
      </c>
      <c r="F54" s="52" t="inlineStr">
        <is>
          <t>IT — CI/CD Platform</t>
        </is>
      </c>
      <c r="G54" s="53" t="inlineStr">
        <is>
          <t>CI/CD Orchestration Controller</t>
        </is>
      </c>
      <c r="H54" s="53" t="inlineStr">
        <is>
          <t>Jenkins weekly &lt;=2.575 / LTS &lt;=2.568.1</t>
        </is>
      </c>
      <c r="I54" s="53" t="inlineStr">
        <is>
          <t>NIST CSF 2.0: PR.AA-05 | NIST 800-53: SI-2, AC-6, SC-39 | ISO 27001: A.8.25 | CIS Control 16.1, 4.1</t>
        </is>
      </c>
      <c r="J54" s="53" t="inlineStr">
        <is>
          <t>AC — Access Control</t>
        </is>
      </c>
      <c r="K54" s="52" t="n">
        <v>3</v>
      </c>
      <c r="L54" s="52" t="n">
        <v>5</v>
      </c>
      <c r="M54" s="52" t="n">
        <v>15</v>
      </c>
      <c r="N54" s="52" t="inlineStr">
        <is>
          <t>High</t>
        </is>
      </c>
      <c r="O54" s="52" t="inlineStr">
        <is>
          <t>High</t>
        </is>
      </c>
      <c r="P54" s="53" t="inlineStr">
        <is>
          <t>Vendor patch available (2.576/2.568.2); workaround published for orgs unable to upgrade immediately</t>
        </is>
      </c>
      <c r="Q54" s="52" t="inlineStr">
        <is>
          <t>Low (post-patch + permission-scoping review)</t>
        </is>
      </c>
      <c r="R54" s="53" t="inlineStr">
        <is>
          <t>Upgrade to Jenkins weekly 2.576 / LTS 2.568.2; tighten Agent/Connect and Item/Configure/Item/Build permissions; check init.groovy.d/ and plugins/ for unauthorized files</t>
        </is>
      </c>
      <c r="S54" s="52" t="inlineStr">
        <is>
          <t>CIS Control 16.1 — Application Software Security</t>
        </is>
      </c>
      <c r="T54" s="53" t="inlineStr">
        <is>
          <t>Blaise Kingko</t>
        </is>
      </c>
      <c r="U54" s="52" t="inlineStr">
        <is>
          <t>Open — Standard Cycle</t>
        </is>
      </c>
      <c r="V54" s="52" t="inlineStr">
        <is>
          <t>2026-08-17</t>
        </is>
      </c>
      <c r="W54" s="52" t="inlineStr">
        <is>
          <t>2026-08-10</t>
        </is>
      </c>
      <c r="X54" s="53" t="inlineStr">
        <is>
          <t>Responsibly disclosed via Jenkins Bug Bounty Program (European Commission-sponsored); no confirmed ITW exploitation; exploitability gated by Agent/Connect or Item/Configure permissions. Case folder: Cloud-Security/2026-08-NIST-NVD-Jenkins-DeserializationFilterBypass</t>
        </is>
      </c>
    </row>
    <row r="55" s="42">
      <c r="A55" s="52" t="inlineStr">
        <is>
          <t>RR-051</t>
        </is>
      </c>
      <c r="B55" s="53" t="inlineStr">
        <is>
          <t>2026-09-04</t>
        </is>
      </c>
      <c r="C55" s="53" t="inlineStr">
        <is>
          <t>AWS Security Bulletin</t>
        </is>
      </c>
      <c r="D55" s="53" t="inlineStr">
        <is>
          <t>CVE-2026-85787; CVE-2026-85654</t>
        </is>
      </c>
      <c r="E55" s="53" t="inlineStr">
        <is>
          <t>AWS Labs MCP servers for AI agents — incomplete SQL-validation denylist in postgres-mcp-server allows read-only bypass; template injection in dynamodb-mcp-server CDK generator enables code execution</t>
        </is>
      </c>
      <c r="F55" s="52" t="inlineStr">
        <is>
          <t>AI — Agent/Tooling (dual: Cloud-Security)</t>
        </is>
      </c>
      <c r="G55" s="53" t="inlineStr">
        <is>
          <t>AI Agent Database/Infrastructure Tooling</t>
        </is>
      </c>
      <c r="H55" s="53" t="inlineStr">
        <is>
          <t>awslabs.postgres-mcp-server (&lt;1.1.7); awslabs.dynamodb-mcp-server (&lt;=2.0.10)</t>
        </is>
      </c>
      <c r="I55" s="53" t="inlineStr">
        <is>
          <t>NIST AI RMF: MAP 5.1, MANAGE 4.1 | ISO 42001: 8.4 | NIST 800-53: SI-10, SA-11 | MITRE ATLAS: AML.T0053</t>
        </is>
      </c>
      <c r="J55" s="53" t="inlineStr">
        <is>
          <t>SI — System Integrity (AI Agent Trust Boundary)</t>
        </is>
      </c>
      <c r="K55" s="52" t="n">
        <v>3</v>
      </c>
      <c r="L55" s="52" t="n">
        <v>4</v>
      </c>
      <c r="M55" s="52">
        <f>K55*L55</f>
        <v/>
      </c>
      <c r="N55" s="52" t="inlineStr">
        <is>
          <t>High</t>
        </is>
      </c>
      <c r="O55" s="52" t="inlineStr">
        <is>
          <t>High</t>
        </is>
      </c>
      <c r="P55" s="53" t="inlineStr">
        <is>
          <t>No known exploitation; vendor patches available same-day as disclosure</t>
        </is>
      </c>
      <c r="Q55" s="52" t="inlineStr">
        <is>
          <t>Low (post-patch + database-enforced least privilege)</t>
        </is>
      </c>
      <c r="R55" s="53" t="inlineStr">
        <is>
          <t>Upgrade postgres-mcp-server to 1.1.7+ and dynamodb-mcp-server to 2.1.6+; enforce least-privilege DB roles independent of app-level read-only flag</t>
        </is>
      </c>
      <c r="S55" s="52" t="inlineStr">
        <is>
          <t>N/A — AI agent architecture finding; see NIST AI RMF MANAGE 4.1</t>
        </is>
      </c>
      <c r="T55" s="53" t="inlineStr">
        <is>
          <t>Blaise Kingko</t>
        </is>
      </c>
      <c r="U55" s="52" t="inlineStr">
        <is>
          <t>Open</t>
        </is>
      </c>
      <c r="V55" s="52" t="inlineStr">
        <is>
          <t>2026-09-21</t>
        </is>
      </c>
      <c r="W55" s="52" t="inlineStr">
        <is>
          <t>2026-09-07</t>
        </is>
      </c>
      <c r="X55" s="53" t="inlineStr">
        <is>
          <t>Second consecutive week with an AI-agent tool-invocation trust-boundary finding — see RR-049 (CoreBreak) precedent. Case folder: AI-Governance/2026-09-AWS-Bulletin-MCP-Server-InputValidation (dual: Cloud-Security)</t>
        </is>
      </c>
    </row>
    <row r="56" s="42">
      <c r="A56" s="52" t="inlineStr">
        <is>
          <t>RR-052</t>
        </is>
      </c>
      <c r="B56" s="53" t="inlineStr">
        <is>
          <t>2026-09-01</t>
        </is>
      </c>
      <c r="C56" s="53" t="inlineStr">
        <is>
          <t>AWS Security Bulletin</t>
        </is>
      </c>
      <c r="D56" s="53" t="inlineStr">
        <is>
          <t>CVE-2026-83551</t>
        </is>
      </c>
      <c r="E56" s="53" t="inlineStr">
        <is>
          <t>Amazon SageMaker Python SDK — cleartext storage of HMAC signing key in @step/@remote pipeline component allows cross-user code execution in shared accounts</t>
        </is>
      </c>
      <c r="F56" s="52" t="inlineStr">
        <is>
          <t>AI — ML Platform (dual: Cloud-Security)</t>
        </is>
      </c>
      <c r="G56" s="53" t="inlineStr">
        <is>
          <t>ML Pipeline Execution Environment</t>
        </is>
      </c>
      <c r="H56" s="53" t="inlineStr">
        <is>
          <t>Amazon SageMaker Python SDK v3.11.0 and earlier; v2.256.0 and earlier</t>
        </is>
      </c>
      <c r="I56" s="53" t="inlineStr">
        <is>
          <t>NIST AI RMF: MAP 5.1 | ISO 42001: 6.1.2 | NIST 800-53: SC-28, IA-5 | NIST CSF 2.0: PR.AA-05</t>
        </is>
      </c>
      <c r="J56" s="53" t="inlineStr">
        <is>
          <t>SC — System &amp; Communications Protection (Credential Exposure)</t>
        </is>
      </c>
      <c r="K56" s="52" t="n">
        <v>3</v>
      </c>
      <c r="L56" s="52" t="n">
        <v>4</v>
      </c>
      <c r="M56" s="52">
        <f>K56*L56</f>
        <v/>
      </c>
      <c r="N56" s="52" t="inlineStr">
        <is>
          <t>High</t>
        </is>
      </c>
      <c r="O56" s="52" t="inlineStr">
        <is>
          <t>High</t>
        </is>
      </c>
      <c r="P56" s="53" t="inlineStr">
        <is>
          <t>Vendor patch available same day; no confirmed exploitation</t>
        </is>
      </c>
      <c r="Q56" s="52" t="inlineStr">
        <is>
          <t>Low (post-patch + key rotation)</t>
        </is>
      </c>
      <c r="R56" s="53" t="inlineStr">
        <is>
          <t>Upgrade SDK to v3.11.0+/v2.256.0+; rotate all HMAC signing keys in use pre-patch; review shared SageMaker domain tenant isolation</t>
        </is>
      </c>
      <c r="S56" s="52" t="inlineStr">
        <is>
          <t>N/A — credential exposure / AI platform finding</t>
        </is>
      </c>
      <c r="T56" s="53" t="inlineStr">
        <is>
          <t>Blaise Kingko</t>
        </is>
      </c>
      <c r="U56" s="52" t="inlineStr">
        <is>
          <t>Open</t>
        </is>
      </c>
      <c r="V56" s="52" t="inlineStr">
        <is>
          <t>2026-09-21</t>
        </is>
      </c>
      <c r="W56" s="52" t="inlineStr">
        <is>
          <t>2026-09-07</t>
        </is>
      </c>
      <c r="X56" s="53" t="inlineStr">
        <is>
          <t>Third AWS AI/ML-platform finding this run alongside RR-051 — reinforces pattern of AWS AI tooling expansion outpacing trust-boundary maturity. Case folder: AI-Governance/2026-09-AWS-Bulletin-SageMaker-HMACKeyExposure (dual: Cloud-Security)</t>
        </is>
      </c>
    </row>
    <row r="57" s="42">
      <c r="A57" s="52" t="inlineStr">
        <is>
          <t>RR-053</t>
        </is>
      </c>
      <c r="B57" s="53" t="inlineStr">
        <is>
          <t>2026-09-02</t>
        </is>
      </c>
      <c r="C57" s="53" t="inlineStr">
        <is>
          <t>CISA KEV</t>
        </is>
      </c>
      <c r="D57" s="53" t="inlineStr">
        <is>
          <t>CVE-2026-83548; CVE-2026-83549</t>
        </is>
      </c>
      <c r="E57" s="53" t="inlineStr">
        <is>
          <t>SonicWall SMA1000 — pre-auth SSRF chained with OS command injection yields unauthenticated RCE on remote-access appliance; actively exploited</t>
        </is>
      </c>
      <c r="F57" s="52" t="inlineStr">
        <is>
          <t>IT — Network (Remote Access)</t>
        </is>
      </c>
      <c r="G57" s="53" t="inlineStr">
        <is>
          <t>VPN / Remote Access Gateway</t>
        </is>
      </c>
      <c r="H57" s="53" t="inlineStr">
        <is>
          <t>SonicWall SMA1000 (models 6210, 7210, 8200v); firmware 12.4.3 &lt;=03453 / 12.5.0 &lt;=02835</t>
        </is>
      </c>
      <c r="I57" s="53" t="inlineStr">
        <is>
          <t>NIST CSF 2.0: PR.PS-01, DE.CM-01 | NIST 800-53: SC-7, AC-4, SI-10 | ISO 27001: A.8.20 | CIS Control 12.2</t>
        </is>
      </c>
      <c r="J57" s="53" t="inlineStr">
        <is>
          <t>SC — System &amp; Communications Protection (Boundary Protection)</t>
        </is>
      </c>
      <c r="K57" s="52" t="n">
        <v>5</v>
      </c>
      <c r="L57" s="52" t="n">
        <v>5</v>
      </c>
      <c r="M57" s="52">
        <f>K57*L57</f>
        <v/>
      </c>
      <c r="N57" s="52" t="inlineStr">
        <is>
          <t>Critical</t>
        </is>
      </c>
      <c r="O57" s="52" t="inlineStr">
        <is>
          <t>Critical</t>
        </is>
      </c>
      <c r="P57" s="53" t="inlineStr">
        <is>
          <t>Vendor firmware fix available; no workaround for the SSRF/chain itself</t>
        </is>
      </c>
      <c r="Q57" s="52" t="inlineStr">
        <is>
          <t>Low-Medium (post-patch + compromise investigation)</t>
        </is>
      </c>
      <c r="R57" s="53" t="inlineStr">
        <is>
          <t>Upgrade to firmware 12.4.3 build 03526+ or 12.5.0 build 02952+; engage vendor support for compromise assessment given confirmed active exploitation</t>
        </is>
      </c>
      <c r="S57" s="52" t="inlineStr">
        <is>
          <t>CIS Control 12.2 — Establish and Maintain a Secure Network Architecture</t>
        </is>
      </c>
      <c r="T57" s="53" t="inlineStr">
        <is>
          <t>Blaise Kingko</t>
        </is>
      </c>
      <c r="U57" s="52" t="inlineStr">
        <is>
          <t>Open — Emergency</t>
        </is>
      </c>
      <c r="V57" s="52" t="inlineStr">
        <is>
          <t>2026-09-05</t>
        </is>
      </c>
      <c r="W57" s="52" t="inlineStr">
        <is>
          <t>2026-09-07</t>
        </is>
      </c>
      <c r="X57" s="53" t="inlineStr">
        <is>
          <t>3-day CISA deadline (shortest tier), already past at time of this run — treat as overdue-priority. Third publicly-reported SonicWall SMA1000 security event of 2026 (follows July MFA-seed-theft incident; no confirmed technical link). Case folder: IT-OT-Threats/2026-09-CISA-KEV-SonicWall-SMA1000-SSRFChain</t>
        </is>
      </c>
    </row>
    <row r="58" s="42">
      <c r="A58" s="52" t="inlineStr">
        <is>
          <t>RR-054</t>
        </is>
      </c>
      <c r="B58" s="53" t="inlineStr">
        <is>
          <t>2026-08-31</t>
        </is>
      </c>
      <c r="C58" s="53" t="inlineStr">
        <is>
          <t>CISA KEV</t>
        </is>
      </c>
      <c r="D58" s="53" t="inlineStr">
        <is>
          <t>CVE-2026-81578; CVE-2026-82078</t>
        </is>
      </c>
      <c r="E58" s="53" t="inlineStr">
        <is>
          <t>PaperCut NG/MF — missing authentication chained with unsafe reflection yields unauthenticated RCE on print-management server</t>
        </is>
      </c>
      <c r="F58" s="52" t="inlineStr">
        <is>
          <t>IT — Print/Document Infrastructure</t>
        </is>
      </c>
      <c r="G58" s="53" t="inlineStr">
        <is>
          <t>Print Management Server</t>
        </is>
      </c>
      <c r="H58" s="53" t="inlineStr">
        <is>
          <t>PaperCut NG/MF (see 2026-08-27 vendor bulletin for exact version ranges)</t>
        </is>
      </c>
      <c r="I58" s="53" t="inlineStr">
        <is>
          <t>NIST CSF 2.0: PR.AA-01 | NIST 800-53: IA-2, CM-6 | ISO 27001: A.8.9 | CIS Control 12.2</t>
        </is>
      </c>
      <c r="J58" s="53" t="inlineStr">
        <is>
          <t>IA — Identification &amp; Authentication</t>
        </is>
      </c>
      <c r="K58" s="52" t="n">
        <v>4</v>
      </c>
      <c r="L58" s="52" t="n">
        <v>5</v>
      </c>
      <c r="M58" s="52">
        <f>K58*L58</f>
        <v/>
      </c>
      <c r="N58" s="52" t="inlineStr">
        <is>
          <t>Critical</t>
        </is>
      </c>
      <c r="O58" s="52" t="inlineStr">
        <is>
          <t>Critical</t>
        </is>
      </c>
      <c r="P58" s="53" t="inlineStr">
        <is>
          <t>Vendor patch available (2026-08-27 bulletin); &gt;1,000 internet-exposed instances reported industry-wide</t>
        </is>
      </c>
      <c r="Q58" s="52" t="inlineStr">
        <is>
          <t>Low (post-patch + exposure remediation)</t>
        </is>
      </c>
      <c r="R58" s="53" t="inlineStr">
        <is>
          <t>Apply PaperCut fix per 2026-08-27 bulletin; restrict management interface to internal network; review logs for lateral-movement indicators given product's ransomware-initial-access history</t>
        </is>
      </c>
      <c r="S58" s="52" t="inlineStr">
        <is>
          <t>CIS Control 12.2 — Establish and Maintain a Secure Network Architecture</t>
        </is>
      </c>
      <c r="T58" s="53" t="inlineStr">
        <is>
          <t>Blaise Kingko</t>
        </is>
      </c>
      <c r="U58" s="52" t="inlineStr">
        <is>
          <t>Open — Emergency</t>
        </is>
      </c>
      <c r="V58" s="52" t="inlineStr">
        <is>
          <t>2026-09-14</t>
        </is>
      </c>
      <c r="W58" s="52" t="inlineStr">
        <is>
          <t>2026-09-07</t>
        </is>
      </c>
      <c r="X58" s="53" t="inlineStr">
        <is>
          <t>Same product line as 2023 Cl0p/Bl00Dy ransomware initial-access CVEs (different vulnerabilities). Treat print-management infrastructure with perimeter-appliance-level patch urgency. Case folder: IT-OT-Threats/2026-09-CISA-KEV-PaperCut-NGMF-AuthBypassRCE</t>
        </is>
      </c>
    </row>
    <row r="59" s="42">
      <c r="A59" s="52" t="inlineStr">
        <is>
          <t>RR-055</t>
        </is>
      </c>
      <c r="B59" s="53" t="inlineStr">
        <is>
          <t>2026-09-02</t>
        </is>
      </c>
      <c r="C59" s="53" t="inlineStr">
        <is>
          <t>CISA KEV</t>
        </is>
      </c>
      <c r="D59" s="53" t="inlineStr">
        <is>
          <t>CVE-2026-82329</t>
        </is>
      </c>
      <c r="E59" s="53" t="inlineStr">
        <is>
          <t>JFrog Artifactory — improper authentication under default configuration allows unauthenticated attacker to obtain administrative privileges; actively exploited (admin token minting observed)</t>
        </is>
      </c>
      <c r="F59" s="52" t="inlineStr">
        <is>
          <t>IT — CI/CD Platform (Software Supply Chain)</t>
        </is>
      </c>
      <c r="G59" s="53" t="inlineStr">
        <is>
          <t>Artifact Repository / Package Registry</t>
        </is>
      </c>
      <c r="H59" s="53" t="inlineStr">
        <is>
          <t>JFrog Artifactory (self-hosted); patched versions 7.111.21, 7.117.28, 7.125.20, 7.133.29, 7.146.38, 7.161.20</t>
        </is>
      </c>
      <c r="I59" s="53" t="inlineStr">
        <is>
          <t>NIST CSF 2.0: PR.AA-01 | NIST 800-53: IA-2, SR-3 | ISO 27001: A.5.19 | CIS Control 16.1</t>
        </is>
      </c>
      <c r="J59" s="53" t="inlineStr">
        <is>
          <t>IA — Identification &amp; Authentication</t>
        </is>
      </c>
      <c r="K59" s="52" t="n">
        <v>5</v>
      </c>
      <c r="L59" s="52" t="n">
        <v>5</v>
      </c>
      <c r="M59" s="52">
        <f>K59*L59</f>
        <v/>
      </c>
      <c r="N59" s="52" t="inlineStr">
        <is>
          <t>Critical</t>
        </is>
      </c>
      <c r="O59" s="52" t="inlineStr">
        <is>
          <t>Critical</t>
        </is>
      </c>
      <c r="P59" s="53" t="inlineStr">
        <is>
          <t>Vendor patch available; exploitation observed ~96 hours post-disclosure</t>
        </is>
      </c>
      <c r="Q59" s="52" t="inlineStr">
        <is>
          <t>Low (post-patch + admin token audit)</t>
        </is>
      </c>
      <c r="R59" s="53" t="inlineStr">
        <is>
          <t>Upgrade to patched Artifactory version per branch; rotate all administrative and API tokens; audit for unauthorized tokens minted during exposure window</t>
        </is>
      </c>
      <c r="S59" s="52" t="inlineStr">
        <is>
          <t>CIS Control 16.1 — Application Software Security</t>
        </is>
      </c>
      <c r="T59" s="53" t="inlineStr">
        <is>
          <t>Blaise Kingko</t>
        </is>
      </c>
      <c r="U59" s="52" t="inlineStr">
        <is>
          <t>Open — Register-Only</t>
        </is>
      </c>
      <c r="V59" s="52" t="inlineStr">
        <is>
          <t>2026-09-05</t>
        </is>
      </c>
      <c r="W59" s="52" t="inlineStr">
        <is>
          <t>2026-09-07</t>
        </is>
      </c>
      <c r="X59" s="53" t="inlineStr">
        <is>
          <t>Register-only per program scope precedent (RR-021/034/039/044) — full narrative bundle not built this run given case-load prioritization toward AI/AWS and perimeter-appliance findings; remediation guidance above is complete and actionable regardless. CI/CD/software-supply-chain category — same class as RR-050 (Jenkins).</t>
        </is>
      </c>
    </row>
    <row r="60" s="42">
      <c r="A60" s="52" t="inlineStr">
        <is>
          <t>RR-056</t>
        </is>
      </c>
      <c r="B60" s="53" t="inlineStr">
        <is>
          <t>2026-09-02</t>
        </is>
      </c>
      <c r="C60" s="53" t="inlineStr">
        <is>
          <t>CISA KEV</t>
        </is>
      </c>
      <c r="D60" s="53" t="inlineStr">
        <is>
          <t>CVE-2026-49869</t>
        </is>
      </c>
      <c r="E60" s="53" t="inlineStr">
        <is>
          <t>Kestra OSS workflow orchestration engine — unauthenticated OS command injection allows arbitrary workflow creation/execution; actively exploited for reverse shells and cryptocurrency mining</t>
        </is>
      </c>
      <c r="F60" s="52" t="inlineStr">
        <is>
          <t>IT — Workflow/CI-CD Orchestration</t>
        </is>
      </c>
      <c r="G60" s="53" t="inlineStr">
        <is>
          <t>Workflow Orchestration Engine</t>
        </is>
      </c>
      <c r="H60" s="53" t="inlineStr">
        <is>
          <t>Kestra OSS (see GHSA-5vc5-wxxq-3fjx for affected versions)</t>
        </is>
      </c>
      <c r="I60" s="53" t="inlineStr">
        <is>
          <t>NIST CSF 2.0: PR.PS-04 | NIST 800-53: SI-10, AC-3 | CIS Control 16.1</t>
        </is>
      </c>
      <c r="J60" s="53" t="inlineStr">
        <is>
          <t>SI — System Integrity</t>
        </is>
      </c>
      <c r="K60" s="52" t="n">
        <v>5</v>
      </c>
      <c r="L60" s="52" t="n">
        <v>4</v>
      </c>
      <c r="M60" s="52">
        <f>K60*L60</f>
        <v/>
      </c>
      <c r="N60" s="52" t="inlineStr">
        <is>
          <t>Critical</t>
        </is>
      </c>
      <c r="O60" s="52" t="inlineStr">
        <is>
          <t>Critical</t>
        </is>
      </c>
      <c r="P60" s="53" t="inlineStr">
        <is>
          <t>Vendor patch available</t>
        </is>
      </c>
      <c r="Q60" s="52" t="inlineStr">
        <is>
          <t>Low (post-patch)</t>
        </is>
      </c>
      <c r="R60" s="53" t="inlineStr">
        <is>
          <t>Upgrade to patched Kestra release per GHSA-5vc5-wxxq-3fjx; audit for unauthorized workflows, Docker container discovery activity, and cryptocurrency-miner processes</t>
        </is>
      </c>
      <c r="S60" s="52" t="inlineStr">
        <is>
          <t>CIS Control 16.1 — Application Software Security</t>
        </is>
      </c>
      <c r="T60" s="53" t="inlineStr">
        <is>
          <t>Blaise Kingko</t>
        </is>
      </c>
      <c r="U60" s="52" t="inlineStr">
        <is>
          <t>Open — Register-Only</t>
        </is>
      </c>
      <c r="V60" s="52" t="inlineStr">
        <is>
          <t>2026-09-05</t>
        </is>
      </c>
      <c r="W60" s="52" t="inlineStr">
        <is>
          <t>2026-09-07</t>
        </is>
      </c>
      <c r="X60" s="53" t="inlineStr">
        <is>
          <t>Register-only per program scope precedent (RR-021/034/039/044). Same disclosure wave as RR-055 (Artifactory) — both part of the 7-CVE KEV batch added 2026-09-02 covering reverse-shell and crypto-miner deployment activity.</t>
        </is>
      </c>
    </row>
    <row r="61" s="42">
      <c r="A61" s="52" t="inlineStr">
        <is>
          <t>RR-057</t>
        </is>
      </c>
      <c r="B61" s="53" t="inlineStr">
        <is>
          <t>2026-09-02</t>
        </is>
      </c>
      <c r="C61" s="53" t="inlineStr">
        <is>
          <t>CISA KEV</t>
        </is>
      </c>
      <c r="D61" s="53" t="inlineStr">
        <is>
          <t>CVE-2026-9586</t>
        </is>
      </c>
      <c r="E61" s="53" t="inlineStr">
        <is>
          <t>Sangoma Switchvox VoIP/PBX platform — unauthenticated SQL injection allows arbitrary SQL execution against backend PostgreSQL database, including RCE; actively exploited (reverse shells deployed)</t>
        </is>
      </c>
      <c r="F61" s="52" t="inlineStr">
        <is>
          <t>IT — VoIP/Telephony Infrastructure</t>
        </is>
      </c>
      <c r="G61" s="53" t="inlineStr">
        <is>
          <t>VoIP/PBX System</t>
        </is>
      </c>
      <c r="H61" s="53" t="inlineStr">
        <is>
          <t>Sangoma Switchvox (see vendor release notes for affected versions)</t>
        </is>
      </c>
      <c r="I61" s="53" t="inlineStr">
        <is>
          <t>NIST CSF 2.0: PR.PS-04 | NIST 800-53: SI-10 | CIS Control 16.1</t>
        </is>
      </c>
      <c r="J61" s="53" t="inlineStr">
        <is>
          <t>SI — System Integrity</t>
        </is>
      </c>
      <c r="K61" s="52" t="n">
        <v>5</v>
      </c>
      <c r="L61" s="52" t="n">
        <v>4</v>
      </c>
      <c r="M61" s="52">
        <f>K61*L61</f>
        <v/>
      </c>
      <c r="N61" s="52" t="inlineStr">
        <is>
          <t>Critical</t>
        </is>
      </c>
      <c r="O61" s="52" t="inlineStr">
        <is>
          <t>Critical</t>
        </is>
      </c>
      <c r="P61" s="53" t="inlineStr">
        <is>
          <t>Vendor patch available</t>
        </is>
      </c>
      <c r="Q61" s="52" t="inlineStr">
        <is>
          <t>Low (post-patch)</t>
        </is>
      </c>
      <c r="R61" s="53" t="inlineStr">
        <is>
          <t>Apply Sangoma Switchvox patch per vendor release notes; review database and application logs for unauthorized SQL execution or reverse-shell activity</t>
        </is>
      </c>
      <c r="S61" s="52" t="inlineStr">
        <is>
          <t>CIS Control 16.1 — Application Software Security</t>
        </is>
      </c>
      <c r="T61" s="53" t="inlineStr">
        <is>
          <t>Blaise Kingko</t>
        </is>
      </c>
      <c r="U61" s="52" t="inlineStr">
        <is>
          <t>Open — Register-Only</t>
        </is>
      </c>
      <c r="V61" s="52" t="inlineStr">
        <is>
          <t>2026-09-05</t>
        </is>
      </c>
      <c r="W61" s="52" t="inlineStr">
        <is>
          <t>2026-09-07</t>
        </is>
      </c>
      <c r="X61" s="53" t="inlineStr">
        <is>
          <t>Register-only per program scope precedent — narrower enterprise-relevance category (VoIP/PBX) than program's core cloud/AI/network focus, but logged given confirmed active exploitation. Part of 2026-09-02 7-CVE KEV batch.</t>
        </is>
      </c>
    </row>
    <row r="62" s="42">
      <c r="A62" s="52" t="inlineStr">
        <is>
          <t>RR-058</t>
        </is>
      </c>
      <c r="B62" s="53" t="inlineStr">
        <is>
          <t>2026-09-02</t>
        </is>
      </c>
      <c r="C62" s="53" t="inlineStr">
        <is>
          <t>CISA KEV</t>
        </is>
      </c>
      <c r="D62" s="53" t="inlineStr">
        <is>
          <t>CVE-2026-48710</t>
        </is>
      </c>
      <c r="E62" s="53" t="inlineStr">
        <is>
          <t>Kludex Starlette (Python ASGI framework, underlies FastAPI and other frameworks) — HTTP request/response smuggling allows path injection into host, enabling authentication bypass in apps relying on reconstructed URL paths</t>
        </is>
      </c>
      <c r="F62" s="52" t="inlineStr">
        <is>
          <t>IT — Application Framework/Library</t>
        </is>
      </c>
      <c r="G62" s="53" t="inlineStr">
        <is>
          <t>Web Application Framework Component</t>
        </is>
      </c>
      <c r="H62" s="53" t="inlineStr">
        <is>
          <t>Starlette (see GHSA-86qp-5c8j-p5mr for affected versions)</t>
        </is>
      </c>
      <c r="I62" s="53" t="inlineStr">
        <is>
          <t>NIST CSF 2.0: PR.DS-02 | NIST 800-53: SC-8, SR-3 | CIS Control 16.1</t>
        </is>
      </c>
      <c r="J62" s="53" t="inlineStr">
        <is>
          <t>SR — Supply Chain Risk Management</t>
        </is>
      </c>
      <c r="K62" s="52" t="n">
        <v>3</v>
      </c>
      <c r="L62" s="52" t="n">
        <v>3</v>
      </c>
      <c r="M62" s="52">
        <f>K62*L62</f>
        <v/>
      </c>
      <c r="N62" s="52" t="inlineStr">
        <is>
          <t>Medium</t>
        </is>
      </c>
      <c r="O62" s="52" t="inlineStr">
        <is>
          <t>Medium</t>
        </is>
      </c>
      <c r="P62" s="53" t="inlineStr">
        <is>
          <t>Vendor patch available; chainable with CVE-2026-42271 per CISA notes</t>
        </is>
      </c>
      <c r="Q62" s="52" t="inlineStr">
        <is>
          <t>Low (post-patch)</t>
        </is>
      </c>
      <c r="R62" s="53" t="inlineStr">
        <is>
          <t>Upgrade Starlette to patched version per GHSA-86qp-5c8j-p5mr in all applications (including FastAPI-based services) that depend on it; audit any authentication logic that relies on reconstructed URL paths</t>
        </is>
      </c>
      <c r="S62" s="52" t="inlineStr">
        <is>
          <t>CIS Control 16.1 — Application Software Security</t>
        </is>
      </c>
      <c r="T62" s="53" t="inlineStr">
        <is>
          <t>Blaise Kingko</t>
        </is>
      </c>
      <c r="U62" s="52" t="inlineStr">
        <is>
          <t>Open — Register-Only</t>
        </is>
      </c>
      <c r="V62" s="52" t="inlineStr">
        <is>
          <t>2026-09-16</t>
        </is>
      </c>
      <c r="W62" s="52" t="inlineStr">
        <is>
          <t>2026-09-07</t>
        </is>
      </c>
      <c r="X62" s="53" t="inlineStr">
        <is>
          <t>Register-only — open-source library affecting many downstream applications (FastAPI, etc.); no confirmed mass exploitation reported. Recommend inventory of internal apps depending on Starlette given transitive-dependency blast radius.</t>
        </is>
      </c>
    </row>
    <row r="63" s="42">
      <c r="A63" s="52" t="inlineStr">
        <is>
          <t>RR-059</t>
        </is>
      </c>
      <c r="B63" s="53" t="inlineStr">
        <is>
          <t>2026-09-04</t>
        </is>
      </c>
      <c r="C63" s="53" t="inlineStr">
        <is>
          <t>CISA KEV</t>
        </is>
      </c>
      <c r="D63" s="53" t="inlineStr">
        <is>
          <t>CVE-2026-85046</t>
        </is>
      </c>
      <c r="E63" s="53" t="inlineStr">
        <is>
          <t>Google Chromium V8 — type confusion vulnerability allows sandboxed remote code execution via crafted HTML page; affects Chrome, Edge, Opera, and other Chromium-based browsers</t>
        </is>
      </c>
      <c r="F63" s="52" t="inlineStr">
        <is>
          <t>IT — Endpoint (Browser)</t>
        </is>
      </c>
      <c r="G63" s="53" t="inlineStr">
        <is>
          <t>End-User Web Browser</t>
        </is>
      </c>
      <c r="H63" s="53" t="inlineStr">
        <is>
          <t>Chromium-based browsers (Chrome, Edge, Opera) prior to vendor patch</t>
        </is>
      </c>
      <c r="I63" s="53" t="inlineStr">
        <is>
          <t>NIST CSF 2.0: PR.PS-04 | NIST 800-53: SI-2 | CIS Control 7.1</t>
        </is>
      </c>
      <c r="J63" s="53" t="inlineStr">
        <is>
          <t>SI — System Integrity</t>
        </is>
      </c>
      <c r="K63" s="52" t="n">
        <v>4</v>
      </c>
      <c r="L63" s="52" t="n">
        <v>4</v>
      </c>
      <c r="M63" s="52">
        <f>K63*L63</f>
        <v/>
      </c>
      <c r="N63" s="52" t="inlineStr">
        <is>
          <t>High</t>
        </is>
      </c>
      <c r="O63" s="52" t="inlineStr">
        <is>
          <t>High</t>
        </is>
      </c>
      <c r="P63" s="53" t="inlineStr">
        <is>
          <t>Vendor patch available via auto-update (Chrome stable channel update)</t>
        </is>
      </c>
      <c r="Q63" s="52" t="inlineStr">
        <is>
          <t>Low (post-patch, largely auto-remediating via browser auto-update)</t>
        </is>
      </c>
      <c r="R63" s="53" t="inlineStr">
        <is>
          <t>Ensure browser auto-update is enabled fleet-wide; verify enterprise-managed Chrome/Edge deployments have received the patched build</t>
        </is>
      </c>
      <c r="S63" s="52" t="inlineStr">
        <is>
          <t>CIS Control 7.1 — Establish and Maintain a Vulnerability Management Process</t>
        </is>
      </c>
      <c r="T63" s="53" t="inlineStr">
        <is>
          <t>Blaise Kingko</t>
        </is>
      </c>
      <c r="U63" s="52" t="inlineStr">
        <is>
          <t>Open — Register-Only</t>
        </is>
      </c>
      <c r="V63" s="52" t="inlineStr">
        <is>
          <t>2026-09-18</t>
        </is>
      </c>
      <c r="W63" s="52" t="inlineStr">
        <is>
          <t>2026-09-07</t>
        </is>
      </c>
      <c r="X63" s="53" t="inlineStr">
        <is>
          <t>Register-only — recurring V8 zero-day pattern; see AI-Governance/Cloud-Security precedent case IT-OT-Threats/2026-06-CISA-KEV-Chrome-V8 for the program's prior full-bundle treatment of this vulnerability class. Fleet-wide browser auto-update posture is the durable control, not per-CVE case bundles.</t>
        </is>
      </c>
    </row>
    <row r="64" s="42">
      <c r="A64" s="52" t="inlineStr">
        <is>
          <t>RR-060</t>
        </is>
      </c>
      <c r="B64" s="53" t="inlineStr">
        <is>
          <t>2026-08-30</t>
        </is>
      </c>
      <c r="C64" s="53" t="inlineStr">
        <is>
          <t>Threat Intelligence / Public Reporting</t>
        </is>
      </c>
      <c r="D64" s="53" t="inlineStr">
        <is>
          <t>N/A — Incident (ShinyHunters vishing campaign)</t>
        </is>
      </c>
      <c r="E64" s="53" t="inlineStr">
        <is>
          <t>Vishing (voice phishing) campaign against Okta SSO/helpdesk accounts, attributed to ShinyHunters, used to pivot into downstream Salesforce and Snowflake environments; publicly reported to have compromised approximately 284 million patient records at McKesson</t>
        </is>
      </c>
      <c r="F64" s="52" t="inlineStr">
        <is>
          <t>IT — Identity &amp; Access (Social Engineering)</t>
        </is>
      </c>
      <c r="G64" s="53" t="inlineStr">
        <is>
          <t>SSO / Identity Provider (Okta) and Downstream SaaS (Salesforce, Snowflake)</t>
        </is>
      </c>
      <c r="H64" s="53" t="inlineStr">
        <is>
          <t>Okta SSO; connected Salesforce and Snowflake tenants</t>
        </is>
      </c>
      <c r="I64" s="53" t="inlineStr">
        <is>
          <t>NIST CSF 2.0: PR.AA-01, PR.AT-01 | NIST 800-53: IA-2, AT-2 | ISO 27001: A.6.3, A.8.5 | HIPAA: 164.312(a)(1)</t>
        </is>
      </c>
      <c r="J64" s="53" t="inlineStr">
        <is>
          <t>IA — Identification &amp; Authentication (Social Engineering Resistance)</t>
        </is>
      </c>
      <c r="K64" s="52" t="n">
        <v>5</v>
      </c>
      <c r="L64" s="52" t="n">
        <v>5</v>
      </c>
      <c r="M64" s="52">
        <f>K64*L64</f>
        <v/>
      </c>
      <c r="N64" s="52" t="inlineStr">
        <is>
          <t>Critical</t>
        </is>
      </c>
      <c r="O64" s="52" t="inlineStr">
        <is>
          <t>Critical</t>
        </is>
      </c>
      <c r="P64" s="53" t="inlineStr">
        <is>
          <t>Varies by organization; most orgs still rely on phone-verifiable helpdesk resets and non-phishing-resistant MFA</t>
        </is>
      </c>
      <c r="Q64" s="52" t="inlineStr">
        <is>
          <t>Medium (post-hardening; vishing resistance is a people+process control, not a single patch)</t>
        </is>
      </c>
      <c r="R64" s="53" t="inlineStr">
        <is>
          <t>Implement phishing-resistant MFA (FIDO2/WebAuthn) for SSO and helpdesk-privileged accounts; require out-of-band identity verification for any helpdesk-initiated credential reset; review Okta/downstream SaaS conditional-access policies for anomalous session or admin-console activity</t>
        </is>
      </c>
      <c r="S64" s="52" t="inlineStr">
        <is>
          <t>N/A — governance/awareness control, not CIS-mapped</t>
        </is>
      </c>
      <c r="T64" s="53" t="inlineStr">
        <is>
          <t>Blaise Kingko</t>
        </is>
      </c>
      <c r="U64" s="52" t="inlineStr">
        <is>
          <t>Open — Governance/Awareness</t>
        </is>
      </c>
      <c r="V64" s="52" t="inlineStr">
        <is>
          <t>2026-10-05</t>
        </is>
      </c>
      <c r="W64" s="52" t="inlineStr">
        <is>
          <t>2026-09-07</t>
        </is>
      </c>
      <c r="X64" s="53" t="inlineStr">
        <is>
          <t>Register-only governance/incident entry (no patchable CVE) — logged given scale (284M records reported) and direct relevance to identity-provider hardening posture. Healthcare-sector victim (McKesson) brings HIPAA Security Rule into framework scope alongside standard NIST/ISO stack.</t>
        </is>
      </c>
    </row>
    <row r="65">
      <c r="A65" s="52" t="inlineStr">
        <is>
          <t>RR-061</t>
        </is>
      </c>
      <c r="B65" s="53" t="inlineStr">
        <is>
          <t>2026-09-21</t>
        </is>
      </c>
      <c r="C65" s="53" t="inlineStr">
        <is>
          <t>CISA KEV</t>
        </is>
      </c>
      <c r="D65" s="53" t="inlineStr">
        <is>
          <t>CVE-2026-76460; CVE-2026-20130; CVE-2026-20192; CVE-2026-20234; CVE-2026-20194; CVE-2026-20237; CVE-2026-20352</t>
        </is>
      </c>
      <c r="E65" s="53" t="inlineStr">
        <is>
          <t>Cisco Identity Services Engine (ISE/ISE-PIC) — unauthenticated privileged-API auth bypass granting full admin access; six companion CVEs (injection, access control, credential protection, input validation, RADIUS DoS)</t>
        </is>
      </c>
      <c r="F65" s="52" t="inlineStr">
        <is>
          <t>IT-OT-Threats / Cloud-Security (IAM)</t>
        </is>
      </c>
      <c r="G65" s="53" t="inlineStr">
        <is>
          <t>Network Access Control / IAM</t>
        </is>
      </c>
      <c r="H65" s="53" t="inlineStr">
        <is>
          <t>Cisco ISE &amp; ISE-PIC 3.1.0–3.5 Patch 3</t>
        </is>
      </c>
      <c r="I65" s="53" t="inlineStr">
        <is>
          <t>NIST CSF 2.0: PR.AA-01, DE.CM-01 | NIST 800-53: IA-2, AC-3 | ISO 27001: A.8.9 | CIS Control 5</t>
        </is>
      </c>
      <c r="J65" s="53" t="inlineStr">
        <is>
          <t>IA — Identification &amp; Authentication</t>
        </is>
      </c>
      <c r="K65" s="52" t="n">
        <v>5</v>
      </c>
      <c r="L65" s="52" t="n">
        <v>5</v>
      </c>
      <c r="M65" s="52">
        <f>K65*L65</f>
        <v/>
      </c>
      <c r="N65" s="52" t="inlineStr">
        <is>
          <t>Critical</t>
        </is>
      </c>
      <c r="O65" s="52" t="inlineStr">
        <is>
          <t>Critical</t>
        </is>
      </c>
      <c r="P65" s="53" t="inlineStr">
        <is>
          <t>Vendor patch available (3.1 P12/3.2 P11/3.3 P12/3.4 P7/3.5 P4)</t>
        </is>
      </c>
      <c r="Q65" s="52" t="inlineStr">
        <is>
          <t>High</t>
        </is>
      </c>
      <c r="R65" s="53" t="inlineStr">
        <is>
          <t>Apply emergency Cisco patch to all ISE/ISE-PIC nodes within CISA 3-day window; review admin/audit logs for unauthorized access predating patch</t>
        </is>
      </c>
      <c r="S65" s="52" t="inlineStr">
        <is>
          <t>CIS Control 5.4 — Restrict Administrator Privileges</t>
        </is>
      </c>
      <c r="T65" s="53" t="inlineStr">
        <is>
          <t>Blaise Kingko</t>
        </is>
      </c>
      <c r="U65" s="52" t="inlineStr">
        <is>
          <t>Open — Emergency</t>
        </is>
      </c>
      <c r="V65" s="52" t="inlineStr">
        <is>
          <t>2026-09-24</t>
        </is>
      </c>
      <c r="W65" s="52" t="inlineStr">
        <is>
          <t>2026-09-21</t>
        </is>
      </c>
      <c r="X65" s="41" t="inlineStr">
        <is>
          <t>Actively exploited per CISA KEV (added 2026-09-16/17). CVSS 10.0. Full 7-artifact bundle built (dual-category IT-OT-Threats/Cloud-Security). Highest-priority finding this run.</t>
        </is>
      </c>
    </row>
    <row r="66">
      <c r="A66" s="52" t="inlineStr">
        <is>
          <t>RR-062</t>
        </is>
      </c>
      <c r="B66" s="53" t="inlineStr">
        <is>
          <t>2026-09-21</t>
        </is>
      </c>
      <c r="C66" s="53" t="inlineStr">
        <is>
          <t>CISA KEV</t>
        </is>
      </c>
      <c r="D66" s="53" t="inlineStr">
        <is>
          <t>CVE-2026-76461</t>
        </is>
      </c>
      <c r="E66" s="53" t="inlineStr">
        <is>
          <t>Cisco AsyncOS Secure Email Gateway — unauthenticated SQL injection escalating to root OS command execution</t>
        </is>
      </c>
      <c r="F66" s="52" t="inlineStr">
        <is>
          <t>IT-OT-Threats</t>
        </is>
      </c>
      <c r="G66" s="53" t="inlineStr">
        <is>
          <t>Email Security Gateway</t>
        </is>
      </c>
      <c r="H66" s="53" t="inlineStr">
        <is>
          <t>Cisco AsyncOS SEG 15.5 and earlier, 16.0, 16.5 (pre-fix)</t>
        </is>
      </c>
      <c r="I66" s="53" t="inlineStr">
        <is>
          <t>NIST CSF 2.0: PR.PS-04 | NIST 800-53: SI-10, SI-2 | ISO 27001: A.8.28 | CIS Control 7</t>
        </is>
      </c>
      <c r="J66" s="53" t="inlineStr">
        <is>
          <t>SI — System Integrity</t>
        </is>
      </c>
      <c r="K66" s="52" t="n">
        <v>5</v>
      </c>
      <c r="L66" s="52" t="n">
        <v>5</v>
      </c>
      <c r="M66" s="52">
        <f>K66*L66</f>
        <v/>
      </c>
      <c r="N66" s="52" t="inlineStr">
        <is>
          <t>Critical</t>
        </is>
      </c>
      <c r="O66" s="52" t="inlineStr">
        <is>
          <t>Critical</t>
        </is>
      </c>
      <c r="P66" s="53" t="inlineStr">
        <is>
          <t>Vendor patch available (15.5.5-0141/16.0.4-302/16.5.0-780)</t>
        </is>
      </c>
      <c r="Q66" s="52" t="inlineStr">
        <is>
          <t>High</t>
        </is>
      </c>
      <c r="R66" s="53" t="inlineStr">
        <is>
          <t>Apply fixed AsyncOS build immediately — CISA remediation deadline (2026-09-17) already passed; forensic log review for pre-patch compromise</t>
        </is>
      </c>
      <c r="S66" s="52" t="inlineStr">
        <is>
          <t>CIS Control 7.4 — Manage OS Vulnerabilities</t>
        </is>
      </c>
      <c r="T66" s="53" t="inlineStr">
        <is>
          <t>Blaise Kingko</t>
        </is>
      </c>
      <c r="U66" s="52" t="inlineStr">
        <is>
          <t>Open — Emergency / Overdue</t>
        </is>
      </c>
      <c r="V66" s="52" t="inlineStr">
        <is>
          <t>2026-09-23</t>
        </is>
      </c>
      <c r="W66" s="52" t="inlineStr">
        <is>
          <t>2026-09-21</t>
        </is>
      </c>
      <c r="X66" s="41" t="inlineStr">
        <is>
          <t>Actively exploited per CISA KEV (added 2026-09-14). CVSS 9.8. CISA deadline already elapsed as of this run. Full bundle built.</t>
        </is>
      </c>
    </row>
    <row r="67">
      <c r="A67" s="52" t="inlineStr">
        <is>
          <t>RR-063</t>
        </is>
      </c>
      <c r="B67" s="53" t="inlineStr">
        <is>
          <t>2026-09-21</t>
        </is>
      </c>
      <c r="C67" s="53" t="inlineStr">
        <is>
          <t>CISA KEV</t>
        </is>
      </c>
      <c r="D67" s="53" t="inlineStr">
        <is>
          <t>CVE-2025-39964; CVE-2026-53266; CVE-2025-39682</t>
        </is>
      </c>
      <c r="E67" s="53" t="inlineStr">
        <is>
          <t>Linux Kernel — three actively-exploited flaws: AF_ALG crypto socket race condition, netfilter ebtables SNAT out-of-bounds write, kernel TLS receive-path condition-handling flaw</t>
        </is>
      </c>
      <c r="F67" s="52" t="inlineStr">
        <is>
          <t>IT-OT-Threats</t>
        </is>
      </c>
      <c r="G67" s="53" t="inlineStr">
        <is>
          <t>Server / Container Host OS</t>
        </is>
      </c>
      <c r="H67" s="53" t="inlineStr">
        <is>
          <t>Linux Kernel (multiple subsystems; specific version ranges not published by CISA)</t>
        </is>
      </c>
      <c r="I67" s="53" t="inlineStr">
        <is>
          <t>NIST CSF 2.0: PR.PS-02 | NIST 800-53: SI-2, CM-6 | ISO 27001: A.8.8 | CIS Control 7</t>
        </is>
      </c>
      <c r="J67" s="53" t="inlineStr">
        <is>
          <t>SI — System Integrity</t>
        </is>
      </c>
      <c r="K67" s="52" t="n">
        <v>5</v>
      </c>
      <c r="L67" s="52" t="n">
        <v>4</v>
      </c>
      <c r="M67" s="52">
        <f>K67*L67</f>
        <v/>
      </c>
      <c r="N67" s="52" t="inlineStr">
        <is>
          <t>High</t>
        </is>
      </c>
      <c r="O67" s="52" t="inlineStr">
        <is>
          <t>High</t>
        </is>
      </c>
      <c r="P67" s="53" t="inlineStr">
        <is>
          <t>Distribution kernel updates available; some affected products possibly EoL/EoS per CISA</t>
        </is>
      </c>
      <c r="Q67" s="52" t="inlineStr">
        <is>
          <t>Medium</t>
        </is>
      </c>
      <c r="R67" s="53" t="inlineStr">
        <is>
          <t>Deploy distribution kernel update containing all three fixes across server/container fleet; flag and scope upgrade for any EoL/EoS kernel versions found</t>
        </is>
      </c>
      <c r="S67" s="52" t="inlineStr">
        <is>
          <t>CIS Control 7.4 — Manage OS Vulnerabilities</t>
        </is>
      </c>
      <c r="T67" s="53" t="inlineStr">
        <is>
          <t>Blaise Kingko</t>
        </is>
      </c>
      <c r="U67" s="52" t="inlineStr">
        <is>
          <t>Open — Emergency</t>
        </is>
      </c>
      <c r="V67" s="52" t="inlineStr">
        <is>
          <t>2026-10-05</t>
        </is>
      </c>
      <c r="W67" s="52" t="inlineStr">
        <is>
          <t>2026-09-21</t>
        </is>
      </c>
      <c r="X67" s="41" t="inlineStr">
        <is>
          <t>All three actively exploited per Red Hat confirmation (2026-09-19), added to KEV 2026-09-18. Combined into one case per program convention for same-batch CVEs. Full bundle built.</t>
        </is>
      </c>
    </row>
    <row r="68">
      <c r="A68" s="52" t="inlineStr">
        <is>
          <t>RR-064</t>
        </is>
      </c>
      <c r="B68" s="53" t="inlineStr">
        <is>
          <t>2026-09-21</t>
        </is>
      </c>
      <c r="C68" s="53" t="inlineStr">
        <is>
          <t>MSRC</t>
        </is>
      </c>
      <c r="D68" s="53" t="inlineStr">
        <is>
          <t>CVE-2026-85889; CVE-2026-85885</t>
        </is>
      </c>
      <c r="E68" s="53" t="inlineStr">
        <is>
          <t>Azure AI Foundry missing-authentication privilege escalation (CVSS 10.0) and Microsoft 365 Copilot command-injection privilege escalation (CVSS 9.9); both fixed server-side by Microsoft, no confirmed exploitation</t>
        </is>
      </c>
      <c r="F68" s="52" t="inlineStr">
        <is>
          <t>AI-Governance / Cloud-Security</t>
        </is>
      </c>
      <c r="G68" s="53" t="inlineStr">
        <is>
          <t>AI Development &amp; Assistant Platform</t>
        </is>
      </c>
      <c r="H68" s="53" t="inlineStr">
        <is>
          <t>Azure AI Foundry (all versions); Microsoft 365 Copilot (all versions)</t>
        </is>
      </c>
      <c r="I68" s="53" t="inlineStr">
        <is>
          <t>NIST AI RMF: MAP 5.1 | ISO 42001: 8.4 | NIST CSF 2.0: PR.AA-05 | NIST 800-53: IA-2, SI-10</t>
        </is>
      </c>
      <c r="J68" s="53" t="inlineStr">
        <is>
          <t>IA — Identification &amp; Authentication</t>
        </is>
      </c>
      <c r="K68" s="52" t="n">
        <v>2</v>
      </c>
      <c r="L68" s="52" t="n">
        <v>5</v>
      </c>
      <c r="M68" s="52">
        <f>K68*L68</f>
        <v/>
      </c>
      <c r="N68" s="52" t="inlineStr">
        <is>
          <t>Critical</t>
        </is>
      </c>
      <c r="O68" s="52" t="inlineStr">
        <is>
          <t>Critical</t>
        </is>
      </c>
      <c r="P68" s="53" t="inlineStr">
        <is>
          <t>Server-side Microsoft fix applied prior to disclosure; no customer patch required</t>
        </is>
      </c>
      <c r="Q68" s="52" t="inlineStr">
        <is>
          <t>Low</t>
        </is>
      </c>
      <c r="R68" s="53" t="inlineStr">
        <is>
          <t>Complete Azure AI Foundry log review for pre-fix (before 2026-09-17) privileged activity/service principal/role changes; obtain written Microsoft confirmation of Copilot remediation</t>
        </is>
      </c>
      <c r="S68" s="52" t="inlineStr">
        <is>
          <t>N/A — cloud-vendor-remediated</t>
        </is>
      </c>
      <c r="T68" s="53" t="inlineStr">
        <is>
          <t>Blaise Kingko</t>
        </is>
      </c>
      <c r="U68" s="52" t="inlineStr">
        <is>
          <t>Open — Verification</t>
        </is>
      </c>
      <c r="V68" s="52" t="inlineStr">
        <is>
          <t>2026-09-26</t>
        </is>
      </c>
      <c r="W68" s="52" t="inlineStr">
        <is>
          <t>2026-09-21</t>
        </is>
      </c>
      <c r="X68" s="41" t="inlineStr">
        <is>
          <t>No confirmed in-the-wild exploitation; vendor pre-disclosure fix. Second consecutive week of critical Azure AI-platform finding (see prior CosmosEscape case). Full bundle built, dual-category.</t>
        </is>
      </c>
    </row>
    <row r="69">
      <c r="A69" s="52" t="inlineStr">
        <is>
          <t>RR-065</t>
        </is>
      </c>
      <c r="B69" s="53" t="inlineStr">
        <is>
          <t>2026-09-21</t>
        </is>
      </c>
      <c r="C69" s="53" t="inlineStr">
        <is>
          <t>AWS Bulletin</t>
        </is>
      </c>
      <c r="D69" s="53" t="inlineStr">
        <is>
          <t>CVE-2026-86830; CVE-2026-86831</t>
        </is>
      </c>
      <c r="E69" s="53" t="inlineStr">
        <is>
          <t>AWS TEAM (IAM Identity Center elevated access tool) incorrect privilege assignment; Amazon EKS Network Policy Agent pod-identifier collision bypassing cross-namespace NetworkPolicy enforcement</t>
        </is>
      </c>
      <c r="F69" s="52" t="inlineStr">
        <is>
          <t>Cloud-Security</t>
        </is>
      </c>
      <c r="G69" s="53" t="inlineStr">
        <is>
          <t>IAM Elevated-Access Tooling / EKS Network Isolation</t>
        </is>
      </c>
      <c r="H69" s="53" t="inlineStr">
        <is>
          <t>TEAM &lt;1.5.1; Amazon VPC CNI Add-on 1.14.0–1.22.3 / Network Policy Agent &lt;1.4.0</t>
        </is>
      </c>
      <c r="I69" s="53" t="inlineStr">
        <is>
          <t>NIST CSF 2.0: PR.AA-05 | NIST 800-53: AC-6, SC-7 | ISO 27001: A.8.22 | CIS Control 6</t>
        </is>
      </c>
      <c r="J69" s="53" t="inlineStr">
        <is>
          <t>AC — Access Control</t>
        </is>
      </c>
      <c r="K69" s="52" t="n">
        <v>3</v>
      </c>
      <c r="L69" s="52" t="n">
        <v>4</v>
      </c>
      <c r="M69" s="52">
        <f>K69*L69</f>
        <v/>
      </c>
      <c r="N69" s="52" t="inlineStr">
        <is>
          <t>High</t>
        </is>
      </c>
      <c r="O69" s="52" t="inlineStr">
        <is>
          <t>High</t>
        </is>
      </c>
      <c r="P69" s="53" t="inlineStr">
        <is>
          <t>Vendor fixes available (TEAM v1.5.1+; VPC CNI Add-on v1.22.4+; Network Policy Agent v1.4.0+)</t>
        </is>
      </c>
      <c r="Q69" s="52" t="inlineStr">
        <is>
          <t>Medium</t>
        </is>
      </c>
      <c r="R69" s="53" t="inlineStr">
        <is>
          <t>Upgrade TEAM to v1.5.1+ and review recent elevated-access grants; upgrade EKS components and audit namespace names for hyphen-collision risk</t>
        </is>
      </c>
      <c r="S69" s="52" t="inlineStr">
        <is>
          <t>CIS Control 6.8 — Define and Maintain Role-Based Access Control</t>
        </is>
      </c>
      <c r="T69" s="53" t="inlineStr">
        <is>
          <t>Blaise Kingko</t>
        </is>
      </c>
      <c r="U69" s="52" t="inlineStr">
        <is>
          <t>Open</t>
        </is>
      </c>
      <c r="V69" s="52" t="inlineStr">
        <is>
          <t>2026-09-26</t>
        </is>
      </c>
      <c r="W69" s="52" t="inlineStr">
        <is>
          <t>2026-09-21</t>
        </is>
      </c>
      <c r="X69" s="41" t="inlineStr">
        <is>
          <t>No confirmed exploitation; both responsibly disclosed. Both findings defeat tooling specifically built to enforce least-privilege/isolation. Full bundle built.</t>
        </is>
      </c>
    </row>
    <row r="70">
      <c r="A70" s="52" t="inlineStr">
        <is>
          <t>RR-066</t>
        </is>
      </c>
      <c r="B70" s="53" t="inlineStr">
        <is>
          <t>2026-09-21</t>
        </is>
      </c>
      <c r="C70" s="53" t="inlineStr">
        <is>
          <t>NIST NVD</t>
        </is>
      </c>
      <c r="D70" s="53" t="inlineStr">
        <is>
          <t>CVE-2026-12944</t>
        </is>
      </c>
      <c r="E70" s="53" t="inlineStr">
        <is>
          <t>IBM Langflow OSS — arbitrary Python code execution as root via unsandboxed socket/urllib imports in workflow components, enabling AWS credential theft via IMDSv1 SSRF</t>
        </is>
      </c>
      <c r="F70" s="52" t="inlineStr">
        <is>
          <t>AI-Governance / Cloud-Security</t>
        </is>
      </c>
      <c r="G70" s="53" t="inlineStr">
        <is>
          <t>AI Agent Workflow Platform</t>
        </is>
      </c>
      <c r="H70" s="53" t="inlineStr">
        <is>
          <t>IBM Langflow OSS 1.0.0–1.10.0</t>
        </is>
      </c>
      <c r="I70" s="53" t="inlineStr">
        <is>
          <t>NIST AI RMF: MANAGE 4.1 | ISO 42001: 6.1.3 | NIST 800-53: SC-39, SC-7 | NIST CSF 2.0: PR.PS-01</t>
        </is>
      </c>
      <c r="J70" s="53" t="inlineStr">
        <is>
          <t>SC — System &amp; Communications Protection</t>
        </is>
      </c>
      <c r="K70" s="52" t="n">
        <v>4</v>
      </c>
      <c r="L70" s="52" t="n">
        <v>5</v>
      </c>
      <c r="M70" s="52">
        <f>K70*L70</f>
        <v/>
      </c>
      <c r="N70" s="52" t="inlineStr">
        <is>
          <t>Critical</t>
        </is>
      </c>
      <c r="O70" s="52" t="inlineStr">
        <is>
          <t>Critical</t>
        </is>
      </c>
      <c r="P70" s="53" t="inlineStr">
        <is>
          <t>Vendor fix available beyond v1.10.0; no KEV listing as of this sweep</t>
        </is>
      </c>
      <c r="Q70" s="52" t="inlineStr">
        <is>
          <t>Medium</t>
        </is>
      </c>
      <c r="R70" s="53" t="inlineStr">
        <is>
          <t>Upgrade all Langflow instances beyond v1.10.0 immediately; enforce IMDSv2-only on all hosting instances; formal AI governance decision on production eligibility</t>
        </is>
      </c>
      <c r="S70" s="52" t="inlineStr">
        <is>
          <t>CIS Control 16 — Application Software Security</t>
        </is>
      </c>
      <c r="T70" s="53" t="inlineStr">
        <is>
          <t>Blaise Kingko</t>
        </is>
      </c>
      <c r="U70" s="52" t="inlineStr">
        <is>
          <t>Open — Emergency</t>
        </is>
      </c>
      <c r="V70" s="52" t="inlineStr">
        <is>
          <t>2026-09-25</t>
        </is>
      </c>
      <c r="W70" s="52" t="inlineStr">
        <is>
          <t>2026-09-21</t>
        </is>
      </c>
      <c r="X70" s="41" t="inlineStr">
        <is>
          <t>Fifth Langflow finding logged by this program since June 2026 (RR pattern). Elevated likelihood scoring reflects platform's established rapid-weaponization history. Full bundle built.</t>
        </is>
      </c>
    </row>
    <row r="71">
      <c r="A71" s="52" t="inlineStr">
        <is>
          <t>RR-067</t>
        </is>
      </c>
      <c r="B71" s="53" t="inlineStr">
        <is>
          <t>2026-09-21</t>
        </is>
      </c>
      <c r="C71" s="53" t="inlineStr">
        <is>
          <t>NIST NVD</t>
        </is>
      </c>
      <c r="D71" s="53" t="inlineStr">
        <is>
          <t>CVE-2026-93839; CVE-2026-61560; CVE-2026-58201; CVE-2026-55887; CVE-2026-58197; CVE-2026-91988</t>
        </is>
      </c>
      <c r="E71" s="53" t="inlineStr">
        <is>
          <t>Six independent MCP-server/AI-agent-tooling CVEs: LightLLM unauthenticated node registration, GitLab MCP unauthenticated file exfiltration, Lokka Azure token theft via SSRF, docker/mcp-gateway YAML injection, ToolHive network-isolation gap, atomic-agents-stack cleartext-registry MITM RCE</t>
        </is>
      </c>
      <c r="F71" s="52" t="inlineStr">
        <is>
          <t>AI-Governance / Cloud-Security</t>
        </is>
      </c>
      <c r="G71" s="53" t="inlineStr">
        <is>
          <t>AI Agent Connector Tooling (MCP servers)</t>
        </is>
      </c>
      <c r="H71" s="53" t="inlineStr">
        <is>
          <t>LightLLM ≤1.2.0; mcp-gitlab &lt;2.1.27; Lokka &lt;2.1.2; docker/mcp-gateway 0.21.0–0.42.1; ToolHive CLI &lt;0.30.1/Studio &lt;0.38.0; atomic-agents-stack &lt;1.1.0</t>
        </is>
      </c>
      <c r="I71" s="53" t="inlineStr">
        <is>
          <t>NIST AI RMF: GOVERN 1.1 | ISO 42001: 6.1.2 | NIST 800-53: IA-2, SC-8 | NIST CSF 2.0: ID.SC-04</t>
        </is>
      </c>
      <c r="J71" s="53" t="inlineStr">
        <is>
          <t>IA — Identification &amp; Authentication</t>
        </is>
      </c>
      <c r="K71" s="52" t="n">
        <v>3</v>
      </c>
      <c r="L71" s="52" t="n">
        <v>5</v>
      </c>
      <c r="M71" s="52">
        <f>K71*L71</f>
        <v/>
      </c>
      <c r="N71" s="52" t="inlineStr">
        <is>
          <t>Critical</t>
        </is>
      </c>
      <c r="O71" s="52" t="inlineStr">
        <is>
          <t>Critical</t>
        </is>
      </c>
      <c r="P71" s="53" t="inlineStr">
        <is>
          <t>Vendor fixes available for all six; no confirmed exploitation</t>
        </is>
      </c>
      <c r="Q71" s="52" t="inlineStr">
        <is>
          <t>Medium</t>
        </is>
      </c>
      <c r="R71" s="53" t="inlineStr">
        <is>
          <t>Inventory deployed MCP server products and patch all in-use affected instances; review Azure activity logs if Lokka in use; establish standing MCP-server vetting process</t>
        </is>
      </c>
      <c r="S71" s="52" t="inlineStr">
        <is>
          <t>CIS Control 16 — Application Software Security</t>
        </is>
      </c>
      <c r="T71" s="53" t="inlineStr">
        <is>
          <t>Blaise Kingko</t>
        </is>
      </c>
      <c r="U71" s="52" t="inlineStr">
        <is>
          <t>Open</t>
        </is>
      </c>
      <c r="V71" s="52" t="inlineStr">
        <is>
          <t>2026-09-28</t>
        </is>
      </c>
      <c r="W71" s="52" t="inlineStr">
        <is>
          <t>2026-09-21</t>
        </is>
      </c>
      <c r="X71" s="41" t="inlineStr">
        <is>
          <t>Third consecutive week of critical MCP/AI-agent-tooling findings (see RR-049 CoreBreak, RR-051/052 AWS Labs MCP). Program recommends standing MCP category going forward. Full bundle built.</t>
        </is>
      </c>
    </row>
    <row r="72">
      <c r="A72" s="52" t="inlineStr">
        <is>
          <t>RR-068</t>
        </is>
      </c>
      <c r="B72" s="53" t="inlineStr">
        <is>
          <t>2026-09-21</t>
        </is>
      </c>
      <c r="C72" s="53" t="inlineStr">
        <is>
          <t>CISA KEV</t>
        </is>
      </c>
      <c r="D72" s="53" t="inlineStr">
        <is>
          <t>CVE-2026-87886</t>
        </is>
      </c>
      <c r="E72" s="53" t="inlineStr">
        <is>
          <t>Acronis Backup plugin for cPanel/WHM, Plesk, and DirectAdmin — incorrect default file permissions enabling local privilege escalation</t>
        </is>
      </c>
      <c r="F72" s="52" t="inlineStr">
        <is>
          <t>IT-OT-Threats</t>
        </is>
      </c>
      <c r="G72" s="53" t="inlineStr">
        <is>
          <t>Backup / Hosting Control Panel Plugin</t>
        </is>
      </c>
      <c r="H72" s="53" t="inlineStr">
        <is>
          <t>Acronis Backup plugin: cPanel/WHM &lt;1.9.3.1021 (fixed 1.9.3 HF3); Plesk &lt;1.8.11.638 (fixed 1.8.11); DirectAdmin &lt;1.2.3.238</t>
        </is>
      </c>
      <c r="I72" s="53" t="inlineStr">
        <is>
          <t>NIST CSF 2.0: PR.PS-01 | NIST 800-53: AC-6, CM-6 | CIS Control 5</t>
        </is>
      </c>
      <c r="J72" s="53" t="inlineStr">
        <is>
          <t>AC — Access Control</t>
        </is>
      </c>
      <c r="K72" s="52" t="n">
        <v>5</v>
      </c>
      <c r="L72" s="52" t="n">
        <v>3</v>
      </c>
      <c r="M72" s="52">
        <f>K72*L72</f>
        <v/>
      </c>
      <c r="N72" s="52" t="inlineStr">
        <is>
          <t>High</t>
        </is>
      </c>
      <c r="O72" s="52" t="inlineStr">
        <is>
          <t>High</t>
        </is>
      </c>
      <c r="P72" s="53" t="inlineStr">
        <is>
          <t>Vendor fix available; local-access precondition narrows realistic attacker population</t>
        </is>
      </c>
      <c r="Q72" s="52" t="inlineStr">
        <is>
          <t>Low</t>
        </is>
      </c>
      <c r="R72" s="53" t="inlineStr">
        <is>
          <t>Upgrade Acronis Backup plugin to fixed build for the applicable hosting panel</t>
        </is>
      </c>
      <c r="S72" s="52" t="inlineStr">
        <is>
          <t>CIS Control 5 — Account Management</t>
        </is>
      </c>
      <c r="T72" s="53" t="inlineStr">
        <is>
          <t>Blaise Kingko</t>
        </is>
      </c>
      <c r="U72" s="52" t="inlineStr">
        <is>
          <t>Open — Register-Only</t>
        </is>
      </c>
      <c r="V72" s="52" t="inlineStr">
        <is>
          <t>2026-09-24</t>
        </is>
      </c>
      <c r="W72" s="52" t="inlineStr">
        <is>
          <t>2026-09-21</t>
        </is>
      </c>
      <c r="X72" s="41" t="inlineStr">
        <is>
          <t>Actively exploited per CISA KEV (added 2026-09-16) but local-privilege-escalation with narrow precondition — register-only per RR-021/RR-034/RR-039 precedent (no full bundle for narrow-precondition findings).</t>
        </is>
      </c>
    </row>
    <row r="73">
      <c r="A73" s="52" t="inlineStr">
        <is>
          <t>RR-069</t>
        </is>
      </c>
      <c r="B73" s="53" t="inlineStr">
        <is>
          <t>2026-09-21</t>
        </is>
      </c>
      <c r="C73" s="53" t="inlineStr">
        <is>
          <t>CISA Advisory</t>
        </is>
      </c>
      <c r="D73" s="53" t="inlineStr">
        <is>
          <t>CVE-2026-62645; CVE-2026-62648; CVE-2026-62647; CVE-2026-62646; CVE-2026-62654; CVE-2026-62652</t>
        </is>
      </c>
      <c r="E73" s="53" t="inlineStr">
        <is>
          <t>Siemens Reyrolle 7SR5 protection relay — missing-authentication vulnerability (CVSS 9.8) plus five companion findings (out-of-bounds write, debug info exposure)</t>
        </is>
      </c>
      <c r="F73" s="52" t="inlineStr">
        <is>
          <t>IT-OT-Threats</t>
        </is>
      </c>
      <c r="G73" s="53" t="inlineStr">
        <is>
          <t>OT — Protection Relay (grid/substation)</t>
        </is>
      </c>
      <c r="H73" s="53" t="inlineStr">
        <is>
          <t>Siemens Reyrolle 7SR5, versions pre-V2.70</t>
        </is>
      </c>
      <c r="I73" s="53" t="inlineStr">
        <is>
          <t>NIST CSF 2.0: PR.AC-03 | NIST 800-53: IA-2 | IEC 62443 SL-2 | CIS Control 12</t>
        </is>
      </c>
      <c r="J73" s="53" t="inlineStr">
        <is>
          <t>IA — Identification &amp; Authentication</t>
        </is>
      </c>
      <c r="K73" s="52" t="n">
        <v>3</v>
      </c>
      <c r="L73" s="52" t="n">
        <v>5</v>
      </c>
      <c r="M73" s="52">
        <f>K73*L73</f>
        <v/>
      </c>
      <c r="N73" s="52" t="inlineStr">
        <is>
          <t>Critical</t>
        </is>
      </c>
      <c r="O73" s="52" t="inlineStr">
        <is>
          <t>Critical</t>
        </is>
      </c>
      <c r="P73" s="53" t="inlineStr">
        <is>
          <t>Vendor firmware update to V2.70+ available; no confirmed exploitation as of this sweep</t>
        </is>
      </c>
      <c r="Q73" s="52" t="inlineStr">
        <is>
          <t>Medium</t>
        </is>
      </c>
      <c r="R73" s="53" t="inlineStr">
        <is>
          <t>Upgrade Reyrolle firmware to V2.70 or later; verify OT network segmentation isolates protection relays from general IT network</t>
        </is>
      </c>
      <c r="S73" s="52" t="inlineStr">
        <is>
          <t>CIS Control 12 — Network Infrastructure Management</t>
        </is>
      </c>
      <c r="T73" s="53" t="inlineStr">
        <is>
          <t>Blaise Kingko</t>
        </is>
      </c>
      <c r="U73" s="52" t="inlineStr">
        <is>
          <t>Open — Register-Only</t>
        </is>
      </c>
      <c r="V73" s="52" t="inlineStr">
        <is>
          <t>2026-10-05</t>
        </is>
      </c>
      <c r="W73" s="52" t="inlineStr">
        <is>
          <t>2026-09-21</t>
        </is>
      </c>
      <c r="X73" s="41" t="inlineStr">
        <is>
          <t>ICS advisory ICSA-26-258-05 (2026-09-15). Protection relay = grid/critical-infrastructure impact if exploited; register-only given no confirmed active exploitation, but flagged for OT-segment awareness.</t>
        </is>
      </c>
    </row>
    <row r="74">
      <c r="A74" s="52" t="inlineStr">
        <is>
          <t>RR-070</t>
        </is>
      </c>
      <c r="B74" s="53" t="inlineStr">
        <is>
          <t>2026-09-21</t>
        </is>
      </c>
      <c r="C74" s="53" t="inlineStr">
        <is>
          <t>CISA ICS Advisory</t>
        </is>
      </c>
      <c r="D74" s="53" t="inlineStr">
        <is>
          <t>CVE-2026-81861</t>
        </is>
      </c>
      <c r="E74" s="53" t="inlineStr">
        <is>
          <t>Schneider Electric SCADAPack x70 RTU — "Secure Lock" functionality bypass allowing unauthorized RTU configuration access; public PoC exploit exists on GitHub</t>
        </is>
      </c>
      <c r="F74" s="52" t="inlineStr">
        <is>
          <t>IT-OT-Threats</t>
        </is>
      </c>
      <c r="G74" s="53" t="inlineStr">
        <is>
          <t>OT — Remote Terminal Unit (RTU)</t>
        </is>
      </c>
      <c r="H74" s="53" t="inlineStr">
        <is>
          <t>Schneider Electric SCADAPack 47x/47xi/47xd/470R/57x</t>
        </is>
      </c>
      <c r="I74" s="53" t="inlineStr">
        <is>
          <t>NIST CSF 2.0: PR.AC-03 | NIST 800-53: AC-3 | IEC 62443</t>
        </is>
      </c>
      <c r="J74" s="53" t="inlineStr">
        <is>
          <t>AC — Access Control</t>
        </is>
      </c>
      <c r="K74" s="52" t="n">
        <v>4</v>
      </c>
      <c r="L74" s="52" t="n">
        <v>4</v>
      </c>
      <c r="M74" s="52">
        <f>K74*L74</f>
        <v/>
      </c>
      <c r="N74" s="52" t="inlineStr">
        <is>
          <t>High</t>
        </is>
      </c>
      <c r="O74" s="52" t="inlineStr">
        <is>
          <t>High</t>
        </is>
      </c>
      <c r="P74" s="53" t="inlineStr">
        <is>
          <t>Vendor mitigation guidance available; public PoC increases exploitation likelihood</t>
        </is>
      </c>
      <c r="Q74" s="52" t="inlineStr">
        <is>
          <t>Medium</t>
        </is>
      </c>
      <c r="R74" s="53" t="inlineStr">
        <is>
          <t>Apply Schneider Electric guidance/patch when available; restrict network access to RTUs to authorized OT engineering workstations only</t>
        </is>
      </c>
      <c r="S74" s="52" t="inlineStr">
        <is>
          <t>CIS Control 12 — Network Infrastructure Management</t>
        </is>
      </c>
      <c r="T74" s="53" t="inlineStr">
        <is>
          <t>Blaise Kingko</t>
        </is>
      </c>
      <c r="U74" s="52" t="inlineStr">
        <is>
          <t>Open — Register-Only</t>
        </is>
      </c>
      <c r="V74" s="52" t="inlineStr">
        <is>
          <t>2026-10-05</t>
        </is>
      </c>
      <c r="W74" s="52" t="inlineStr">
        <is>
          <t>2026-09-21</t>
        </is>
      </c>
      <c r="X74" s="41" t="inlineStr">
        <is>
          <t>ICS advisory ICSA-26-258-04 (2026-09-15). Public PoC ("scadapack-secure-lock-poc") on GitHub raises likelihood despite no confirmed in-the-wild use.</t>
        </is>
      </c>
    </row>
    <row r="75">
      <c r="A75" s="52" t="inlineStr">
        <is>
          <t>RR-071</t>
        </is>
      </c>
      <c r="B75" s="53" t="inlineStr">
        <is>
          <t>2026-09-21</t>
        </is>
      </c>
      <c r="C75" s="53" t="inlineStr">
        <is>
          <t>NIST NVD</t>
        </is>
      </c>
      <c r="D75" s="53" t="inlineStr">
        <is>
          <t>CVE-2026-90997</t>
        </is>
      </c>
      <c r="E75" s="53" t="inlineStr">
        <is>
          <t>Keycloak stateless-mode SSO — MySQL/MariaDB row-count mismatch allows replay-protection bypass of single-use JWT client assertions, DPoP proofs, and TOTP codes</t>
        </is>
      </c>
      <c r="F75" s="52" t="inlineStr">
        <is>
          <t>Cloud-Security</t>
        </is>
      </c>
      <c r="G75" s="53" t="inlineStr">
        <is>
          <t>IAM / SSO</t>
        </is>
      </c>
      <c r="H75" s="53" t="inlineStr">
        <is>
          <t>Keycloak 26.7.0–26.7.3</t>
        </is>
      </c>
      <c r="I75" s="53" t="inlineStr">
        <is>
          <t>NIST CSF 2.0: PR.AA-05 | NIST 800-53: IA-5</t>
        </is>
      </c>
      <c r="J75" s="53" t="inlineStr">
        <is>
          <t>IA — Identification &amp; Authentication</t>
        </is>
      </c>
      <c r="K75" s="52" t="n">
        <v>2</v>
      </c>
      <c r="L75" s="52" t="n">
        <v>4</v>
      </c>
      <c r="M75" s="52">
        <f>K75*L75</f>
        <v/>
      </c>
      <c r="N75" s="52" t="inlineStr">
        <is>
          <t>Medium</t>
        </is>
      </c>
      <c r="O75" s="52" t="inlineStr">
        <is>
          <t>Medium</t>
        </is>
      </c>
      <c r="P75" s="53" t="inlineStr">
        <is>
          <t>Vendor fix available beyond 26.7.3</t>
        </is>
      </c>
      <c r="Q75" s="52" t="inlineStr">
        <is>
          <t>Low</t>
        </is>
      </c>
      <c r="R75" s="53" t="inlineStr">
        <is>
          <t>Upgrade Keycloak beyond version 26.7.3</t>
        </is>
      </c>
      <c r="S75" s="52" t="inlineStr">
        <is>
          <t>CIS Control 6 — Access Control Management</t>
        </is>
      </c>
      <c r="T75" s="53" t="inlineStr">
        <is>
          <t>Blaise Kingko</t>
        </is>
      </c>
      <c r="U75" s="52" t="inlineStr">
        <is>
          <t>Open — Register-Only</t>
        </is>
      </c>
      <c r="V75" s="52" t="inlineStr">
        <is>
          <t>2026-09-28</t>
        </is>
      </c>
      <c r="W75" s="52" t="inlineStr">
        <is>
          <t>2026-09-21</t>
        </is>
      </c>
      <c r="X75" s="41" t="inlineStr">
        <is>
          <t>No confirmed exploitation; CVSS 7.4. Register-only given moderate severity relative to this week's other IAM findings.</t>
        </is>
      </c>
    </row>
    <row r="76">
      <c r="A76" s="52" t="inlineStr">
        <is>
          <t>RR-072</t>
        </is>
      </c>
      <c r="B76" s="53" t="inlineStr">
        <is>
          <t>2026-09-21</t>
        </is>
      </c>
      <c r="C76" s="53" t="inlineStr">
        <is>
          <t>NIST NVD</t>
        </is>
      </c>
      <c r="D76" s="53" t="inlineStr">
        <is>
          <t>CVE-2026-61682</t>
        </is>
      </c>
      <c r="E76" s="53" t="inlineStr">
        <is>
          <t>kcp (Kubernetes-like multi-tenant control plane) — front-proxy fails to strip inbound X-Remote-* identity headers, allowing any authenticated tenant to self-grant system:masters</t>
        </is>
      </c>
      <c r="F76" s="52" t="inlineStr">
        <is>
          <t>Cloud-Security</t>
        </is>
      </c>
      <c r="G76" s="53" t="inlineStr">
        <is>
          <t>Kubernetes Multi-Tenant Control Plane</t>
        </is>
      </c>
      <c r="H76" s="53" t="inlineStr">
        <is>
          <t>kcp &lt;0.31.4 and 0.32.0–0.32.1</t>
        </is>
      </c>
      <c r="I76" s="53" t="inlineStr">
        <is>
          <t>NIST CSF 2.0: PR.AA-05 | NIST 800-53: SC-7, AC-3 | CIS Control 6</t>
        </is>
      </c>
      <c r="J76" s="53" t="inlineStr">
        <is>
          <t>AC — Access Control</t>
        </is>
      </c>
      <c r="K76" s="52" t="n">
        <v>3</v>
      </c>
      <c r="L76" s="52" t="n">
        <v>5</v>
      </c>
      <c r="M76" s="52">
        <f>K76*L76</f>
        <v/>
      </c>
      <c r="N76" s="52" t="inlineStr">
        <is>
          <t>Critical</t>
        </is>
      </c>
      <c r="O76" s="52" t="inlineStr">
        <is>
          <t>Critical</t>
        </is>
      </c>
      <c r="P76" s="53" t="inlineStr">
        <is>
          <t>Vendor fix available</t>
        </is>
      </c>
      <c r="Q76" s="52" t="inlineStr">
        <is>
          <t>Medium</t>
        </is>
      </c>
      <c r="R76" s="53" t="inlineStr">
        <is>
          <t>Upgrade kcp to fixed version; audit front-proxy identity-header handling for any custom deployments</t>
        </is>
      </c>
      <c r="S76" s="52" t="inlineStr">
        <is>
          <t>CIS Control 6 — Access Control Management</t>
        </is>
      </c>
      <c r="T76" s="53" t="inlineStr">
        <is>
          <t>Blaise Kingko</t>
        </is>
      </c>
      <c r="U76" s="52" t="inlineStr">
        <is>
          <t>Open — Register-Only</t>
        </is>
      </c>
      <c r="V76" s="52" t="inlineStr">
        <is>
          <t>2026-09-28</t>
        </is>
      </c>
      <c r="W76" s="52" t="inlineStr">
        <is>
          <t>2026-09-21</t>
        </is>
      </c>
      <c r="X76" s="41" t="inlineStr">
        <is>
          <t>CVSS 9.9; no confirmed exploitation. Register-only given narrower kcp adoption footprint relative to mainstream Kubernetes/EKS findings logged with full bundles this run.</t>
        </is>
      </c>
    </row>
    <row r="77">
      <c r="A77" s="52" t="inlineStr">
        <is>
          <t>RR-073</t>
        </is>
      </c>
      <c r="B77" s="53" t="inlineStr">
        <is>
          <t>2026-09-21</t>
        </is>
      </c>
      <c r="C77" s="53" t="inlineStr">
        <is>
          <t>NIST NVD</t>
        </is>
      </c>
      <c r="D77" s="53" t="inlineStr">
        <is>
          <t>CVE-2026-77179; CVE-2026-79994</t>
        </is>
      </c>
      <c r="E77" s="53" t="inlineStr">
        <is>
          <t>Docker Desktop AI Sandboxes — macOS virtio-fs symlink-following host escape; guest-to-host Unix socket relay symlink race (TOCTOU)</t>
        </is>
      </c>
      <c r="F77" s="52" t="inlineStr">
        <is>
          <t>Cloud-Security</t>
        </is>
      </c>
      <c r="G77" s="53" t="inlineStr">
        <is>
          <t>Container Development Tooling</t>
        </is>
      </c>
      <c r="H77" s="53" t="inlineStr">
        <is>
          <t>Docker Desktop Sandboxes 0.28.0–0.41.x / 0.37.0–0.41.x</t>
        </is>
      </c>
      <c r="I77" s="53" t="inlineStr">
        <is>
          <t>NIST CSF 2.0: PR.PS-01 | NIST 800-53: SC-39 | CIS Control 4</t>
        </is>
      </c>
      <c r="J77" s="53" t="inlineStr">
        <is>
          <t>SC — System &amp; Communications Protection</t>
        </is>
      </c>
      <c r="K77" s="52" t="n">
        <v>2</v>
      </c>
      <c r="L77" s="52" t="n">
        <v>4</v>
      </c>
      <c r="M77" s="52">
        <f>K77*L77</f>
        <v/>
      </c>
      <c r="N77" s="52" t="inlineStr">
        <is>
          <t>Medium</t>
        </is>
      </c>
      <c r="O77" s="52" t="inlineStr">
        <is>
          <t>Medium</t>
        </is>
      </c>
      <c r="P77" s="53" t="inlineStr">
        <is>
          <t>Vendor fix available</t>
        </is>
      </c>
      <c r="Q77" s="52" t="inlineStr">
        <is>
          <t>Low</t>
        </is>
      </c>
      <c r="R77" s="53" t="inlineStr">
        <is>
          <t>Upgrade Docker Desktop to the fixed release</t>
        </is>
      </c>
      <c r="S77" s="52" t="inlineStr">
        <is>
          <t>CIS Control 4 — Secure Configuration of Enterprise Assets</t>
        </is>
      </c>
      <c r="T77" s="53" t="inlineStr">
        <is>
          <t>Blaise Kingko</t>
        </is>
      </c>
      <c r="U77" s="52" t="inlineStr">
        <is>
          <t>Open — Register-Only</t>
        </is>
      </c>
      <c r="V77" s="52" t="inlineStr">
        <is>
          <t>2026-09-28</t>
        </is>
      </c>
      <c r="W77" s="52" t="inlineStr">
        <is>
          <t>2026-09-21</t>
        </is>
      </c>
      <c r="X77" s="41" t="inlineStr">
        <is>
          <t>Developer-workstation-scoped finding (Docker Desktop, not server-side Docker Engine); no confirmed exploitation.</t>
        </is>
      </c>
    </row>
    <row r="78">
      <c r="A78" s="52" t="inlineStr">
        <is>
          <t>RR-074</t>
        </is>
      </c>
      <c r="B78" s="53" t="inlineStr">
        <is>
          <t>2026-09-21</t>
        </is>
      </c>
      <c r="C78" s="53" t="inlineStr">
        <is>
          <t>NIST NVD</t>
        </is>
      </c>
      <c r="D78" s="53" t="inlineStr">
        <is>
          <t>CVE-2026-53713; CVE-2026-53714</t>
        </is>
      </c>
      <c r="E78" s="53" t="inlineStr">
        <is>
          <t>Envoy Gateway — Lua path-validation bypass via redundant separators; unauthenticated unary xDS gRPC Fetch RPC in GatewayNamespaceMode</t>
        </is>
      </c>
      <c r="F78" s="52" t="inlineStr">
        <is>
          <t>Cloud-Security</t>
        </is>
      </c>
      <c r="G78" s="53" t="inlineStr">
        <is>
          <t>Kubernetes API Gateway</t>
        </is>
      </c>
      <c r="H78" s="53" t="inlineStr">
        <is>
          <t>Envoy Gateway &lt;1.7.4 and 1.8.0-rc.0–1.8.0</t>
        </is>
      </c>
      <c r="I78" s="53" t="inlineStr">
        <is>
          <t>NIST CSF 2.0: PR.AA-05 | NIST 800-53: AC-3, IA-2 | CIS Control 12</t>
        </is>
      </c>
      <c r="J78" s="53" t="inlineStr">
        <is>
          <t>AC — Access Control</t>
        </is>
      </c>
      <c r="K78" s="52" t="n">
        <v>3</v>
      </c>
      <c r="L78" s="52" t="n">
        <v>4</v>
      </c>
      <c r="M78" s="52">
        <f>K78*L78</f>
        <v/>
      </c>
      <c r="N78" s="52" t="inlineStr">
        <is>
          <t>High</t>
        </is>
      </c>
      <c r="O78" s="52" t="inlineStr">
        <is>
          <t>High</t>
        </is>
      </c>
      <c r="P78" s="53" t="inlineStr">
        <is>
          <t>Vendor fix available</t>
        </is>
      </c>
      <c r="Q78" s="52" t="inlineStr">
        <is>
          <t>Medium</t>
        </is>
      </c>
      <c r="R78" s="53" t="inlineStr">
        <is>
          <t>Upgrade Envoy Gateway to the fixed version</t>
        </is>
      </c>
      <c r="S78" s="52" t="inlineStr">
        <is>
          <t>CIS Control 12 — Network Infrastructure Management</t>
        </is>
      </c>
      <c r="T78" s="53" t="inlineStr">
        <is>
          <t>Blaise Kingko</t>
        </is>
      </c>
      <c r="U78" s="52" t="inlineStr">
        <is>
          <t>Open — Register-Only</t>
        </is>
      </c>
      <c r="V78" s="52" t="inlineStr">
        <is>
          <t>2026-09-28</t>
        </is>
      </c>
      <c r="W78" s="52" t="inlineStr">
        <is>
          <t>2026-09-21</t>
        </is>
      </c>
      <c r="X78" s="41" t="inlineStr">
        <is>
          <t>CVE-2026-53713 CVSS 9.1 Critical; CVE-2026-53714 CVSS 7.4. No confirmed exploitation.</t>
        </is>
      </c>
    </row>
    <row r="79">
      <c r="A79" s="52" t="inlineStr">
        <is>
          <t>RR-075</t>
        </is>
      </c>
      <c r="B79" s="53" t="inlineStr">
        <is>
          <t>2026-09-21</t>
        </is>
      </c>
      <c r="C79" s="53" t="inlineStr">
        <is>
          <t>NIST NVD</t>
        </is>
      </c>
      <c r="D79" s="53" t="inlineStr">
        <is>
          <t>CVE-2026-92122; CVE-2026-92123; CVE-2026-92124; CVE-2026-92125; CVE-2026-92127; CVE-2026-92128; CVE-2026-92129; CVE-2026-92134; CVE-2026-92135; CVE-2026-92136; CVE-2026-92137</t>
        </is>
      </c>
      <c r="E79" s="53" t="inlineStr">
        <is>
          <t>Jenkins plugin security batch (Script Security, Warnings, Coverage, OWASP Dependency-Check, Robot Framework) — sandbox-bypass family plus stored XSS and path traversal findings</t>
        </is>
      </c>
      <c r="F79" s="52" t="inlineStr">
        <is>
          <t>Cloud-Security</t>
        </is>
      </c>
      <c r="G79" s="53" t="inlineStr">
        <is>
          <t>CI/CD Platform</t>
        </is>
      </c>
      <c r="H79" s="53" t="inlineStr">
        <is>
          <t>Jenkins Script Security Plugin ≤1415.v9af9b3ac253d and named companion plugins at stated versions</t>
        </is>
      </c>
      <c r="I79" s="53" t="inlineStr">
        <is>
          <t>NIST CSF 2.0: PR.PS-06 | NIST 800-53: SI-10 | CIS Control 16</t>
        </is>
      </c>
      <c r="J79" s="53" t="inlineStr">
        <is>
          <t>SI — System Integrity</t>
        </is>
      </c>
      <c r="K79" s="52" t="n">
        <v>3</v>
      </c>
      <c r="L79" s="52" t="n">
        <v>4</v>
      </c>
      <c r="M79" s="52">
        <f>K79*L79</f>
        <v/>
      </c>
      <c r="N79" s="52" t="inlineStr">
        <is>
          <t>High</t>
        </is>
      </c>
      <c r="O79" s="52" t="inlineStr">
        <is>
          <t>High</t>
        </is>
      </c>
      <c r="P79" s="53" t="inlineStr">
        <is>
          <t>Vendor fixes available for all plugins in the batch</t>
        </is>
      </c>
      <c r="Q79" s="52" t="inlineStr">
        <is>
          <t>Medium</t>
        </is>
      </c>
      <c r="R79" s="53" t="inlineStr">
        <is>
          <t>Update all affected Jenkins plugins to their fixed versions</t>
        </is>
      </c>
      <c r="S79" s="52" t="inlineStr">
        <is>
          <t>CIS Control 16 — Application Software Security</t>
        </is>
      </c>
      <c r="T79" s="53" t="inlineStr">
        <is>
          <t>Blaise Kingko</t>
        </is>
      </c>
      <c r="U79" s="52" t="inlineStr">
        <is>
          <t>Open — Register-Only</t>
        </is>
      </c>
      <c r="V79" s="52" t="inlineStr">
        <is>
          <t>2026-09-28</t>
        </is>
      </c>
      <c r="W79" s="52" t="inlineStr">
        <is>
          <t>2026-09-21</t>
        </is>
      </c>
      <c r="X79" s="41" t="inlineStr">
        <is>
          <t>11-CVE plugin batch (CVSS 7.5–8.8), all Jenkins Project-maintained. No confirmed exploitation. Consolidated into one register row per program batching convention.</t>
        </is>
      </c>
    </row>
    <row r="80">
      <c r="A80" s="52" t="inlineStr">
        <is>
          <t>RR-076</t>
        </is>
      </c>
      <c r="B80" s="53" t="inlineStr">
        <is>
          <t>2026-09-21</t>
        </is>
      </c>
      <c r="C80" s="53" t="inlineStr">
        <is>
          <t>NIST NVD — MODIFIED</t>
        </is>
      </c>
      <c r="D80" s="53" t="inlineStr">
        <is>
          <t>CVE-2026-85596; CVE-2026-85594</t>
        </is>
      </c>
      <c r="E80" s="53" t="inlineStr">
        <is>
          <t>Traefik Kubernetes Ingress provider — TLS-option-name collision causing fallback to default config skipping client-cert verification; crossProviderNamespaces enforcement bypass on middleware annotation</t>
        </is>
      </c>
      <c r="F80" s="52" t="inlineStr">
        <is>
          <t>Cloud-Security</t>
        </is>
      </c>
      <c r="G80" s="53" t="inlineStr">
        <is>
          <t>Kubernetes Ingress Controller</t>
        </is>
      </c>
      <c r="H80" s="53" t="inlineStr">
        <is>
          <t>Traefik 3.7.0–3.7.10 (CVE-2026-85596, fixed 3.7.11); Traefik ≥3.7.1 (CVE-2026-85594, fixed 3.7.11)</t>
        </is>
      </c>
      <c r="I80" s="53" t="inlineStr">
        <is>
          <t>NIST CSF 2.0: PR.AA-05 | NIST 800-53: IA-2, AC-3 | CIS Control 12</t>
        </is>
      </c>
      <c r="J80" s="53" t="inlineStr">
        <is>
          <t>IA — Identification &amp; Authentication</t>
        </is>
      </c>
      <c r="K80" s="52" t="n">
        <v>4</v>
      </c>
      <c r="L80" s="52" t="n">
        <v>4</v>
      </c>
      <c r="M80" s="52">
        <f>K80*L80</f>
        <v/>
      </c>
      <c r="N80" s="52" t="inlineStr">
        <is>
          <t>High</t>
        </is>
      </c>
      <c r="O80" s="52" t="inlineStr">
        <is>
          <t>High</t>
        </is>
      </c>
      <c r="P80" s="53" t="inlineStr">
        <is>
          <t>Vendor fix available (3.7.11)</t>
        </is>
      </c>
      <c r="Q80" s="52" t="inlineStr">
        <is>
          <t>Medium</t>
        </is>
      </c>
      <c r="R80" s="53" t="inlineStr">
        <is>
          <t>Upgrade Traefik to 3.7.11 or later</t>
        </is>
      </c>
      <c r="S80" s="52" t="inlineStr">
        <is>
          <t>CIS Control 12 — Network Infrastructure Management</t>
        </is>
      </c>
      <c r="T80" s="53" t="inlineStr">
        <is>
          <t>Blaise Kingko</t>
        </is>
      </c>
      <c r="U80" s="52" t="inlineStr">
        <is>
          <t>Open — Register-Only</t>
        </is>
      </c>
      <c r="V80" s="52" t="inlineStr">
        <is>
          <t>2026-09-28</t>
        </is>
      </c>
      <c r="W80" s="52" t="inlineStr">
        <is>
          <t>2026-09-21</t>
        </is>
      </c>
      <c r="X80" s="41" t="inlineStr">
        <is>
          <t>[MODIFIED — ESCALATED] Originally published 2026-09-04 (before this window) with vendor-only CVSS 7.0-8.2; on 2026-09-16 NVD added a primary CVSS 9.8 score AND retagged the GHSA reference as "Exploit" for both CVEs — qualifying escalation per Section 3 modified-CVE rule. New register entry (not previously logged).</t>
        </is>
      </c>
    </row>
    <row r="81">
      <c r="A81" s="52" t="inlineStr">
        <is>
          <t>RR-077</t>
        </is>
      </c>
      <c r="B81" s="53" t="inlineStr">
        <is>
          <t>2026-09-21</t>
        </is>
      </c>
      <c r="C81" s="53" t="inlineStr">
        <is>
          <t>AI Governance — Vendor Disclosure</t>
        </is>
      </c>
      <c r="D81" s="53" t="inlineStr">
        <is>
          <t>N/A — OpenAI Model Misalignment Reporting Framework</t>
        </is>
      </c>
      <c r="E81" s="53" t="inlineStr">
        <is>
          <t>OpenAI published a formal AI incident-disclosure framework and disclosed six new agentic-model misalignment incidents since March 2026 (self-generated instruction insertion, exposed-API-key misuse, cross-run message exchange, access-restriction bypass via public file hosting); OpenAI stated no industry-wide disclosure-standard framework currently exists</t>
        </is>
      </c>
      <c r="F81" s="52" t="inlineStr">
        <is>
          <t>AI-Governance</t>
        </is>
      </c>
      <c r="G81" s="53" t="inlineStr">
        <is>
          <t>AI Vendor Risk Management</t>
        </is>
      </c>
      <c r="H81" s="53" t="inlineStr">
        <is>
          <t>Frontier LLM/agent vendor governance posture (OpenAI; applicable to any frontier AI vendor relationship)</t>
        </is>
      </c>
      <c r="I81" s="53" t="inlineStr">
        <is>
          <t>NIST AI RMF: MEASURE, MANAGE | ISO 42001: Clause 10 | EU AI Act: Art. 55 (GPAI systemic-risk monitoring, voluntary here)</t>
        </is>
      </c>
      <c r="J81" s="53" t="inlineStr">
        <is>
          <t>GV — Governance</t>
        </is>
      </c>
      <c r="K81" s="52" t="n">
        <v>2</v>
      </c>
      <c r="L81" s="52" t="n">
        <v>3</v>
      </c>
      <c r="M81" s="52">
        <f>K81*L81</f>
        <v/>
      </c>
      <c r="N81" s="52" t="inlineStr">
        <is>
          <t>Medium</t>
        </is>
      </c>
      <c r="O81" s="52" t="inlineStr">
        <is>
          <t>Medium</t>
        </is>
      </c>
      <c r="P81" s="53" t="inlineStr">
        <is>
          <t>Voluntary vendor disclosure; no statutory obligation exists yet</t>
        </is>
      </c>
      <c r="Q81" s="52" t="inlineStr">
        <is>
          <t>Low</t>
        </is>
      </c>
      <c r="R81" s="53" t="inlineStr">
        <is>
          <t>Add "does the vendor have an equivalent AI incident-disclosure commitment" as a standing question in AI vendor risk assessments and due-diligence questionnaires</t>
        </is>
      </c>
      <c r="S81" s="52" t="inlineStr">
        <is>
          <t>N/A — governance/process item</t>
        </is>
      </c>
      <c r="T81" s="53" t="inlineStr">
        <is>
          <t>Blaise Kingko</t>
        </is>
      </c>
      <c r="U81" s="52" t="inlineStr">
        <is>
          <t>Open — Register-Only (Governance)</t>
        </is>
      </c>
      <c r="V81" s="52" t="inlineStr">
        <is>
          <t>2026-10-05</t>
        </is>
      </c>
      <c r="W81" s="52" t="inlineStr">
        <is>
          <t>2026-09-21</t>
        </is>
      </c>
      <c r="X81" s="41" t="inlineStr">
        <is>
          <t>Non-CVE governance/regulatory item, consistent with prior register entries for non-technical AI governance developments (cf. RR-004, RR-009, RR-043). Feeds Executive Report AI Governance Watch section.</t>
        </is>
      </c>
    </row>
    <row r="82">
      <c r="A82" s="52" t="inlineStr">
        <is>
          <t>RR-078</t>
        </is>
      </c>
      <c r="B82" s="53" t="inlineStr">
        <is>
          <t>2026-09-21</t>
        </is>
      </c>
      <c r="C82" s="53" t="inlineStr">
        <is>
          <t>AI Governance — State Regulation</t>
        </is>
      </c>
      <c r="D82" s="53" t="inlineStr">
        <is>
          <t>N/A — California SB 1050</t>
        </is>
      </c>
      <c r="E82" s="53" t="inlineStr">
        <is>
          <t>California Governor Newsom signed SB 1050, requiring explicit disclosure on video/audio advertisements using AI-generated ("synthetic") performers, and prohibiting continued use of ads found to violate the disclosure rule</t>
        </is>
      </c>
      <c r="F82" s="52" t="inlineStr">
        <is>
          <t>AI-Governance</t>
        </is>
      </c>
      <c r="G82" s="53" t="inlineStr">
        <is>
          <t>Marketing / Advertising Content Compliance</t>
        </is>
      </c>
      <c r="H82" s="53" t="inlineStr">
        <is>
          <t>N/A — California state law (advertisers, ad agencies, platforms hosting AI-generated ad content)</t>
        </is>
      </c>
      <c r="I82" s="53" t="inlineStr">
        <is>
          <t>EU AI Act (transparency-obligation analog) | NIST AI RMF: GOVERN, MAP</t>
        </is>
      </c>
      <c r="J82" s="53" t="inlineStr">
        <is>
          <t>GV — Governance</t>
        </is>
      </c>
      <c r="K82" s="52" t="n">
        <v>3</v>
      </c>
      <c r="L82" s="52" t="n">
        <v>3</v>
      </c>
      <c r="M82" s="52">
        <f>K82*L82</f>
        <v/>
      </c>
      <c r="N82" s="52" t="inlineStr">
        <is>
          <t>Medium</t>
        </is>
      </c>
      <c r="O82" s="52" t="inlineStr">
        <is>
          <t>Medium</t>
        </is>
      </c>
      <c r="P82" s="53" t="inlineStr">
        <is>
          <t>Signed into law 2026-09-16; effective date not confirmed in sources reviewed — requires verification</t>
        </is>
      </c>
      <c r="Q82" s="52" t="inlineStr">
        <is>
          <t>Low</t>
        </is>
      </c>
      <c r="R82" s="53" t="inlineStr">
        <is>
          <t>Confirm SB 1050 effective date; add AI-generated-performer disclosure requirement to California marketing/advertising compliance checklist for any AI-generated ad creative</t>
        </is>
      </c>
      <c r="S82" s="52" t="inlineStr">
        <is>
          <t>N/A — governance/process item</t>
        </is>
      </c>
      <c r="T82" s="53" t="inlineStr">
        <is>
          <t>Blaise Kingko</t>
        </is>
      </c>
      <c r="U82" s="52" t="inlineStr">
        <is>
          <t>Open — Register-Only (Compliance)</t>
        </is>
      </c>
      <c r="V82" s="52" t="inlineStr">
        <is>
          <t>2026-10-12</t>
        </is>
      </c>
      <c r="W82" s="52" t="inlineStr">
        <is>
          <t>2026-09-21</t>
        </is>
      </c>
      <c r="X82" s="41" t="inlineStr">
        <is>
          <t>Non-CVE compliance item. Applies only if the organization or its clients produce AI-generated advertising content distributed in California.</t>
        </is>
      </c>
    </row>
    <row r="83">
      <c r="A83" s="52" t="inlineStr">
        <is>
          <t>RR-079</t>
        </is>
      </c>
      <c r="B83" s="53" t="inlineStr">
        <is>
          <t>2026-09-27</t>
        </is>
      </c>
      <c r="C83" s="53" t="inlineStr">
        <is>
          <t>CISA KEV</t>
        </is>
      </c>
      <c r="D83" s="53" t="inlineStr">
        <is>
          <t>CVE-2026-88771; CVE-2026-88772 (+ 6 companion CVEs CVE-2026-88773–88778)</t>
        </is>
      </c>
      <c r="E83" s="53" t="inlineStr">
        <is>
          <t>Citrix NetScaler ADC and Gateway — unauthenticated zero-day command execution chain, confirmed active exploitation globally</t>
        </is>
      </c>
      <c r="F83" s="52" t="inlineStr">
        <is>
          <t>IT-OT-Threats</t>
        </is>
      </c>
      <c r="G83" s="53" t="inlineStr">
        <is>
          <t>Network Perimeter — VPN / Application Delivery Controller</t>
        </is>
      </c>
      <c r="H83" s="53" t="inlineStr">
        <is>
          <t>Citrix NetScaler ADC and NetScaler Gateway (before 14.1-73.37 / 13.1-64.23, incl. FIPS/NDcPP builds)</t>
        </is>
      </c>
      <c r="I83" s="53" t="inlineStr">
        <is>
          <t>NIST CSF 2.0: PR.PS-04, DE.CM-01 | NIST 800-53: SI-2, RA-5, SC-7 | ISO 27001: A.8.8, A.8.20 | CIS Control 7</t>
        </is>
      </c>
      <c r="J83" s="53" t="inlineStr">
        <is>
          <t>SI — System Integrity</t>
        </is>
      </c>
      <c r="K83" s="52" t="n">
        <v>5</v>
      </c>
      <c r="L83" s="52" t="n">
        <v>5</v>
      </c>
      <c r="M83" s="52">
        <f>K83*L83</f>
        <v/>
      </c>
      <c r="N83" s="52" t="inlineStr">
        <is>
          <t>Critical</t>
        </is>
      </c>
      <c r="O83" s="52" t="inlineStr">
        <is>
          <t>Critical</t>
        </is>
      </c>
      <c r="P83" s="53" t="inlineStr">
        <is>
          <t>Vendor patch available (14.1-73.37 / 13.1-64.23); Citrix advises checking for IOCs via NetScaler Console before patching</t>
        </is>
      </c>
      <c r="Q83" s="52" t="inlineStr">
        <is>
          <t>High</t>
        </is>
      </c>
      <c r="R83" s="53" t="inlineStr">
        <is>
          <t>Apply Citrix hotfix immediately; check for indicators of compromise via NetScaler Console per Citrix guidance BEFORE patching (patching can destroy forensic evidence); preserve logs if compromise suspected</t>
        </is>
      </c>
      <c r="S83" s="52" t="inlineStr">
        <is>
          <t>CIS Control 7.4 — Manage Operating System Vulnerabilities</t>
        </is>
      </c>
      <c r="T83" s="53" t="inlineStr">
        <is>
          <t>Blaise Kingko</t>
        </is>
      </c>
      <c r="U83" s="52" t="inlineStr">
        <is>
          <t>Open — Emergency</t>
        </is>
      </c>
      <c r="V83" s="52" t="inlineStr">
        <is>
          <t>2026-09-30</t>
        </is>
      </c>
      <c r="W83" s="52" t="inlineStr">
        <is>
          <t>2026-09-28</t>
        </is>
      </c>
      <c r="X83" s="53" t="inlineStr">
        <is>
          <t>Zero-day, actively exploited globally per CISA (partner threat intel confirmed). NVD had not published a numeric CVSS base score as of this run — Critical rating based on unauthenticated RCE impact per CISA's own "critical, zero-day" characterization; verify NVD score once published. Full case-study bundle published (dual disclosure with Check Point this same week — see RR-080).</t>
        </is>
      </c>
    </row>
    <row r="84">
      <c r="A84" s="52" t="inlineStr">
        <is>
          <t>RR-080</t>
        </is>
      </c>
      <c r="B84" s="53" t="inlineStr">
        <is>
          <t>2026-09-22</t>
        </is>
      </c>
      <c r="C84" s="53" t="inlineStr">
        <is>
          <t>CISA KEV</t>
        </is>
      </c>
      <c r="D84" s="53" t="inlineStr">
        <is>
          <t>CVE-2026-85102; CVE-2026-93616</t>
        </is>
      </c>
      <c r="E84" s="53" t="inlineStr">
        <is>
          <t>Check Point Quantum Security Gateway certificate-validation bypass (unauthenticated VPN RCE) chained with Management Server path traversal (unauthenticated arbitrary file upload/execution)</t>
        </is>
      </c>
      <c r="F84" s="52" t="inlineStr">
        <is>
          <t>IT-OT-Threats</t>
        </is>
      </c>
      <c r="G84" s="53" t="inlineStr">
        <is>
          <t>VPN Gateway / Centralized Security Management Plane</t>
        </is>
      </c>
      <c r="H84" s="53" t="inlineStr">
        <is>
          <t>Check Point Quantum Security Gateway &amp; Quantum/Multi-Domain Security Management Server (Gaia OS/Embedded, R80.x–R82.20)</t>
        </is>
      </c>
      <c r="I84" s="53" t="inlineStr">
        <is>
          <t>NIST CSF 2.0: PR.PS-04, PR.AA-01 | NIST 800-53: SC-17, SC-8, SI-2 | ISO 27001: A.8.24, A.8.8 | CIS Control 7, 12</t>
        </is>
      </c>
      <c r="J84" s="53" t="inlineStr">
        <is>
          <t>SC — System &amp; Communications Protection</t>
        </is>
      </c>
      <c r="K84" s="52" t="n">
        <v>5</v>
      </c>
      <c r="L84" s="52" t="n">
        <v>5</v>
      </c>
      <c r="M84" s="52">
        <f>K84*L84</f>
        <v/>
      </c>
      <c r="N84" s="52" t="inlineStr">
        <is>
          <t>Critical</t>
        </is>
      </c>
      <c r="O84" s="52" t="inlineStr">
        <is>
          <t>Critical</t>
        </is>
      </c>
      <c r="P84" s="53" t="inlineStr">
        <is>
          <t>Jumbo hotfix cadence varies by organization; root cause is improper certificate trust validation during VPN negotiation</t>
        </is>
      </c>
      <c r="Q84" s="52" t="inlineStr">
        <is>
          <t>High</t>
        </is>
      </c>
      <c r="R84" s="53" t="inlineStr">
        <is>
          <t>Apply Check Point jumbo hotfix per sk1000117 (Gateway, CVE-2026-85102) and sk1000171 (Management Server, CVE-2026-93616) immediately; audit VPN certificate trust chain configuration</t>
        </is>
      </c>
      <c r="S84" s="52" t="inlineStr">
        <is>
          <t>CIS Control 7.4 — Manage Operating System Vulnerabilities</t>
        </is>
      </c>
      <c r="T84" s="53" t="inlineStr">
        <is>
          <t>Blaise Kingko</t>
        </is>
      </c>
      <c r="U84" s="52" t="inlineStr">
        <is>
          <t>Open — Emergency</t>
        </is>
      </c>
      <c r="V84" s="52" t="inlineStr">
        <is>
          <t>2026-09-25</t>
        </is>
      </c>
      <c r="W84" s="52" t="inlineStr">
        <is>
          <t>2026-09-28</t>
        </is>
      </c>
      <c r="X84" s="53" t="inlineStr">
        <is>
          <t>Two chained CVEs from same vendor/disclosure week: unauthenticated gateway RCE (9.8) + unauthenticated management-server RCE (9.8). Management-plane compromise carries the larger blast radius (can push policy to every managed gateway) — this chaining is this program's own risk analysis connecting two separately-disclosed CVEs, not a confirmed attacker TTP. Full case-study bundle published.</t>
        </is>
      </c>
    </row>
    <row r="85">
      <c r="A85" s="52" t="inlineStr">
        <is>
          <t>RR-081</t>
        </is>
      </c>
      <c r="B85" s="53" t="inlineStr">
        <is>
          <t>2026-09-24</t>
        </is>
      </c>
      <c r="C85" s="53" t="inlineStr">
        <is>
          <t>CISA KEV</t>
        </is>
      </c>
      <c r="D85" s="53" t="inlineStr">
        <is>
          <t>CVE-2026-5430</t>
        </is>
      </c>
      <c r="E85" s="53" t="inlineStr">
        <is>
          <t>WSO2 multiple products path traversal vulnerability enabling unauthorized file access on identity/API gateway platform, confirmed active exploitation</t>
        </is>
      </c>
      <c r="F85" s="52" t="inlineStr">
        <is>
          <t>Cloud-Security</t>
        </is>
      </c>
      <c r="G85" s="53" t="inlineStr">
        <is>
          <t>IAM / API Gateway / Integration Middleware</t>
        </is>
      </c>
      <c r="H85" s="53" t="inlineStr">
        <is>
          <t>WSO2 Identity Server, API Manager, and related products named in the KEV entry</t>
        </is>
      </c>
      <c r="I85" s="53" t="inlineStr">
        <is>
          <t>NIST CSF 2.0: PR.AA-05, PR.DS-01 | NIST 800-53: AC-3, IA-2, SC-28 | ISO 27001: A.8.3, A.8.24 | CIS Control 6</t>
        </is>
      </c>
      <c r="J85" s="53" t="inlineStr">
        <is>
          <t>AC — Access Control</t>
        </is>
      </c>
      <c r="K85" s="52" t="n">
        <v>5</v>
      </c>
      <c r="L85" s="52" t="n">
        <v>5</v>
      </c>
      <c r="M85" s="52">
        <f>K85*L85</f>
        <v/>
      </c>
      <c r="N85" s="52" t="inlineStr">
        <is>
          <t>Critical</t>
        </is>
      </c>
      <c r="O85" s="52" t="inlineStr">
        <is>
          <t>Critical</t>
        </is>
      </c>
      <c r="P85" s="53" t="inlineStr">
        <is>
          <t>Identity/API-gateway centrality elevates blast radius; specific exploited component not detailed in sources reviewed</t>
        </is>
      </c>
      <c r="Q85" s="52" t="inlineStr">
        <is>
          <t>High</t>
        </is>
      </c>
      <c r="R85" s="53" t="inlineStr">
        <is>
          <t>Apply WSO2 vendor patch per official advisory immediately; confirm which specific product/component is exploited in your deployment; rotate any credentials or keys potentially exposed via filesystem access</t>
        </is>
      </c>
      <c r="S85" s="52" t="inlineStr">
        <is>
          <t>CIS Control 6.8 — Define and Maintain Role-Based Access Control</t>
        </is>
      </c>
      <c r="T85" s="53" t="inlineStr">
        <is>
          <t>Blaise Kingko</t>
        </is>
      </c>
      <c r="U85" s="52" t="inlineStr">
        <is>
          <t>Open — Emergency</t>
        </is>
      </c>
      <c r="V85" s="52" t="inlineStr">
        <is>
          <t>2026-09-27</t>
        </is>
      </c>
      <c r="W85" s="52" t="inlineStr">
        <is>
          <t>2026-09-28</t>
        </is>
      </c>
      <c r="X85" s="53" t="inlineStr">
        <is>
          <t>Reported CVSS 10.0 per third-party vulnerability-intelligence trackers (not yet independently confirmed against NVD/WSO2's own advisory — verify before using for SLA-bound decisions). Same KEV batch as RR-083 (Adobe Commerce). Full case-study bundle published.</t>
        </is>
      </c>
    </row>
    <row r="86">
      <c r="A86" s="52" t="inlineStr">
        <is>
          <t>RR-082</t>
        </is>
      </c>
      <c r="B86" s="53" t="inlineStr">
        <is>
          <t>2026-09-22</t>
        </is>
      </c>
      <c r="C86" s="53" t="inlineStr">
        <is>
          <t>CISA KEV</t>
        </is>
      </c>
      <c r="D86" s="53" t="inlineStr">
        <is>
          <t>CVE-2026-94127</t>
        </is>
      </c>
      <c r="E86" s="53" t="inlineStr">
        <is>
          <t>F5 BIG-IP APM heap-based buffer overflow enabling unauthenticated remote code execution when configured as an OAuth Authorization Server</t>
        </is>
      </c>
      <c r="F86" s="52" t="inlineStr">
        <is>
          <t>Cloud-Security</t>
        </is>
      </c>
      <c r="G86" s="53" t="inlineStr">
        <is>
          <t>Identity-Aware Access Proxy / OAuth Authorization Server</t>
        </is>
      </c>
      <c r="H86" s="53" t="inlineStr">
        <is>
          <t>F5 BIG-IP Access Policy Manager (APM) — 21.1.0, 17.5.0, 17.1.0 trains (pre-hotfix)</t>
        </is>
      </c>
      <c r="I86" s="53" t="inlineStr">
        <is>
          <t>NIST CSF 2.0: PR.AA-05, PR.PS-01 | NIST 800-53: IA-2, IA-5, SC-7, SI-2 | ISO 27001: A.8.5, A.8.24 | CIS Control 6, 7</t>
        </is>
      </c>
      <c r="J86" s="53" t="inlineStr">
        <is>
          <t>IA — Identification &amp; Authentication</t>
        </is>
      </c>
      <c r="K86" s="52" t="n">
        <v>5</v>
      </c>
      <c r="L86" s="52" t="n">
        <v>5</v>
      </c>
      <c r="M86" s="52">
        <f>K86*L86</f>
        <v/>
      </c>
      <c r="N86" s="52" t="inlineStr">
        <is>
          <t>Critical</t>
        </is>
      </c>
      <c r="O86" s="52" t="inlineStr">
        <is>
          <t>Critical</t>
        </is>
      </c>
      <c r="P86" s="53" t="inlineStr">
        <is>
          <t>Only exploitable when APM is configured as an OAuth Authorization Server — APM instances used strictly as OAuth Client/Resource Server are not affected per F5's own advisory</t>
        </is>
      </c>
      <c r="Q86" s="52" t="inlineStr">
        <is>
          <t>High</t>
        </is>
      </c>
      <c r="R86" s="53" t="inlineStr">
        <is>
          <t>Apply F5 hotfix per K000162605 immediately; inventory which BIG-IP instances actually have OAuth Authorization Server profiles configured before assuming org-wide exposure</t>
        </is>
      </c>
      <c r="S86" s="52" t="inlineStr">
        <is>
          <t>CIS Control 7.4 — Manage Operating System Vulnerabilities</t>
        </is>
      </c>
      <c r="T86" s="53" t="inlineStr">
        <is>
          <t>Blaise Kingko</t>
        </is>
      </c>
      <c r="U86" s="52" t="inlineStr">
        <is>
          <t>Open — Emergency</t>
        </is>
      </c>
      <c r="V86" s="52" t="inlineStr">
        <is>
          <t>2026-09-25</t>
        </is>
      </c>
      <c r="W86" s="52" t="inlineStr">
        <is>
          <t>2026-09-28</t>
        </is>
      </c>
      <c r="X86" s="53" t="inlineStr">
        <is>
          <t>CVSS4 9.3 (CVSS-B) per F5/NVD. Data-plane issue only — no control-plane exposure per F5 advisory. Scope conditional on OAuth Authorization Server role; confirm applicability before treating as org-wide. Full case-study bundle published.</t>
        </is>
      </c>
    </row>
    <row r="87">
      <c r="A87" s="52" t="inlineStr">
        <is>
          <t>RR-083</t>
        </is>
      </c>
      <c r="B87" s="53" t="inlineStr">
        <is>
          <t>2026-09-24</t>
        </is>
      </c>
      <c r="C87" s="53" t="inlineStr">
        <is>
          <t>CISA KEV</t>
        </is>
      </c>
      <c r="D87" s="53" t="inlineStr">
        <is>
          <t>CVE-2026-71362</t>
        </is>
      </c>
      <c r="E87" s="53" t="inlineStr">
        <is>
          <t>Adobe Commerce and Magento incorrect authorization vulnerability enabling privilege escalation; exploitation reported to have begun almost immediately after public disclosure</t>
        </is>
      </c>
      <c r="F87" s="52" t="inlineStr">
        <is>
          <t>Cloud-Security</t>
        </is>
      </c>
      <c r="G87" s="53" t="inlineStr">
        <is>
          <t>E-commerce Platform / Payment-Card-Scoped Application</t>
        </is>
      </c>
      <c r="H87" s="53" t="inlineStr">
        <is>
          <t>Adobe Commerce (Cloud &amp; on-premises) and Magento Open Source — core platform authorization logic</t>
        </is>
      </c>
      <c r="I87" s="53" t="inlineStr">
        <is>
          <t>NIST CSF 2.0: PR.AA-05, PR.PS-06 | NIST 800-53: AC-3, AC-6 | ISO 27001: A.8.3, A.5.15 | CIS Control 6, 16 | PCI-DSS v4.0: Req 6.3.3, 11.3</t>
        </is>
      </c>
      <c r="J87" s="53" t="inlineStr">
        <is>
          <t>AC — Access Control</t>
        </is>
      </c>
      <c r="K87" s="52" t="n">
        <v>5</v>
      </c>
      <c r="L87" s="52" t="n">
        <v>5</v>
      </c>
      <c r="M87" s="52">
        <f>K87*L87</f>
        <v/>
      </c>
      <c r="N87" s="52" t="inlineStr">
        <is>
          <t>Critical</t>
        </is>
      </c>
      <c r="O87" s="52" t="inlineStr">
        <is>
          <t>Critical</t>
        </is>
      </c>
      <c r="P87" s="53" t="inlineStr">
        <is>
          <t>Second Adobe Commerce/Magento KEV entry logged by this program since June 2026 (see 2026-06-CISA-KEV-Magento-Mirasvit precedent)</t>
        </is>
      </c>
      <c r="Q87" s="52" t="inlineStr">
        <is>
          <t>High</t>
        </is>
      </c>
      <c r="R87" s="53" t="inlineStr">
        <is>
          <t>Apply Adobe security patch immediately; review admin-panel and payment-scoped access logs for exploitation indicators; engage QSA/payment processor if cardholder-data environment potentially affected</t>
        </is>
      </c>
      <c r="S87" s="52" t="inlineStr">
        <is>
          <t>CIS Control 16.1 — Establish and Maintain a Secure Application Development Process</t>
        </is>
      </c>
      <c r="T87" s="53" t="inlineStr">
        <is>
          <t>Blaise Kingko</t>
        </is>
      </c>
      <c r="U87" s="52" t="inlineStr">
        <is>
          <t>Open — Emergency</t>
        </is>
      </c>
      <c r="V87" s="52" t="inlineStr">
        <is>
          <t>2026-09-27</t>
        </is>
      </c>
      <c r="W87" s="52" t="inlineStr">
        <is>
          <t>2026-09-28</t>
        </is>
      </c>
      <c r="X87" s="53" t="inlineStr">
        <is>
          <t>CVSS 9.1 per third-party trackers (Tenable, Strix, cve-security.com) — not yet independently confirmed against NVD/Adobe's official bulletin, verify before SLA use. PCI-DSS mapped per program precedent (2nd e-commerce finding this program has PCI-scoped). Full case-study bundle published.</t>
        </is>
      </c>
    </row>
    <row r="88">
      <c r="A88" s="52" t="inlineStr">
        <is>
          <t>RR-084</t>
        </is>
      </c>
      <c r="B88" s="53" t="inlineStr">
        <is>
          <t>2026-09-25</t>
        </is>
      </c>
      <c r="C88" s="53" t="inlineStr">
        <is>
          <t>CISA KEV</t>
        </is>
      </c>
      <c r="D88" s="53" t="inlineStr">
        <is>
          <t>CVE-2026-65660</t>
        </is>
      </c>
      <c r="E88" s="53" t="inlineStr">
        <is>
          <t>Microsoft SharePoint code injection vulnerability allowing an already-authenticated, low-privilege attacker to execute code over the network; third-party researchers report a two-stage exploitation pattern</t>
        </is>
      </c>
      <c r="F88" s="52" t="inlineStr">
        <is>
          <t>IT-OT-Threats</t>
        </is>
      </c>
      <c r="G88" s="53" t="inlineStr">
        <is>
          <t>Collaboration Platform (on-premises)</t>
        </is>
      </c>
      <c r="H88" s="53" t="inlineStr">
        <is>
          <t>SharePoint Enterprise Server 2016, SharePoint Server 2019, SharePoint Server Subscription Edition</t>
        </is>
      </c>
      <c r="I88" s="53" t="inlineStr">
        <is>
          <t>NIST CSF 2.0: PR.AA-05, PR.PS-06, DE.CM-01 | NIST 800-53: AC-6, SI-2, SI-10 | ISO 27001: A.8.8, A.8.28 | CIS Control 7, 16</t>
        </is>
      </c>
      <c r="J88" s="53" t="inlineStr">
        <is>
          <t>PR — Protect / Application Security</t>
        </is>
      </c>
      <c r="K88" s="52" t="n">
        <v>5</v>
      </c>
      <c r="L88" s="52" t="n">
        <v>4</v>
      </c>
      <c r="M88" s="52">
        <f>K88*L88</f>
        <v/>
      </c>
      <c r="N88" s="52" t="inlineStr">
        <is>
          <t>High</t>
        </is>
      </c>
      <c r="O88" s="52" t="inlineStr">
        <is>
          <t>High</t>
        </is>
      </c>
      <c r="P88" s="53" t="inlineStr">
        <is>
          <t>Requires low-privilege authenticated access as a precondition (CVSS vector PR:L), unlike this week's other, fully unauthenticated Critical findings</t>
        </is>
      </c>
      <c r="Q88" s="52" t="inlineStr">
        <is>
          <t>Medium-High</t>
        </is>
      </c>
      <c r="R88" s="53" t="inlineStr">
        <is>
          <t>Apply Microsoft security update immediately — KEV due date is today (2026-09-28); review low-privilege account activity for anomalous SharePoint access; evaluate strategic migration to SharePoint Online given recurring 2026 on-prem exploitation history (leadership decision, not an operational mandate)</t>
        </is>
      </c>
      <c r="S88" s="52" t="inlineStr">
        <is>
          <t>CIS Control 16.1 — Establish and Maintain a Secure Application Development Process</t>
        </is>
      </c>
      <c r="T88" s="53" t="inlineStr">
        <is>
          <t>Blaise Kingko</t>
        </is>
      </c>
      <c r="U88" s="52" t="inlineStr">
        <is>
          <t>Open — Emergency</t>
        </is>
      </c>
      <c r="V88" s="52" t="inlineStr">
        <is>
          <t>2026-09-28</t>
        </is>
      </c>
      <c r="W88" s="52" t="inlineStr">
        <is>
          <t>2026-09-28</t>
        </is>
      </c>
      <c r="X88" s="53" t="inlineStr">
        <is>
          <t>CVSS 8.8 (Microsoft/CNA); vector confirms PR:L (low privileges required), not unauthenticated. RATING METHODOLOGY NOTE: strict L×I banding (5×4=20) falls in this register's Critical band (20-25); rated High instead as a deliberate, documented exception — the authenticated-access precondition meaningfully distinguishes this from this week's unauthenticated Critical findings (Citrix, Check Point, WSO2, F5, Adobe Commerce, all PR:N). Applying this as a standing policy for future PR:L-boundary cases; flagged here for reviewer judgment. Third on-prem SharePoint KEV/advisory case this program has logged in 2026. Full case-study bundle published.</t>
        </is>
      </c>
    </row>
    <row r="89">
      <c r="A89" s="52" t="inlineStr">
        <is>
          <t>RR-085</t>
        </is>
      </c>
      <c r="B89" s="53" t="inlineStr">
        <is>
          <t>2026-09-22</t>
        </is>
      </c>
      <c r="C89" s="53" t="inlineStr">
        <is>
          <t>CISA KEV</t>
        </is>
      </c>
      <c r="D89" s="53" t="inlineStr">
        <is>
          <t>CVE-2026-93952</t>
        </is>
      </c>
      <c r="E89" s="53" t="inlineStr">
        <is>
          <t>Arista VeloCloud Orchestrator (VCO) on-premises deployments — vulnerability allowing remote access to privileged internal functionality, impacting confidentiality, integrity, and availability of the orchestrator</t>
        </is>
      </c>
      <c r="F89" s="52" t="inlineStr">
        <is>
          <t>IT-OT-Threats</t>
        </is>
      </c>
      <c r="G89" s="53" t="inlineStr">
        <is>
          <t>SD-WAN Orchestrator (on-premises only)</t>
        </is>
      </c>
      <c r="H89" s="53" t="inlineStr">
        <is>
          <t>Arista VeloCloud Orchestrator on-prem, versions 5.2.0–7.0.0.2 (pre-patch)</t>
        </is>
      </c>
      <c r="I89" s="53" t="inlineStr">
        <is>
          <t>NIST CSF 2.0: PR.AC-03 | NIST 800-53: AC-3, SC-7 | CIS Control 12</t>
        </is>
      </c>
      <c r="J89" s="53" t="inlineStr">
        <is>
          <t>AC — Access Control</t>
        </is>
      </c>
      <c r="K89" s="52" t="n">
        <v>4</v>
      </c>
      <c r="L89" s="52" t="n">
        <v>5</v>
      </c>
      <c r="M89" s="52">
        <f>K89*L89</f>
        <v/>
      </c>
      <c r="N89" s="52" t="inlineStr">
        <is>
          <t>Critical</t>
        </is>
      </c>
      <c r="O89" s="52" t="inlineStr">
        <is>
          <t>Critical</t>
        </is>
      </c>
      <c r="P89" s="53" t="inlineStr">
        <is>
          <t>Hosted and Dedicated VCO versions were already patched by the vendor prior to KEV listing — only self-managed on-premises deployments remain exposed</t>
        </is>
      </c>
      <c r="Q89" s="52" t="inlineStr">
        <is>
          <t>High</t>
        </is>
      </c>
      <c r="R89" s="53" t="inlineStr">
        <is>
          <t>Apply Arista security advisory patch to on-prem VCO immediately; confirm no unpatched on-prem instances remain internet-reachable</t>
        </is>
      </c>
      <c r="S89" s="52" t="inlineStr">
        <is>
          <t>CIS Control 12.2 — Establish and Maintain a Secure Network Architecture</t>
        </is>
      </c>
      <c r="T89" s="53" t="inlineStr">
        <is>
          <t>Blaise Kingko</t>
        </is>
      </c>
      <c r="U89" s="52" t="inlineStr">
        <is>
          <t>Open — Register-Only</t>
        </is>
      </c>
      <c r="V89" s="52" t="inlineStr">
        <is>
          <t>2026-09-25</t>
        </is>
      </c>
      <c r="W89" s="52" t="inlineStr">
        <is>
          <t>2026-09-28</t>
        </is>
      </c>
      <c r="X89" s="53" t="inlineStr">
        <is>
          <t>CVSS4 9.5 Critical (CNA), AC:H (attack complexity high) per vector. On-prem-only scope; Hosted/Dedicated already patched pre-disclosure. No full bundle per narrow-deployment-footprint precedent (cf. RR-021/034/039/050).</t>
        </is>
      </c>
    </row>
    <row r="90">
      <c r="A90" s="52" t="inlineStr">
        <is>
          <t>RR-086</t>
        </is>
      </c>
      <c r="B90" s="53" t="inlineStr">
        <is>
          <t>2026-09-25</t>
        </is>
      </c>
      <c r="C90" s="53" t="inlineStr">
        <is>
          <t>CISA KEV</t>
        </is>
      </c>
      <c r="D90" s="53" t="inlineStr">
        <is>
          <t>CVE-2026-67279</t>
        </is>
      </c>
      <c r="E90" s="53" t="inlineStr">
        <is>
          <t>Mikrotik RouterOS SSH rekey logic flaw allows an unauthenticated client to reach command dispatch without ever completing authentication, enabling unauthenticated creation/overwrite of files in the managed file namespace (including config/diagnostic support files)</t>
        </is>
      </c>
      <c r="F90" s="52" t="inlineStr">
        <is>
          <t>IT-OT-Threats</t>
        </is>
      </c>
      <c r="G90" s="53" t="inlineStr">
        <is>
          <t>Network Router / Switch Operating System</t>
        </is>
      </c>
      <c r="H90" s="53" t="inlineStr">
        <is>
          <t>Mikrotik RouterOS 6.x &lt; 6.49.21 (LTS); 7.0–7.23.4; 7.24 &lt; 7.24.2 (Stable)</t>
        </is>
      </c>
      <c r="I90" s="53" t="inlineStr">
        <is>
          <t>NIST CSF 2.0: PR.PS-01 | NIST 800-53: SC-7, IA-2 | CIS Control 12</t>
        </is>
      </c>
      <c r="J90" s="53" t="inlineStr">
        <is>
          <t>SC — System &amp; Communications Protection</t>
        </is>
      </c>
      <c r="K90" s="52" t="n">
        <v>4</v>
      </c>
      <c r="L90" s="52" t="n">
        <v>2</v>
      </c>
      <c r="M90" s="52">
        <f>K90*L90</f>
        <v/>
      </c>
      <c r="N90" s="52" t="inlineStr">
        <is>
          <t>Medium</t>
        </is>
      </c>
      <c r="O90" s="52" t="inlineStr">
        <is>
          <t>Medium</t>
        </is>
      </c>
      <c r="P90" s="53" t="inlineStr">
        <is>
          <t>SSH management-interface exposure varies by deployment; independent researchers published exploit analysis</t>
        </is>
      </c>
      <c r="Q90" s="52" t="inlineStr">
        <is>
          <t>Low-Medium</t>
        </is>
      </c>
      <c r="R90" s="53" t="inlineStr">
        <is>
          <t>Upgrade to RouterOS 6.49.21 (LTS) / 7.23.4 (LTS) / 7.24.2 (Stable) per Mikrotik's September 2026 advisory; restrict SSH management access to a trusted out-of-band management network</t>
        </is>
      </c>
      <c r="S90" s="52" t="inlineStr">
        <is>
          <t>CIS Control 12.2 — Establish and Maintain a Secure Network Architecture</t>
        </is>
      </c>
      <c r="T90" s="53" t="inlineStr">
        <is>
          <t>Blaise Kingko</t>
        </is>
      </c>
      <c r="U90" s="52" t="inlineStr">
        <is>
          <t>Open — Register-Only</t>
        </is>
      </c>
      <c r="V90" s="52" t="inlineStr">
        <is>
          <t>2026-09-28</t>
        </is>
      </c>
      <c r="W90" s="52" t="inlineStr">
        <is>
          <t>2026-09-28</t>
        </is>
      </c>
      <c r="X90" s="53" t="inlineStr">
        <is>
          <t>CVSS4 6.9 Medium (CERT.PL). Public exploit write-up published (npratley.net). No full bundle given Medium severity relative to this week's Critical findings.</t>
        </is>
      </c>
    </row>
    <row r="91">
      <c r="A91" s="52" t="inlineStr">
        <is>
          <t>RR-087</t>
        </is>
      </c>
      <c r="B91" s="53" t="inlineStr">
        <is>
          <t>2026-09-25</t>
        </is>
      </c>
      <c r="C91" s="53" t="inlineStr">
        <is>
          <t>CISA KEV</t>
        </is>
      </c>
      <c r="D91" s="53" t="inlineStr">
        <is>
          <t>CVE-2026-87902</t>
        </is>
      </c>
      <c r="E91" s="53" t="inlineStr">
        <is>
          <t>WordPress Core get_page_template() page-template resolution flaw lets an unauthenticated attacker include a chosen local PHP file outside the active theme directory; can lead to RCE if server and active-theme preconditions are met</t>
        </is>
      </c>
      <c r="F91" s="52" t="inlineStr">
        <is>
          <t>IT-OT-Threats</t>
        </is>
      </c>
      <c r="G91" s="53" t="inlineStr">
        <is>
          <t>CMS / Web Application Platform</t>
        </is>
      </c>
      <c r="H91" s="53" t="inlineStr">
        <is>
          <t>WordPress Core &lt; 7.1.2</t>
        </is>
      </c>
      <c r="I91" s="53" t="inlineStr">
        <is>
          <t>NIST CSF 2.0: PR.PS-06 | NIST 800-53: SI-10, RA-5 | CIS Control 16</t>
        </is>
      </c>
      <c r="J91" s="53" t="inlineStr">
        <is>
          <t>SI — System Integrity</t>
        </is>
      </c>
      <c r="K91" s="52" t="n">
        <v>5</v>
      </c>
      <c r="L91" s="52" t="n">
        <v>3</v>
      </c>
      <c r="M91" s="52">
        <f>K91*L91</f>
        <v/>
      </c>
      <c r="N91" s="52" t="inlineStr">
        <is>
          <t>High</t>
        </is>
      </c>
      <c r="O91" s="52" t="inlineStr">
        <is>
          <t>High</t>
        </is>
      </c>
      <c r="P91" s="53" t="inlineStr">
        <is>
          <t>RCE impact is conditional on specific server and active-theme preconditions per NVD's own description — not unconditional</t>
        </is>
      </c>
      <c r="Q91" s="52" t="inlineStr">
        <is>
          <t>Medium</t>
        </is>
      </c>
      <c r="R91" s="53" t="inlineStr">
        <is>
          <t>Update WordPress Core to 7.1.2 or later immediately; audit the active theme for get_page_template() customizations that could satisfy the RCE precondition</t>
        </is>
      </c>
      <c r="S91" s="52" t="inlineStr">
        <is>
          <t>CIS Control 16.1 — Establish and Maintain a Secure Application Development Process</t>
        </is>
      </c>
      <c r="T91" s="53" t="inlineStr">
        <is>
          <t>Blaise Kingko</t>
        </is>
      </c>
      <c r="U91" s="52" t="inlineStr">
        <is>
          <t>Open — Register-Only</t>
        </is>
      </c>
      <c r="V91" s="52" t="inlineStr">
        <is>
          <t>2026-09-28</t>
        </is>
      </c>
      <c r="W91" s="52" t="inlineStr">
        <is>
          <t>2026-09-28</t>
        </is>
      </c>
      <c r="X91" s="53" t="inlineStr">
        <is>
          <t>CVSS 8.1 High (CISA-ADP). Attackers reportedly began probing sites hours after the patch was released (Patchstack). Register-only given conditional RCE preconditions relative to this week's unconditional Critical findings; recommend re-evaluating for a full bundle if precondition prevalence is confirmed higher than assumed.</t>
        </is>
      </c>
    </row>
    <row r="92">
      <c r="A92" s="52" t="inlineStr">
        <is>
          <t>RR-088</t>
        </is>
      </c>
      <c r="B92" s="53" t="inlineStr">
        <is>
          <t>2026-09-21</t>
        </is>
      </c>
      <c r="C92" s="53" t="inlineStr">
        <is>
          <t>CISA KEV</t>
        </is>
      </c>
      <c r="D92" s="53" t="inlineStr">
        <is>
          <t>CVE-2026-7273</t>
        </is>
      </c>
      <c r="E92" s="53" t="inlineStr">
        <is>
          <t>Zyxel GS1900 series switches — stack-based buffer overflow in the CGI program allows a LAN-based unauthenticated attacker to potentially execute OS commands via a crafted HTTP request; public reporting attributes exploitation to Chinese state-linked threat actors</t>
        </is>
      </c>
      <c r="F92" s="52" t="inlineStr">
        <is>
          <t>IT-OT-Threats</t>
        </is>
      </c>
      <c r="G92" s="53" t="inlineStr">
        <is>
          <t>Network Switch (managed, entry-level)</t>
        </is>
      </c>
      <c r="H92" s="53" t="inlineStr">
        <is>
          <t>Zyxel GS1900 Series Switches</t>
        </is>
      </c>
      <c r="I92" s="53" t="inlineStr">
        <is>
          <t>NIST CSF 2.0: PR.PS-04 | NIST 800-53: SI-2, RA-5 | CIS Control 12</t>
        </is>
      </c>
      <c r="J92" s="53" t="inlineStr">
        <is>
          <t>SI — System Integrity</t>
        </is>
      </c>
      <c r="K92" s="52" t="n">
        <v>4</v>
      </c>
      <c r="L92" s="52" t="n">
        <v>4</v>
      </c>
      <c r="M92" s="52">
        <f>K92*L92</f>
        <v/>
      </c>
      <c r="N92" s="52" t="inlineStr">
        <is>
          <t>High</t>
        </is>
      </c>
      <c r="O92" s="52" t="inlineStr">
        <is>
          <t>High</t>
        </is>
      </c>
      <c r="P92" s="53" t="inlineStr">
        <is>
          <t>LAN-adjacent attack vector (not internet-facing) reduces default exposure, but public nation-state attribution elevates governance concern for any organization using this switch line</t>
        </is>
      </c>
      <c r="Q92" s="52" t="inlineStr">
        <is>
          <t>Medium</t>
        </is>
      </c>
      <c r="R92" s="53" t="inlineStr">
        <is>
          <t>Apply Zyxel's September 2026 firmware advisory patch; restrict switch management-interface access to an isolated management VLAN</t>
        </is>
      </c>
      <c r="S92" s="52" t="inlineStr">
        <is>
          <t>CIS Control 12.2 — Establish and Maintain a Secure Network Architecture</t>
        </is>
      </c>
      <c r="T92" s="53" t="inlineStr">
        <is>
          <t>Blaise Kingko</t>
        </is>
      </c>
      <c r="U92" s="52" t="inlineStr">
        <is>
          <t>Open — Register-Only</t>
        </is>
      </c>
      <c r="V92" s="52" t="inlineStr">
        <is>
          <t>2026-09-24</t>
        </is>
      </c>
      <c r="W92" s="52" t="inlineStr">
        <is>
          <t>2026-09-28</t>
        </is>
      </c>
      <c r="X92" s="53" t="inlineStr">
        <is>
          <t>CVSS 8.8 High (nFlo/CISA). Publicly attributed to Chinese state-linked actors per SecurityWeek/The Hacker News reporting (2026-09-22) — threat-actor attribution logged for governance awareness despite narrow entry-level-switch product footprint; no full bundle per device-class/footprint precedent.</t>
        </is>
      </c>
    </row>
    <row r="93">
      <c r="A93" s="52" t="inlineStr">
        <is>
          <t>RR-089</t>
        </is>
      </c>
      <c r="B93" s="53" t="inlineStr">
        <is>
          <t>2026-09-22</t>
        </is>
      </c>
      <c r="C93" s="53" t="inlineStr">
        <is>
          <t>Vendor Disclosure (Vercel/Next.js GHSA)</t>
        </is>
      </c>
      <c r="D93" s="53" t="inlineStr">
        <is>
          <t>CVE-2026-94545</t>
        </is>
      </c>
      <c r="E93" s="53" t="inlineStr">
        <is>
          <t>Next.js next/og ImageResponse remote code execution via an upstream dependency when untrusted input is rendered into a generated image</t>
        </is>
      </c>
      <c r="F93" s="52" t="inlineStr">
        <is>
          <t>Cloud-Security</t>
        </is>
      </c>
      <c r="G93" s="53" t="inlineStr">
        <is>
          <t>Web Application Framework / Serverless Rendering</t>
        </is>
      </c>
      <c r="H93" s="53" t="inlineStr">
        <is>
          <t>Next.js 15.x &lt; 15.5.26; 16.x &lt; 16.3.6</t>
        </is>
      </c>
      <c r="I93" s="53" t="inlineStr">
        <is>
          <t>NIST CSF 2.0: PR.PS-06 | NIST 800-53: SI-10, RA-5 | CIS Control 16</t>
        </is>
      </c>
      <c r="J93" s="53" t="inlineStr">
        <is>
          <t>SI — System Integrity</t>
        </is>
      </c>
      <c r="K93" s="52" t="n">
        <v>3</v>
      </c>
      <c r="L93" s="52" t="n">
        <v>4</v>
      </c>
      <c r="M93" s="52">
        <f>K93*L93</f>
        <v/>
      </c>
      <c r="N93" s="52" t="inlineStr">
        <is>
          <t>High</t>
        </is>
      </c>
      <c r="O93" s="52" t="inlineStr">
        <is>
          <t>High</t>
        </is>
      </c>
      <c r="P93" s="53" t="inlineStr">
        <is>
          <t>Conditional on the application passing untrusted input (text or a fetched image) into ImageResponse; apps that only render trusted content are not affected per Vercel's own advisory</t>
        </is>
      </c>
      <c r="Q93" s="52" t="inlineStr">
        <is>
          <t>Medium-High</t>
        </is>
      </c>
      <c r="R93" s="53" t="inlineStr">
        <is>
          <t>Upgrade Next.js to 15.5.26 or 16.3.6 immediately; until upgraded, do not pass untrusted input into ImageResponse (escape as XML or exclude it entirely); audit any public deploy previews/branch deploys, which may remain vulnerable until deleted</t>
        </is>
      </c>
      <c r="S93" s="52" t="inlineStr">
        <is>
          <t>CIS Control 16.1 — Establish and Maintain a Secure Application Development Process</t>
        </is>
      </c>
      <c r="T93" s="53" t="inlineStr">
        <is>
          <t>Blaise Kingko</t>
        </is>
      </c>
      <c r="U93" s="52" t="inlineStr">
        <is>
          <t>Open — Register-Only</t>
        </is>
      </c>
      <c r="V93" s="52" t="inlineStr">
        <is>
          <t>2026-10-05</t>
        </is>
      </c>
      <c r="W93" s="52" t="inlineStr">
        <is>
          <t>2026-09-28</t>
        </is>
      </c>
      <c r="X93" s="53" t="inlineStr">
        <is>
          <t>SUPPLEMENTAL ENTRY — added after the initial 2026-09-28 sweep, sourced from a supplementary news log (see Version Log v13 note). Critical per Vercel/Next.js's own GHSA-vcvr-r3jv-pc5j advisory; no confirmed active exploitation identified in sources reviewed, hence Likelihood scored below this week's confirmed-actively-exploited findings despite the vendor's own "Critical" label. Conditional precondition (untrusted input into ImageResponse) narrows real-world reach, similar to this week's WordPress Core RFI entry (RR-087).</t>
        </is>
      </c>
    </row>
    <row r="94">
      <c r="A94" s="52" t="inlineStr">
        <is>
          <t>RR-090</t>
        </is>
      </c>
      <c r="B94" s="53" t="inlineStr">
        <is>
          <t>2026-09-21</t>
        </is>
      </c>
      <c r="C94" s="53" t="inlineStr">
        <is>
          <t>CCCS Advisory / Open-Source Reporting</t>
        </is>
      </c>
      <c r="D94" s="53" t="inlineStr">
        <is>
          <t>CVE-2026-48842</t>
        </is>
      </c>
      <c r="E94" s="53" t="inlineStr">
        <is>
          <t>Roundcube Webmail pre-authentication SQL injection in the virtuser_query plugin (backslash-escaping bypass), patched in May 2026, now confirmed under active exploitation</t>
        </is>
      </c>
      <c r="F94" s="52" t="inlineStr">
        <is>
          <t>IT-OT-Threats</t>
        </is>
      </c>
      <c r="G94" s="53" t="inlineStr">
        <is>
          <t>Webmail / Messaging Server</t>
        </is>
      </c>
      <c r="H94" s="53" t="inlineStr">
        <is>
          <t>Roundcube Webmail 1.6.x &lt; 1.6.16; 1.7.x &lt; 1.7.1 (with virtuser_query plugin enabled)</t>
        </is>
      </c>
      <c r="I94" s="53" t="inlineStr">
        <is>
          <t>NIST CSF 2.0: DE.CM-01, PR.DS-01 | NIST 800-53: SI-2, SI-10, SC-28 | CIS Control 16</t>
        </is>
      </c>
      <c r="J94" s="53" t="inlineStr">
        <is>
          <t>SI — System Integrity</t>
        </is>
      </c>
      <c r="K94" s="52" t="n">
        <v>5</v>
      </c>
      <c r="L94" s="52" t="n">
        <v>4</v>
      </c>
      <c r="M94" s="52">
        <f>K94*L94</f>
        <v/>
      </c>
      <c r="N94" s="52" t="inlineStr">
        <is>
          <t>Critical</t>
        </is>
      </c>
      <c r="O94" s="52" t="inlineStr">
        <is>
          <t>Critical</t>
        </is>
      </c>
      <c r="P94" s="53" t="inlineStr">
        <is>
          <t>Vulnerability was patched in the May 2026 release; risk here is entirely deployments that have not yet updated more than four months later</t>
        </is>
      </c>
      <c r="Q94" s="52" t="inlineStr">
        <is>
          <t>High</t>
        </is>
      </c>
      <c r="R94" s="53" t="inlineStr">
        <is>
          <t>Confirm Roundcube is running 1.6.16/1.7.1 or later immediately; if the virtuser_query plugin is not required, disable it as a compensating control (not a substitute for patching); review mail-server logs for anomalous backslash/SQL-pattern requests given no reliable IOC currently exists for prior exploitation</t>
        </is>
      </c>
      <c r="S94" s="52" t="inlineStr">
        <is>
          <t>CIS Control 16.1 — Establish and Maintain a Secure Application Development Process</t>
        </is>
      </c>
      <c r="T94" s="53" t="inlineStr">
        <is>
          <t>Blaise Kingko</t>
        </is>
      </c>
      <c r="U94" s="52" t="inlineStr">
        <is>
          <t>Open — Register-Only</t>
        </is>
      </c>
      <c r="V94" s="52" t="inlineStr">
        <is>
          <t>2026-10-05</t>
        </is>
      </c>
      <c r="W94" s="52" t="inlineStr">
        <is>
          <t>2026-09-28</t>
        </is>
      </c>
      <c r="X94" s="53" t="inlineStr">
        <is>
          <t>SUPPLEMENTAL ENTRY — added after the initial 2026-09-28 sweep, sourced from a supplementary news log (see Version Log v13 note). CVSS 8.1. Unauthenticated, pre-auth SQLi with direct database access (mailbox credentials, stored messages). Canadian Centre for Cyber Security advisory (AV26-503, 2026-09-21) cited open-source reporting of active exploitation; not confirmed added to CISA's KEV catalog as of this entry — source labeled accordingly rather than as "CISA KEV." Roundcube has a documented history of repeated targeting, including a China-nexus actor (UNK_MassTraction, reported by Proofpoint) exploiting prior Roundcube CVEs for web-shell/VShell deployment. Given the CVSS/exploitation profile, this is a reasonable candidate for a full case-study bundle if deeper coverage is warranted — flagged for that judgment call rather than decided unilaterally in this supplemental pass.</t>
        </is>
      </c>
    </row>
    <row r="95">
      <c r="A95" s="52" t="inlineStr">
        <is>
          <t>RR-091</t>
        </is>
      </c>
      <c r="B95" s="53" t="inlineStr">
        <is>
          <t>2026-08-05</t>
        </is>
      </c>
      <c r="C95" s="53" t="inlineStr">
        <is>
          <t>CISA KEV (original) / CISA Advisory Update</t>
        </is>
      </c>
      <c r="D95" s="53" t="inlineStr">
        <is>
          <t>CVE-2026-63077</t>
        </is>
      </c>
      <c r="E95" s="53" t="inlineStr">
        <is>
          <t>JetBrains TeamCity On-Premises authentication-bypass-to-RCE via the agent polling protocol (patched July 2026, KEV-listed August 2026); CISA updated its KEV catalog entry this week to flag confirmed use in ransomware campaigns</t>
        </is>
      </c>
      <c r="F95" s="52" t="inlineStr">
        <is>
          <t>Cloud-Security</t>
        </is>
      </c>
      <c r="G95" s="53" t="inlineStr">
        <is>
          <t>CI/CD Platform</t>
        </is>
      </c>
      <c r="H95" s="53" t="inlineStr">
        <is>
          <t>TeamCity On-Premises versions before 2025.11.7 and before 2026.1.3</t>
        </is>
      </c>
      <c r="I95" s="53" t="inlineStr">
        <is>
          <t>NIST CSF 2.0: PR.PS-06, DE.CM-01 | NIST 800-53: SI-10, IA-2, CM-6 | CIS Control 16</t>
        </is>
      </c>
      <c r="J95" s="53" t="inlineStr">
        <is>
          <t>SI — System Integrity</t>
        </is>
      </c>
      <c r="K95" s="52" t="n">
        <v>5</v>
      </c>
      <c r="L95" s="52" t="n">
        <v>5</v>
      </c>
      <c r="M95" s="52">
        <f>K95*L95</f>
        <v/>
      </c>
      <c r="N95" s="52" t="inlineStr">
        <is>
          <t>Critical</t>
        </is>
      </c>
      <c r="O95" s="52" t="inlineStr">
        <is>
          <t>Critical</t>
        </is>
      </c>
      <c r="P95" s="53" t="inlineStr">
        <is>
          <t>Vendor patch has been available since July 2026; ~160 internet-exposed unpatched servers remained as of late September per Shadowserver, down from an initial ~700</t>
        </is>
      </c>
      <c r="Q95" s="52" t="inlineStr">
        <is>
          <t>High</t>
        </is>
      </c>
      <c r="R95" s="53" t="inlineStr">
        <is>
          <t>Confirm all internet-exposed TeamCity On-Premises instances are on 2025.11.7 / 2026.1.3 or later immediately; treat any unpatched, internet-exposed instance as a probable ransomware target, not a theoretical one; review build-pipeline integrity and stored credentials for signs of prior compromise given the multi-month exposure window</t>
        </is>
      </c>
      <c r="S95" s="52" t="inlineStr">
        <is>
          <t>CIS Control 16.1 — Establish and Maintain a Secure Application Development Process</t>
        </is>
      </c>
      <c r="T95" s="53" t="inlineStr">
        <is>
          <t>Blaise Kingko</t>
        </is>
      </c>
      <c r="U95" s="52" t="inlineStr">
        <is>
          <t>Open — Register-Only (Retroactive Catch-Up)</t>
        </is>
      </c>
      <c r="V95" s="52" t="inlineStr">
        <is>
          <t>2026-08-08</t>
        </is>
      </c>
      <c r="W95" s="52" t="inlineStr">
        <is>
          <t>2026-09-28</t>
        </is>
      </c>
      <c r="X95" s="53" t="inlineStr">
        <is>
          <t>SUPPLEMENTAL ENTRY — added after the initial 2026-09-28 sweep, sourced from a supplementary news log (see Version Log v13 note). PROGRAM GAP IDENTIFIED: this CVE was added to CISA KEV on 2026-08-05 (within the 2026-08-03–2026-08-10 report window, v9) but does not appear in this program's v9 register additions (RR-045–RR-050) — it was missed at the time, not deliberately screened out; logged now rather than left permanently unswept, consistent with this program's no-silent-drop principle, dated to this week's genuinely new information (the 2026-09-24 CISA update flagging ransomware-campaign use) rather than backdated to August. CVSS 9.8 (multiple trackers). Recommend treating this as a signal to spot-check other August/September weeks for similar gaps, not just this one CVE.</t>
        </is>
      </c>
    </row>
    <row r="96">
      <c r="A96" s="52" t="inlineStr">
        <is>
          <t>RR-092</t>
        </is>
      </c>
      <c r="B96" s="53" t="inlineStr">
        <is>
          <t>2026-09-25</t>
        </is>
      </c>
      <c r="C96" s="53" t="inlineStr">
        <is>
          <t>Vendor Advisory / Law Enforcement Threat Intelligence (Non-CVE)</t>
        </is>
      </c>
      <c r="D96" s="53" t="inlineStr">
        <is>
          <t>N/A — Kiteworks Precautionary Shutdown Advisory</t>
        </is>
      </c>
      <c r="E96" s="53" t="inlineStr">
        <is>
          <t>Kiteworks (secure managed file-transfer platform) urged all customers worldwide to shut down servers for a 6-9 hour window over the 2026-09-26 weekend, citing credible threat intelligence from federal law-enforcement authorities of a possible imminent attack; company states no confirmed compromise and all known vulnerabilities are patched in the current release (9.5.1)</t>
        </is>
      </c>
      <c r="F96" s="52" t="inlineStr">
        <is>
          <t>IT-OT-Threats</t>
        </is>
      </c>
      <c r="G96" s="53" t="inlineStr">
        <is>
          <t>Managed File Transfer / Secure Communications Platform</t>
        </is>
      </c>
      <c r="H96" s="53" t="inlineStr">
        <is>
          <t>Kiteworks (all deployment models; current release 9.5.1 stated as fully patched)</t>
        </is>
      </c>
      <c r="I96" s="53" t="inlineStr">
        <is>
          <t>NIST CSF 2.0: GV.OC-01, RS.CO-01 | NIST 800-53: IR-4, IR-6 | CIS Control 17</t>
        </is>
      </c>
      <c r="J96" s="53" t="inlineStr">
        <is>
          <t>GV — Governance / Incident Response Coordination</t>
        </is>
      </c>
      <c r="K96" s="52" t="n">
        <v>2</v>
      </c>
      <c r="L96" s="52" t="n">
        <v>4</v>
      </c>
      <c r="M96" s="52">
        <f>K96*L96</f>
        <v/>
      </c>
      <c r="N96" s="52" t="inlineStr">
        <is>
          <t>Medium</t>
        </is>
      </c>
      <c r="O96" s="52" t="inlineStr">
        <is>
          <t>Medium</t>
        </is>
      </c>
      <c r="P96" s="53" t="inlineStr">
        <is>
          <t>No confirmed vulnerability or breach as of this entry; precautionary action taken directly on law-enforcement guidance</t>
        </is>
      </c>
      <c r="Q96" s="52" t="inlineStr">
        <is>
          <t>Low-Medium</t>
        </is>
      </c>
      <c r="R96" s="53" t="inlineStr">
        <is>
          <t>No confirmed action required against a specific vulnerability; if your organization runs Kiteworks, confirm the instance is on 9.5.1, and treat any late-September/early-October anomalous activity on the platform as higher-priority for review given the advisory</t>
        </is>
      </c>
      <c r="S96" s="52" t="inlineStr">
        <is>
          <t>CIS Control 17 — Incident Response Management</t>
        </is>
      </c>
      <c r="T96" s="53" t="inlineStr">
        <is>
          <t>Blaise Kingko</t>
        </is>
      </c>
      <c r="U96" s="52" t="inlineStr">
        <is>
          <t>Open — Register-Only (Governance)</t>
        </is>
      </c>
      <c r="V96" s="52" t="inlineStr">
        <is>
          <t>N/A</t>
        </is>
      </c>
      <c r="W96" s="52" t="inlineStr">
        <is>
          <t>2026-09-28</t>
        </is>
      </c>
      <c r="X96" s="53" t="inlineStr">
        <is>
          <t>SUPPLEMENTAL ENTRY — added after the initial 2026-09-28 sweep, sourced from a supplementary news log (see Version Log v13 note). Non-CVE governance/threat-intelligence item, logged per this program's precedent for non-technical disclosure items (cf. RR-077, RR-078). Managed file-transfer platforms are a recurring ransomware-gang target class (Clop's history with Accellion FTA, GoAnywhere MFT, SolarWinds Serv-U, Cleo, and MOVEit Transfer is the direct precedent cited in reporting) — flagged for governance awareness and vendor-risk-register visibility rather than as an active technical finding.</t>
        </is>
      </c>
    </row>
    <row r="97">
      <c r="A97" s="52" t="inlineStr">
        <is>
          <t>RR-093</t>
        </is>
      </c>
      <c r="B97" s="53" t="inlineStr">
        <is>
          <t>2026-10-01</t>
        </is>
      </c>
      <c r="C97" s="53" t="inlineStr">
        <is>
          <t>CISA KEV</t>
        </is>
      </c>
      <c r="D97" s="53" t="inlineStr">
        <is>
          <t>CVE-2026-104286</t>
        </is>
      </c>
      <c r="E97" s="53" t="inlineStr">
        <is>
          <t>Fortinet FortiMail unauthenticated path traversal with NULL-byte handling enabling arbitrary file write; actively exploited to plant password-free backdoor access; no vendor patch currently available</t>
        </is>
      </c>
      <c r="F97" s="52" t="inlineStr">
        <is>
          <t>IT-OT-Threats</t>
        </is>
      </c>
      <c r="G97" s="53" t="inlineStr">
        <is>
          <t>Email Security Gateway</t>
        </is>
      </c>
      <c r="H97" s="53" t="inlineStr">
        <is>
          <t>Fortinet FortiMail (8.0.0-8.0.1, 7.6.0-7.6.6, 7.4.0-7.4.8, 7.2.x)</t>
        </is>
      </c>
      <c r="I97" s="53" t="inlineStr">
        <is>
          <t>NIST CSF 2.0: PR.PS-06, DE.CM-01 | NIST 800-53: SI-10, SI-2, SC-7 | ISO 27001: A.8.8, A.8.26 | CIS Control 16</t>
        </is>
      </c>
      <c r="J97" s="53" t="inlineStr">
        <is>
          <t>SI — System Integrity</t>
        </is>
      </c>
      <c r="K97" s="52" t="n">
        <v>5</v>
      </c>
      <c r="L97" s="52" t="n">
        <v>5</v>
      </c>
      <c r="M97" s="52">
        <f>K97*L97</f>
        <v/>
      </c>
      <c r="N97" s="52" t="inlineStr">
        <is>
          <t>Critical</t>
        </is>
      </c>
      <c r="O97" s="52" t="inlineStr">
        <is>
          <t>Critical</t>
        </is>
      </c>
      <c r="P97" s="53" t="inlineStr">
        <is>
          <t>None, vulnerability is in the gateway's own HTTP request handling; standard perimeter controls do not mitigate</t>
        </is>
      </c>
      <c r="Q97" s="52" t="inlineStr">
        <is>
          <t>High</t>
        </is>
      </c>
      <c r="R97" s="53" t="inlineStr">
        <is>
          <t>Disable Identity-Based Encryption (IBE) support via CLI and remove FortiMail management interface from direct internet exposure immediately; apply vendor patch (8.0.2/7.6.7/7.4.9) once released</t>
        </is>
      </c>
      <c r="S97" s="52" t="inlineStr">
        <is>
          <t>CIS Control 16.1 — Establish and Maintain a Secure Application Development Process</t>
        </is>
      </c>
      <c r="T97" s="53" t="inlineStr">
        <is>
          <t>Blaise Kingko</t>
        </is>
      </c>
      <c r="U97" s="52" t="inlineStr">
        <is>
          <t>Open — Emergency</t>
        </is>
      </c>
      <c r="V97" s="52" t="inlineStr">
        <is>
          <t>2026-10-04</t>
        </is>
      </c>
      <c r="W97" s="52" t="inlineStr">
        <is>
          <t>2026-10-05</t>
        </is>
      </c>
      <c r="X97" s="53" t="inlineStr">
        <is>
          <t>CVSS 9.8. No vendor patch available at time of this entry, fixed builds (8.0.2/7.6.7/7.4.9) listed as upcoming only; workaround is the only current control. Full case-study bundle published.</t>
        </is>
      </c>
    </row>
    <row r="98">
      <c r="A98" s="52" t="inlineStr">
        <is>
          <t>RR-094</t>
        </is>
      </c>
      <c r="B98" s="53" t="inlineStr">
        <is>
          <t>2026-09-30</t>
        </is>
      </c>
      <c r="C98" s="53" t="inlineStr">
        <is>
          <t>CISA KEV</t>
        </is>
      </c>
      <c r="D98" s="53" t="inlineStr">
        <is>
          <t>CVE-2026-76504</t>
        </is>
      </c>
      <c r="E98" s="53" t="inlineStr">
        <is>
          <t>Cisco Catalyst SD-WAN Manager hex-encoding authentication bypass granting an unauthenticated attacker admin-level access; discovered via active real-world exploitation during a TAC support case</t>
        </is>
      </c>
      <c r="F98" s="52" t="inlineStr">
        <is>
          <t>IT-OT-Threats</t>
        </is>
      </c>
      <c r="G98" s="53" t="inlineStr">
        <is>
          <t>SD-WAN Management Plane</t>
        </is>
      </c>
      <c r="H98" s="53" t="inlineStr">
        <is>
          <t>Cisco Catalyst SD-WAN Manager (vManage), releases prior to first fixed build per train</t>
        </is>
      </c>
      <c r="I98" s="53" t="inlineStr">
        <is>
          <t>NIST CSF 2.0: PR.AA-05, DE.CM-01 | NIST 800-53: IA-2, SI-10, AC-3 | ISO 27001: A.8.5, A.8.26 | CIS Control 6</t>
        </is>
      </c>
      <c r="J98" s="53" t="inlineStr">
        <is>
          <t>AC — Access Control</t>
        </is>
      </c>
      <c r="K98" s="52" t="n">
        <v>5</v>
      </c>
      <c r="L98" s="52" t="n">
        <v>5</v>
      </c>
      <c r="M98" s="52">
        <f>K98*L98</f>
        <v/>
      </c>
      <c r="N98" s="52" t="inlineStr">
        <is>
          <t>Critical</t>
        </is>
      </c>
      <c r="O98" s="52" t="inlineStr">
        <is>
          <t>Critical</t>
        </is>
      </c>
      <c r="P98" s="53" t="inlineStr">
        <is>
          <t>Standard network segmentation protects edge devices but not the Manager's own authentication logic, which is the component bypassed</t>
        </is>
      </c>
      <c r="Q98" s="52" t="inlineStr">
        <is>
          <t>Low-Medium</t>
        </is>
      </c>
      <c r="R98" s="53" t="inlineStr">
        <is>
          <t>Upgrade to first fixed release per train (20.9.10.1 / 20.12.8.2 / 20.15.6.1 / 20.18.4.1 / 26.1.2.1 / 26.2.1); no workaround exists; collect admin-tech files before upgrading and open Cisco TAC case for compromise scanning</t>
        </is>
      </c>
      <c r="S98" s="52" t="inlineStr">
        <is>
          <t>CIS Control 6.1 — Establish an Access Granting Process</t>
        </is>
      </c>
      <c r="T98" s="53" t="inlineStr">
        <is>
          <t>Blaise Kingko</t>
        </is>
      </c>
      <c r="U98" s="52" t="inlineStr">
        <is>
          <t>Open — Emergency</t>
        </is>
      </c>
      <c r="V98" s="52" t="inlineStr">
        <is>
          <t>2026-10-03</t>
        </is>
      </c>
      <c r="W98" s="52" t="inlineStr">
        <is>
          <t>2026-10-05</t>
        </is>
      </c>
      <c r="X98" s="53" t="inlineStr">
        <is>
          <t>CVSS 9.8. Discovered by Cisco PSIRT via an active TAC support case, meaning exploitation preceded public disclosure. Recurring Cisco SD-WAN finding pattern logged by this program since June 2026. Full case-study bundle published.</t>
        </is>
      </c>
    </row>
    <row r="99">
      <c r="A99" s="52" t="inlineStr">
        <is>
          <t>RR-095</t>
        </is>
      </c>
      <c r="B99" s="53" t="inlineStr">
        <is>
          <t>2026-09-25</t>
        </is>
      </c>
      <c r="C99" s="53" t="inlineStr">
        <is>
          <t>Vendor Advisory (Microsoft Security Blog) / Confirmed Incident Report</t>
        </is>
      </c>
      <c r="D99" s="53" t="inlineStr">
        <is>
          <t>N/A — Storm-3168 (JADEPUFFER) Agentic Cloud Attack</t>
        </is>
      </c>
      <c r="E99" s="53" t="inlineStr">
        <is>
          <t>Threat actor used one exposed Azure service-principal credential to enumerate and mass-delete cloud resources (storage, Key Vault, Function Apps, App Service) in approximately 7 minutes, including deliberate sabotage of backup/recovery locks, in a pattern Microsoft attributes to AI-orchestrated/agentic automation</t>
        </is>
      </c>
      <c r="F99" s="52" t="inlineStr">
        <is>
          <t>AI-Governance / Cloud-Security</t>
        </is>
      </c>
      <c r="G99" s="53" t="inlineStr">
        <is>
          <t>Cloud Identity &amp; Infrastructure (Service Principals, Storage, Backup/Recovery)</t>
        </is>
      </c>
      <c r="H99" s="53" t="inlineStr">
        <is>
          <t>Microsoft Azure (Storage Accounts, Key Vault, Function Apps, App Service, Site Recovery, Backup)</t>
        </is>
      </c>
      <c r="I99" s="53" t="inlineStr">
        <is>
          <t>NIST AI RMF: MAP 1.1, MANAGE 4.1 | NIST CSF 2.0: GV.OC-01, PR.AA-05, DE.CM-01 | NIST 800-53: AC-6, IR-4, CP-9, CP-10 | ISO 42001: 8.4</t>
        </is>
      </c>
      <c r="J99" s="53" t="inlineStr">
        <is>
          <t>GV — Governance / Identity &amp; Access</t>
        </is>
      </c>
      <c r="K99" s="52" t="n">
        <v>5</v>
      </c>
      <c r="L99" s="52" t="n">
        <v>5</v>
      </c>
      <c r="M99" s="52">
        <f>K99*L99</f>
        <v/>
      </c>
      <c r="N99" s="52" t="inlineStr">
        <is>
          <t>Critical</t>
        </is>
      </c>
      <c r="O99" s="52" t="inlineStr">
        <is>
          <t>Critical</t>
        </is>
      </c>
      <c r="P99" s="53" t="inlineStr">
        <is>
          <t>Azure resource locks blocked some but not all deletion attempts; no indication of least-privilege scoping or real-time anomaly alerting fast enough to intercept a ~7-minute attack window</t>
        </is>
      </c>
      <c r="Q99" s="52" t="inlineStr">
        <is>
          <t>Medium</t>
        </is>
      </c>
      <c r="R99" s="53" t="inlineStr">
        <is>
          <t>Rotate any credential ever exposed in a public repository, including via edit/version history; enforce least-privilege RBAC on service principals; extend protection locks to backup/recovery infrastructure specifically; evaluate migration to managed identities</t>
        </is>
      </c>
      <c r="S99" s="52" t="inlineStr">
        <is>
          <t>CIS Control 11.3 — Protect Recovery Data</t>
        </is>
      </c>
      <c r="T99" s="53" t="inlineStr">
        <is>
          <t>Blaise Kingko</t>
        </is>
      </c>
      <c r="U99" s="52" t="inlineStr">
        <is>
          <t>Open — Register-Only (Catch-Up)</t>
        </is>
      </c>
      <c r="V99" s="52" t="inlineStr">
        <is>
          <t>N/A</t>
        </is>
      </c>
      <c r="W99" s="52" t="inlineStr">
        <is>
          <t>2026-10-05</t>
        </is>
      </c>
      <c r="X99" s="53" t="inlineStr">
        <is>
          <t>PROGRAM GAP, Microsoft published this 2026-09-25, inside the prior run's (v13, through 2026-09-28) report window, but it was not captured at the time; logged now dated to original disclosure per this program's no-silent-drop principle (same pattern as the CVE-2026-63077 TeamCity gap logged last run). Non-CVE confirmed real-world incident, first documented AI-orchestrated/agentic destructive cloud attack this program has logged. Full case-study bundle published (dual-category: AI-Governance and Cloud-Security).</t>
        </is>
      </c>
    </row>
    <row r="100">
      <c r="A100" s="52" t="inlineStr">
        <is>
          <t>RR-096</t>
        </is>
      </c>
      <c r="B100" s="53" t="inlineStr">
        <is>
          <t>2026-10-04</t>
        </is>
      </c>
      <c r="C100" s="53" t="inlineStr">
        <is>
          <t>CISA KEV</t>
        </is>
      </c>
      <c r="D100" s="53" t="inlineStr">
        <is>
          <t>CVE-2026-88779</t>
        </is>
      </c>
      <c r="E100" s="53" t="inlineStr">
        <is>
          <t>Citrix NetScaler ADC/Gateway memory-buffer handling flaw allowing denial of service; actively exploited to crash appliances, distinct from the unauthenticated RCE chain (CVE-2026-88771/88772) already logged in this program's 2026-09-28 Citrix NetScaler case bundle</t>
        </is>
      </c>
      <c r="F100" s="52" t="inlineStr">
        <is>
          <t>IT-OT-Threats</t>
        </is>
      </c>
      <c r="G100" s="53" t="inlineStr">
        <is>
          <t>VPN / Remote Access Gateway</t>
        </is>
      </c>
      <c r="H100" s="53" t="inlineStr">
        <is>
          <t>Citrix NetScaler ADC and Gateway 14.1 (before 14.1-73.41), 13.1 (before 13.1-64.28), FIPS variants</t>
        </is>
      </c>
      <c r="I100" s="53" t="inlineStr">
        <is>
          <t>NIST CSF 2.0: DE.CM-01, RS.MI-02 | NIST 800-53: SI-2, CP-10 | CIS Control 7</t>
        </is>
      </c>
      <c r="J100" s="53" t="inlineStr">
        <is>
          <t>SI — System Integrity</t>
        </is>
      </c>
      <c r="K100" s="52" t="n">
        <v>5</v>
      </c>
      <c r="L100" s="52" t="n">
        <v>3</v>
      </c>
      <c r="M100" s="52">
        <f>K100*L100</f>
        <v/>
      </c>
      <c r="N100" s="52" t="inlineStr">
        <is>
          <t>High</t>
        </is>
      </c>
      <c r="O100" s="52" t="inlineStr">
        <is>
          <t>High</t>
        </is>
      </c>
      <c r="P100" s="53" t="inlineStr">
        <is>
          <t>Citrix Global Deny List signatures block known malicious IPs pending patch; exploitation limited to SAML+Gateway/AAA configurations</t>
        </is>
      </c>
      <c r="Q100" s="52" t="inlineStr">
        <is>
          <t>Medium</t>
        </is>
      </c>
      <c r="R100" s="53" t="inlineStr">
        <is>
          <t>Apply Citrix-provided Global Deny List signatures immediately; upgrade to patched build when available; verify SAML+Gateway/AAA configuration exposure</t>
        </is>
      </c>
      <c r="S100" s="52" t="inlineStr">
        <is>
          <t>CIS Control 7.4 — Vulnerability Remediation Process</t>
        </is>
      </c>
      <c r="T100" s="53" t="inlineStr">
        <is>
          <t>Blaise Kingko</t>
        </is>
      </c>
      <c r="U100" s="52" t="inlineStr">
        <is>
          <t>Open — Register-Only</t>
        </is>
      </c>
      <c r="V100" s="52" t="inlineStr">
        <is>
          <t>2026-10-07</t>
        </is>
      </c>
      <c r="W100" s="52" t="inlineStr">
        <is>
          <t>2026-10-05</t>
        </is>
      </c>
      <c r="X100" s="53" t="inlineStr">
        <is>
          <t>CVSS not published in available sources at time of this entry. Denial-of-service impact only (no confirmed code execution); companion to the already-bundled 2026-09-CISA-KEV-Citrix-NetScaler-ZeroDayRCE case, no separate full bundle built per this program's precedent of not duplicating bundles for companion CVEs on an already-covered incident. Exploitation limited to on-premises deployments configured with SAML authentication combined with Gateway or AAA functionality.</t>
        </is>
      </c>
    </row>
    <row r="101">
      <c r="A101" s="52" t="inlineStr">
        <is>
          <t>RR-097</t>
        </is>
      </c>
      <c r="B101" s="53" t="inlineStr">
        <is>
          <t>2026-09-29</t>
        </is>
      </c>
      <c r="C101" s="53" t="inlineStr">
        <is>
          <t>CISA KEV</t>
        </is>
      </c>
      <c r="D101" s="53" t="inlineStr">
        <is>
          <t>CVE-2026-86950</t>
        </is>
      </c>
      <c r="E101" s="53" t="inlineStr">
        <is>
          <t>Apple CoreGraphics out-of-bounds write vulnerability in iOS, iPadOS, and macOS exploited in a targeted, "extremely sophisticated" attack per Meta's threat intelligence team; may lead to arbitrary code execution</t>
        </is>
      </c>
      <c r="F101" s="52" t="inlineStr">
        <is>
          <t>IT-OT-Threats</t>
        </is>
      </c>
      <c r="G101" s="53" t="inlineStr">
        <is>
          <t>Mobile / Endpoint Device (BYOD and corporate-managed fleets)</t>
        </is>
      </c>
      <c r="H101" s="53" t="inlineStr">
        <is>
          <t>Apple iOS, iPadOS, macOS (CoreGraphics component)</t>
        </is>
      </c>
      <c r="I101" s="53" t="inlineStr">
        <is>
          <t>NIST CSF 2.0: PR.PS-04, DE.CM-01 | NIST 800-53: SI-2, RA-5 | CIS Control 7</t>
        </is>
      </c>
      <c r="J101" s="53" t="inlineStr">
        <is>
          <t>SI — System Integrity</t>
        </is>
      </c>
      <c r="K101" s="52" t="n">
        <v>4</v>
      </c>
      <c r="L101" s="52" t="n">
        <v>4</v>
      </c>
      <c r="M101" s="52">
        <f>K101*L101</f>
        <v/>
      </c>
      <c r="N101" s="52" t="inlineStr">
        <is>
          <t>High</t>
        </is>
      </c>
      <c r="O101" s="52" t="inlineStr">
        <is>
          <t>High</t>
        </is>
      </c>
      <c r="P101" s="53" t="inlineStr">
        <is>
          <t>MDM-enforced update policies mitigate exposure for managed device fleets; narrower exposure reduction for unmanaged BYOD devices</t>
        </is>
      </c>
      <c r="Q101" s="52" t="inlineStr">
        <is>
          <t>Medium</t>
        </is>
      </c>
      <c r="R101" s="53" t="inlineStr">
        <is>
          <t>Apply Apple's security updates immediately across all managed iOS/iPadOS/macOS fleets; for organizations without enforced MDM update policies, prioritize this as evidence for mandating one</t>
        </is>
      </c>
      <c r="S101" s="52" t="inlineStr">
        <is>
          <t>CIS Control 7.4 — Vulnerability Remediation Process</t>
        </is>
      </c>
      <c r="T101" s="53" t="inlineStr">
        <is>
          <t>Blaise Kingko</t>
        </is>
      </c>
      <c r="U101" s="52" t="inlineStr">
        <is>
          <t>Open — Register-Only</t>
        </is>
      </c>
      <c r="V101" s="52" t="inlineStr">
        <is>
          <t>2026-10-02</t>
        </is>
      </c>
      <c r="W101" s="52" t="inlineStr">
        <is>
          <t>2026-10-05</t>
        </is>
      </c>
      <c r="X101" s="53" t="inlineStr">
        <is>
          <t>CISA KEV due date (2026-10-02) has elapsed as of this entry. Confirmed exploitation reported narrowly targeted (per Meta/SecurityWeek reporting of a sophisticated, likely mercenary-spyware-class attack) rather than broad opportunistic exploitation, Likelihood scored 4 rather than 5 to reflect the narrower, targeted nature relative to this week's broadly-exploited infrastructure CVEs, consistent with this program's practice of documenting rating judgment calls. No full bundle built given narrow-targeting/consumer-endpoint footprint relative to this week's unauthenticated infrastructure RCEs, consistent with prior narrow-footprint precedent (cf. RR-050, RR-085).</t>
        </is>
      </c>
    </row>
    <row r="102">
      <c r="A102" s="52" t="inlineStr">
        <is>
          <t>RR-098</t>
        </is>
      </c>
      <c r="B102" s="53" t="inlineStr">
        <is>
          <t>2026-10-02</t>
        </is>
      </c>
      <c r="C102" s="53" t="inlineStr">
        <is>
          <t>CISA KEV</t>
        </is>
      </c>
      <c r="D102" s="53" t="inlineStr">
        <is>
          <t>CVE-2026-102489 / CVE-2026-102490</t>
        </is>
      </c>
      <c r="E102" s="53" t="inlineStr">
        <is>
          <t>Zammad helpdesk platform session-fixation vulnerability enabling remote code execution as the zammad user, chainable with a local privilege-escalation flaw to reach root; both added to CISA KEV the same day following confirmed active exploitation</t>
        </is>
      </c>
      <c r="F102" s="52" t="inlineStr">
        <is>
          <t>IT-OT-Threats</t>
        </is>
      </c>
      <c r="G102" s="53" t="inlineStr">
        <is>
          <t>IT Service Management / Helpdesk Platform</t>
        </is>
      </c>
      <c r="H102" s="53" t="inlineStr">
        <is>
          <t>Zammad (version range per vendor advisory at zammad.com/en/product/releases)</t>
        </is>
      </c>
      <c r="I102" s="53" t="inlineStr">
        <is>
          <t>NIST CSF 2.0: PR.PS-06, DE.CM-01 | NIST 800-53: SI-10, AC-6 | CIS Control 16</t>
        </is>
      </c>
      <c r="J102" s="53" t="inlineStr">
        <is>
          <t>SI — System Integrity</t>
        </is>
      </c>
      <c r="K102" s="52" t="n">
        <v>5</v>
      </c>
      <c r="L102" s="52" t="n">
        <v>5</v>
      </c>
      <c r="M102" s="52">
        <f>K102*L102</f>
        <v/>
      </c>
      <c r="N102" s="52" t="inlineStr">
        <is>
          <t>Critical</t>
        </is>
      </c>
      <c r="O102" s="52" t="inlineStr">
        <is>
          <t>Critical</t>
        </is>
      </c>
      <c r="P102" s="53" t="inlineStr">
        <is>
          <t>None confirmed, chain achieves unauthenticated-to-root compromise where exploitable</t>
        </is>
      </c>
      <c r="Q102" s="52" t="inlineStr">
        <is>
          <t>High</t>
        </is>
      </c>
      <c r="R102" s="53" t="inlineStr">
        <is>
          <t>Apply Zammad's patched release per vendor advisory immediately; audit for signs of prior exploitation (unexpected root-level processes or new privileged accounts)</t>
        </is>
      </c>
      <c r="S102" s="52" t="inlineStr">
        <is>
          <t>CIS Control 16.1 — Establish and Maintain a Secure Application Development Process</t>
        </is>
      </c>
      <c r="T102" s="53" t="inlineStr">
        <is>
          <t>Blaise Kingko</t>
        </is>
      </c>
      <c r="U102" s="52" t="inlineStr">
        <is>
          <t>Open — Register-Only</t>
        </is>
      </c>
      <c r="V102" s="52" t="inlineStr">
        <is>
          <t>2026-10-05</t>
        </is>
      </c>
      <c r="W102" s="52" t="inlineStr">
        <is>
          <t>2026-10-05</t>
        </is>
      </c>
      <c r="X102" s="53" t="inlineStr">
        <is>
          <t>Two-CVE chain (session fixation to RCE, then local privilege escalation to root) tracked as one combined entry. Public reporting frames this as a case study in machine-speed intrusion following initial access. No full bundle built given narrower ITSM-platform footprint relative to this week's broader infrastructure findings (Fortinet, Cisco), consistent with narrow-footprint precedent.</t>
        </is>
      </c>
    </row>
    <row r="103">
      <c r="A103" s="52" t="inlineStr">
        <is>
          <t>RR-099</t>
        </is>
      </c>
      <c r="B103" s="53" t="inlineStr">
        <is>
          <t>2026-09-29</t>
        </is>
      </c>
      <c r="C103" s="53" t="inlineStr">
        <is>
          <t>Vendor/Security Researcher Reporting (Non-CVE)</t>
        </is>
      </c>
      <c r="D103" s="53" t="inlineStr">
        <is>
          <t>N/A — Malicious ChatGPT Custom GPT / ClickFix Campaign</t>
        </is>
      </c>
      <c r="E103" s="53" t="inlineStr">
        <is>
          <t>Threat actors used sponsored search ads and malicious Custom GPTs on chatgpt.com to lure users into a ClickFix social-engineering flow that delivers RAT malware via PowerShell on Windows</t>
        </is>
      </c>
      <c r="F103" s="52" t="inlineStr">
        <is>
          <t>AI-Governance</t>
        </is>
      </c>
      <c r="G103" s="53" t="inlineStr">
        <is>
          <t>AI Platform / End-User Endpoint</t>
        </is>
      </c>
      <c r="H103" s="53" t="inlineStr">
        <is>
          <t>OpenAI ChatGPT Custom GPTs platform; victim Windows endpoints</t>
        </is>
      </c>
      <c r="I103" s="53" t="inlineStr">
        <is>
          <t>NIST AI RMF: GOVERN 1.2, MAP 1.1 | NIST CSF 2.0: PR.AT-01, DE.CM-01 | NIST 800-53: AT-2, SI-3</t>
        </is>
      </c>
      <c r="J103" s="53" t="inlineStr">
        <is>
          <t>PR — Protect / Awareness and Training</t>
        </is>
      </c>
      <c r="K103" s="52" t="n">
        <v>4</v>
      </c>
      <c r="L103" s="52" t="n">
        <v>4</v>
      </c>
      <c r="M103" s="52">
        <f>K103*L103</f>
        <v/>
      </c>
      <c r="N103" s="52" t="inlineStr">
        <is>
          <t>High</t>
        </is>
      </c>
      <c r="O103" s="52" t="inlineStr">
        <is>
          <t>High</t>
        </is>
      </c>
      <c r="P103" s="53" t="inlineStr">
        <is>
          <t>Standard email/web security controls do not address malvertising-driven, platform-native social engineering on a trusted AI platform's own domain</t>
        </is>
      </c>
      <c r="Q103" s="52" t="inlineStr">
        <is>
          <t>Medium</t>
        </is>
      </c>
      <c r="R103" s="53" t="inlineStr">
        <is>
          <t>Update security-awareness training to cover AI-platform-hosted social engineering (ClickFix-style "paste this command" lures); monitor for known malicious Custom GPT indicators; treat chatgpt.com sponsored-ad traffic as an emerging phishing vector in web-filtering policy</t>
        </is>
      </c>
      <c r="S103" s="52" t="inlineStr">
        <is>
          <t>CIS Control 14 — Security Awareness and Skills Training</t>
        </is>
      </c>
      <c r="T103" s="53" t="inlineStr">
        <is>
          <t>Blaise Kingko</t>
        </is>
      </c>
      <c r="U103" s="52" t="inlineStr">
        <is>
          <t>Open — Register-Only</t>
        </is>
      </c>
      <c r="V103" s="52" t="inlineStr">
        <is>
          <t>N/A</t>
        </is>
      </c>
      <c r="W103" s="52" t="inlineStr">
        <is>
          <t>2026-10-05</t>
        </is>
      </c>
      <c r="X103" s="53" t="inlineStr">
        <is>
          <t>Non-CVE social-engineering/malvertising campaign, not an infrastructure vulnerability. Logged as a governance item given the recurring pattern of trusted AI platforms being weaponized as distribution vectors. No full bundle built; folded into Executive Report AI Governance Watch narrative instead, consistent with precedent for non-CVE social-engineering items (cf. RR-078 ShinyHunters/Okta entry).</t>
        </is>
      </c>
    </row>
  </sheetData>
  <mergeCells count="2">
    <mergeCell ref="A2:X2"/>
    <mergeCell ref="A1:X1"/>
  </mergeCells>
  <conditionalFormatting sqref="N5:N500">
    <cfRule type="expression" rank="0" priority="2" equalAverage="0" aboveAverage="0" dxfId="0" text="" percent="0" bottom="0">
      <formula>$N5="Critical"</formula>
    </cfRule>
    <cfRule type="expression" rank="0" priority="3" equalAverage="0" aboveAverage="0" dxfId="1" text="" percent="0" bottom="0">
      <formula>$N5="High"</formula>
    </cfRule>
    <cfRule type="expression" rank="0" priority="4" equalAverage="0" aboveAverage="0" dxfId="2" text="" percent="0" bottom="0">
      <formula>$N5="Medium"</formula>
    </cfRule>
    <cfRule type="expression" rank="0" priority="5" equalAverage="0" aboveAverage="0" dxfId="3" text="" percent="0" bottom="0">
      <formula>$N5="Low"</formula>
    </cfRule>
  </conditionalFormatting>
  <conditionalFormatting sqref="O5:O500">
    <cfRule type="expression" rank="0" priority="6" equalAverage="0" aboveAverage="0" dxfId="0" text="" percent="0" bottom="0">
      <formula>$O5="Critical"</formula>
    </cfRule>
    <cfRule type="expression" rank="0" priority="7" equalAverage="0" aboveAverage="0" dxfId="1" text="" percent="0" bottom="0">
      <formula>$O5="High"</formula>
    </cfRule>
    <cfRule type="expression" rank="0" priority="8" equalAverage="0" aboveAverage="0" dxfId="2" text="" percent="0" bottom="0">
      <formula>$O5="Medium"</formula>
    </cfRule>
    <cfRule type="expression" rank="0" priority="9" equalAverage="0" aboveAverage="0" dxfId="3" text="" percent="0" bottom="0">
      <formula>$O5="Low"</formula>
    </cfRule>
  </conditionalFormatting>
  <conditionalFormatting sqref="Q5:Q500">
    <cfRule type="expression" rank="0" priority="10" equalAverage="0" aboveAverage="0" dxfId="0" text="" percent="0" bottom="0">
      <formula>$Q5="Critical"</formula>
    </cfRule>
    <cfRule type="expression" rank="0" priority="11" equalAverage="0" aboveAverage="0" dxfId="1" text="" percent="0" bottom="0">
      <formula>$Q5="High"</formula>
    </cfRule>
    <cfRule type="expression" rank="0" priority="12" equalAverage="0" aboveAverage="0" dxfId="2" text="" percent="0" bottom="0">
      <formula>$Q5="Medium"</formula>
    </cfRule>
    <cfRule type="expression" rank="0" priority="13" equalAverage="0" aboveAverage="0" dxfId="3" text="" percent="0" bottom="0">
      <formula>$Q5="Low"</formula>
    </cfRule>
  </conditionalFormatting>
  <conditionalFormatting sqref="U5:U500">
    <cfRule type="expression" rank="0" priority="14" equalAverage="0" aboveAverage="0" dxfId="0" text="" percent="0" bottom="0">
      <formula>$U5="Open"</formula>
    </cfRule>
    <cfRule type="expression" rank="0" priority="15" equalAverage="0" aboveAverage="0" dxfId="1" text="" percent="0" bottom="0">
      <formula>$U5="Mitigating"</formula>
    </cfRule>
    <cfRule type="expression" rank="0" priority="16" equalAverage="0" aboveAverage="0" dxfId="3" text="" percent="0" bottom="0">
      <formula>$U5="Closed"</formula>
    </cfRule>
    <cfRule type="expression" rank="0" priority="17" equalAverage="0" aboveAverage="0" dxfId="4" text="" percent="0" bottom="0">
      <formula>$U5="Accepted"</formula>
    </cfRule>
    <cfRule type="expression" rank="0" priority="18" equalAverage="0" aboveAverage="0" dxfId="5" text="" percent="0" bottom="0">
      <formula>$U5="Transferred"</formula>
    </cfRule>
  </conditionalFormatting>
  <conditionalFormatting sqref="M5">
    <cfRule type="expression" rank="0" priority="19" equalAverage="0" aboveAverage="0" dxfId="0" text="" percent="0" bottom="0">
      <formula>M5&gt;=20</formula>
    </cfRule>
    <cfRule type="expression" rank="0" priority="20" equalAverage="0" aboveAverage="0" dxfId="1" text="" percent="0" bottom="0">
      <formula>AND(M5&gt;=10,M5&lt;20)</formula>
    </cfRule>
    <cfRule type="expression" rank="0" priority="21" equalAverage="0" aboveAverage="0" dxfId="2" text="" percent="0" bottom="0">
      <formula>AND(M5&gt;=5,M5&lt;10)</formula>
    </cfRule>
    <cfRule type="expression" rank="0" priority="22" equalAverage="0" aboveAverage="0" dxfId="3" text="" percent="0" bottom="0">
      <formula>AND(M5&gt;=1,M5&lt;5)</formula>
    </cfRule>
  </conditionalFormatting>
  <conditionalFormatting sqref="M6">
    <cfRule type="expression" rank="0" priority="23" equalAverage="0" aboveAverage="0" dxfId="0" text="" percent="0" bottom="0">
      <formula>M6&gt;=20</formula>
    </cfRule>
    <cfRule type="expression" rank="0" priority="24" equalAverage="0" aboveAverage="0" dxfId="1" text="" percent="0" bottom="0">
      <formula>AND(M6&gt;=10,M6&lt;20)</formula>
    </cfRule>
    <cfRule type="expression" rank="0" priority="25" equalAverage="0" aboveAverage="0" dxfId="2" text="" percent="0" bottom="0">
      <formula>AND(M6&gt;=5,M6&lt;10)</formula>
    </cfRule>
    <cfRule type="expression" rank="0" priority="26" equalAverage="0" aboveAverage="0" dxfId="3" text="" percent="0" bottom="0">
      <formula>AND(M6&gt;=1,M6&lt;5)</formula>
    </cfRule>
  </conditionalFormatting>
  <conditionalFormatting sqref="M7">
    <cfRule type="expression" rank="0" priority="27" equalAverage="0" aboveAverage="0" dxfId="0" text="" percent="0" bottom="0">
      <formula>M7&gt;=20</formula>
    </cfRule>
    <cfRule type="expression" rank="0" priority="28" equalAverage="0" aboveAverage="0" dxfId="1" text="" percent="0" bottom="0">
      <formula>AND(M7&gt;=10,M7&lt;20)</formula>
    </cfRule>
    <cfRule type="expression" rank="0" priority="29" equalAverage="0" aboveAverage="0" dxfId="2" text="" percent="0" bottom="0">
      <formula>AND(M7&gt;=5,M7&lt;10)</formula>
    </cfRule>
    <cfRule type="expression" rank="0" priority="30" equalAverage="0" aboveAverage="0" dxfId="3" text="" percent="0" bottom="0">
      <formula>AND(M7&gt;=1,M7&lt;5)</formula>
    </cfRule>
  </conditionalFormatting>
  <conditionalFormatting sqref="M8">
    <cfRule type="expression" rank="0" priority="31" equalAverage="0" aboveAverage="0" dxfId="0" text="" percent="0" bottom="0">
      <formula>M8&gt;=20</formula>
    </cfRule>
    <cfRule type="expression" rank="0" priority="32" equalAverage="0" aboveAverage="0" dxfId="1" text="" percent="0" bottom="0">
      <formula>AND(M8&gt;=10,M8&lt;20)</formula>
    </cfRule>
    <cfRule type="expression" rank="0" priority="33" equalAverage="0" aboveAverage="0" dxfId="2" text="" percent="0" bottom="0">
      <formula>AND(M8&gt;=5,M8&lt;10)</formula>
    </cfRule>
    <cfRule type="expression" rank="0" priority="34" equalAverage="0" aboveAverage="0" dxfId="3" text="" percent="0" bottom="0">
      <formula>AND(M8&gt;=1,M8&lt;5)</formula>
    </cfRule>
  </conditionalFormatting>
  <conditionalFormatting sqref="M9">
    <cfRule type="expression" rank="0" priority="35" equalAverage="0" aboveAverage="0" dxfId="0" text="" percent="0" bottom="0">
      <formula>M9&gt;=20</formula>
    </cfRule>
    <cfRule type="expression" rank="0" priority="36" equalAverage="0" aboveAverage="0" dxfId="1" text="" percent="0" bottom="0">
      <formula>AND(M9&gt;=10,M9&lt;20)</formula>
    </cfRule>
    <cfRule type="expression" rank="0" priority="37" equalAverage="0" aboveAverage="0" dxfId="2" text="" percent="0" bottom="0">
      <formula>AND(M9&gt;=5,M9&lt;10)</formula>
    </cfRule>
    <cfRule type="expression" rank="0" priority="38" equalAverage="0" aboveAverage="0" dxfId="3" text="" percent="0" bottom="0">
      <formula>AND(M9&gt;=1,M9&lt;5)</formula>
    </cfRule>
  </conditionalFormatting>
  <conditionalFormatting sqref="M10">
    <cfRule type="expression" rank="0" priority="39" equalAverage="0" aboveAverage="0" dxfId="0" text="" percent="0" bottom="0">
      <formula>M10&gt;=20</formula>
    </cfRule>
    <cfRule type="expression" rank="0" priority="40" equalAverage="0" aboveAverage="0" dxfId="1" text="" percent="0" bottom="0">
      <formula>AND(M10&gt;=10,M10&lt;20)</formula>
    </cfRule>
    <cfRule type="expression" rank="0" priority="41" equalAverage="0" aboveAverage="0" dxfId="2" text="" percent="0" bottom="0">
      <formula>AND(M10&gt;=5,M10&lt;10)</formula>
    </cfRule>
    <cfRule type="expression" rank="0" priority="42" equalAverage="0" aboveAverage="0" dxfId="3" text="" percent="0" bottom="0">
      <formula>AND(M10&gt;=1,M10&lt;5)</formula>
    </cfRule>
  </conditionalFormatting>
  <conditionalFormatting sqref="M11">
    <cfRule type="expression" rank="0" priority="43" equalAverage="0" aboveAverage="0" dxfId="0" text="" percent="0" bottom="0">
      <formula>M11&gt;=20</formula>
    </cfRule>
    <cfRule type="expression" rank="0" priority="44" equalAverage="0" aboveAverage="0" dxfId="1" text="" percent="0" bottom="0">
      <formula>AND(M11&gt;=10,M11&lt;20)</formula>
    </cfRule>
    <cfRule type="expression" rank="0" priority="45" equalAverage="0" aboveAverage="0" dxfId="2" text="" percent="0" bottom="0">
      <formula>AND(M11&gt;=5,M11&lt;10)</formula>
    </cfRule>
    <cfRule type="expression" rank="0" priority="46" equalAverage="0" aboveAverage="0" dxfId="3" text="" percent="0" bottom="0">
      <formula>AND(M11&gt;=1,M11&lt;5)</formula>
    </cfRule>
  </conditionalFormatting>
  <conditionalFormatting sqref="M12">
    <cfRule type="expression" rank="0" priority="47" equalAverage="0" aboveAverage="0" dxfId="0" text="" percent="0" bottom="0">
      <formula>M12&gt;=20</formula>
    </cfRule>
    <cfRule type="expression" rank="0" priority="48" equalAverage="0" aboveAverage="0" dxfId="1" text="" percent="0" bottom="0">
      <formula>AND(M12&gt;=10,M12&lt;20)</formula>
    </cfRule>
    <cfRule type="expression" rank="0" priority="49" equalAverage="0" aboveAverage="0" dxfId="2" text="" percent="0" bottom="0">
      <formula>AND(M12&gt;=5,M12&lt;10)</formula>
    </cfRule>
    <cfRule type="expression" rank="0" priority="50" equalAverage="0" aboveAverage="0" dxfId="3" text="" percent="0" bottom="0">
      <formula>AND(M12&gt;=1,M12&lt;5)</formula>
    </cfRule>
  </conditionalFormatting>
  <conditionalFormatting sqref="M13">
    <cfRule type="expression" rank="0" priority="51" equalAverage="0" aboveAverage="0" dxfId="0" text="" percent="0" bottom="0">
      <formula>M13&gt;=20</formula>
    </cfRule>
    <cfRule type="expression" rank="0" priority="52" equalAverage="0" aboveAverage="0" dxfId="1" text="" percent="0" bottom="0">
      <formula>AND(M13&gt;=10,M13&lt;20)</formula>
    </cfRule>
    <cfRule type="expression" rank="0" priority="53" equalAverage="0" aboveAverage="0" dxfId="2" text="" percent="0" bottom="0">
      <formula>AND(M13&gt;=5,M13&lt;10)</formula>
    </cfRule>
    <cfRule type="expression" rank="0" priority="54" equalAverage="0" aboveAverage="0" dxfId="3" text="" percent="0" bottom="0">
      <formula>AND(M13&gt;=1,M13&lt;5)</formula>
    </cfRule>
  </conditionalFormatting>
  <conditionalFormatting sqref="M14">
    <cfRule type="expression" rank="0" priority="55" equalAverage="0" aboveAverage="0" dxfId="0" text="" percent="0" bottom="0">
      <formula>M14&gt;=20</formula>
    </cfRule>
    <cfRule type="expression" rank="0" priority="56" equalAverage="0" aboveAverage="0" dxfId="1" text="" percent="0" bottom="0">
      <formula>AND(M14&gt;=10,M14&lt;20)</formula>
    </cfRule>
    <cfRule type="expression" rank="0" priority="57" equalAverage="0" aboveAverage="0" dxfId="2" text="" percent="0" bottom="0">
      <formula>AND(M14&gt;=5,M14&lt;10)</formula>
    </cfRule>
    <cfRule type="expression" rank="0" priority="58" equalAverage="0" aboveAverage="0" dxfId="3" text="" percent="0" bottom="0">
      <formula>AND(M14&gt;=1,M14&lt;5)</formula>
    </cfRule>
  </conditionalFormatting>
  <conditionalFormatting sqref="M15">
    <cfRule type="expression" rank="0" priority="59" equalAverage="0" aboveAverage="0" dxfId="0" text="" percent="0" bottom="0">
      <formula>M15&gt;=20</formula>
    </cfRule>
    <cfRule type="expression" rank="0" priority="60" equalAverage="0" aboveAverage="0" dxfId="1" text="" percent="0" bottom="0">
      <formula>AND(M15&gt;=10,M15&lt;20)</formula>
    </cfRule>
    <cfRule type="expression" rank="0" priority="61" equalAverage="0" aboveAverage="0" dxfId="2" text="" percent="0" bottom="0">
      <formula>AND(M15&gt;=5,M15&lt;10)</formula>
    </cfRule>
    <cfRule type="expression" rank="0" priority="62" equalAverage="0" aboveAverage="0" dxfId="3" text="" percent="0" bottom="0">
      <formula>AND(M15&gt;=1,M15&lt;5)</formula>
    </cfRule>
  </conditionalFormatting>
  <conditionalFormatting sqref="M16">
    <cfRule type="expression" rank="0" priority="63" equalAverage="0" aboveAverage="0" dxfId="0" text="" percent="0" bottom="0">
      <formula>M16&gt;=20</formula>
    </cfRule>
    <cfRule type="expression" rank="0" priority="64" equalAverage="0" aboveAverage="0" dxfId="1" text="" percent="0" bottom="0">
      <formula>AND(M16&gt;=10,M16&lt;20)</formula>
    </cfRule>
    <cfRule type="expression" rank="0" priority="65" equalAverage="0" aboveAverage="0" dxfId="2" text="" percent="0" bottom="0">
      <formula>AND(M16&gt;=5,M16&lt;10)</formula>
    </cfRule>
    <cfRule type="expression" rank="0" priority="66" equalAverage="0" aboveAverage="0" dxfId="3" text="" percent="0" bottom="0">
      <formula>AND(M16&gt;=1,M16&lt;5)</formula>
    </cfRule>
  </conditionalFormatting>
  <conditionalFormatting sqref="M17">
    <cfRule type="expression" rank="0" priority="67" equalAverage="0" aboveAverage="0" dxfId="0" text="" percent="0" bottom="0">
      <formula>M17&gt;=20</formula>
    </cfRule>
    <cfRule type="expression" rank="0" priority="68" equalAverage="0" aboveAverage="0" dxfId="1" text="" percent="0" bottom="0">
      <formula>AND(M17&gt;=10,M17&lt;20)</formula>
    </cfRule>
    <cfRule type="expression" rank="0" priority="69" equalAverage="0" aboveAverage="0" dxfId="2" text="" percent="0" bottom="0">
      <formula>AND(M17&gt;=5,M17&lt;10)</formula>
    </cfRule>
    <cfRule type="expression" rank="0" priority="70" equalAverage="0" aboveAverage="0" dxfId="3" text="" percent="0" bottom="0">
      <formula>AND(M17&gt;=1,M17&lt;5)</formula>
    </cfRule>
  </conditionalFormatting>
  <conditionalFormatting sqref="M18">
    <cfRule type="expression" rank="0" priority="71" equalAverage="0" aboveAverage="0" dxfId="0" text="" percent="0" bottom="0">
      <formula>M18&gt;=20</formula>
    </cfRule>
    <cfRule type="expression" rank="0" priority="72" equalAverage="0" aboveAverage="0" dxfId="1" text="" percent="0" bottom="0">
      <formula>AND(M18&gt;=10,M18&lt;20)</formula>
    </cfRule>
    <cfRule type="expression" rank="0" priority="73" equalAverage="0" aboveAverage="0" dxfId="2" text="" percent="0" bottom="0">
      <formula>AND(M18&gt;=5,M18&lt;10)</formula>
    </cfRule>
    <cfRule type="expression" rank="0" priority="74" equalAverage="0" aboveAverage="0" dxfId="3" text="" percent="0" bottom="0">
      <formula>AND(M18&gt;=1,M18&lt;5)</formula>
    </cfRule>
  </conditionalFormatting>
  <conditionalFormatting sqref="M19">
    <cfRule type="expression" rank="0" priority="75" equalAverage="0" aboveAverage="0" dxfId="0" text="" percent="0" bottom="0">
      <formula>M19&gt;=20</formula>
    </cfRule>
    <cfRule type="expression" rank="0" priority="76" equalAverage="0" aboveAverage="0" dxfId="1" text="" percent="0" bottom="0">
      <formula>AND(M19&gt;=10,M19&lt;20)</formula>
    </cfRule>
    <cfRule type="expression" rank="0" priority="77" equalAverage="0" aboveAverage="0" dxfId="2" text="" percent="0" bottom="0">
      <formula>AND(M19&gt;=5,M19&lt;10)</formula>
    </cfRule>
    <cfRule type="expression" rank="0" priority="78" equalAverage="0" aboveAverage="0" dxfId="3" text="" percent="0" bottom="0">
      <formula>AND(M19&gt;=1,M19&lt;5)</formula>
    </cfRule>
  </conditionalFormatting>
  <conditionalFormatting sqref="M20">
    <cfRule type="expression" rank="0" priority="79" equalAverage="0" aboveAverage="0" dxfId="0" text="" percent="0" bottom="0">
      <formula>M20&gt;=20</formula>
    </cfRule>
    <cfRule type="expression" rank="0" priority="80" equalAverage="0" aboveAverage="0" dxfId="1" text="" percent="0" bottom="0">
      <formula>AND(M20&gt;=10,M20&lt;20)</formula>
    </cfRule>
    <cfRule type="expression" rank="0" priority="81" equalAverage="0" aboveAverage="0" dxfId="2" text="" percent="0" bottom="0">
      <formula>AND(M20&gt;=5,M20&lt;10)</formula>
    </cfRule>
    <cfRule type="expression" rank="0" priority="82" equalAverage="0" aboveAverage="0" dxfId="3" text="" percent="0" bottom="0">
      <formula>AND(M20&gt;=1,M20&lt;5)</formula>
    </cfRule>
  </conditionalFormatting>
  <conditionalFormatting sqref="M21">
    <cfRule type="expression" rank="0" priority="83" equalAverage="0" aboveAverage="0" dxfId="0" text="" percent="0" bottom="0">
      <formula>M21&gt;=20</formula>
    </cfRule>
    <cfRule type="expression" rank="0" priority="84" equalAverage="0" aboveAverage="0" dxfId="1" text="" percent="0" bottom="0">
      <formula>AND(M21&gt;=10,M21&lt;20)</formula>
    </cfRule>
    <cfRule type="expression" rank="0" priority="85" equalAverage="0" aboveAverage="0" dxfId="2" text="" percent="0" bottom="0">
      <formula>AND(M21&gt;=5,M21&lt;10)</formula>
    </cfRule>
    <cfRule type="expression" rank="0" priority="86" equalAverage="0" aboveAverage="0" dxfId="3" text="" percent="0" bottom="0">
      <formula>AND(M21&gt;=1,M21&lt;5)</formula>
    </cfRule>
  </conditionalFormatting>
  <conditionalFormatting sqref="M22">
    <cfRule type="expression" rank="0" priority="87" equalAverage="0" aboveAverage="0" dxfId="0" text="" percent="0" bottom="0">
      <formula>M22&gt;=20</formula>
    </cfRule>
    <cfRule type="expression" rank="0" priority="88" equalAverage="0" aboveAverage="0" dxfId="1" text="" percent="0" bottom="0">
      <formula>AND(M22&gt;=10,M22&lt;20)</formula>
    </cfRule>
    <cfRule type="expression" rank="0" priority="89" equalAverage="0" aboveAverage="0" dxfId="2" text="" percent="0" bottom="0">
      <formula>AND(M22&gt;=5,M22&lt;10)</formula>
    </cfRule>
    <cfRule type="expression" rank="0" priority="90" equalAverage="0" aboveAverage="0" dxfId="3" text="" percent="0" bottom="0">
      <formula>AND(M22&gt;=1,M22&lt;5)</formula>
    </cfRule>
  </conditionalFormatting>
  <conditionalFormatting sqref="M23">
    <cfRule type="expression" rank="0" priority="91" equalAverage="0" aboveAverage="0" dxfId="0" text="" percent="0" bottom="0">
      <formula>M23&gt;=20</formula>
    </cfRule>
    <cfRule type="expression" rank="0" priority="92" equalAverage="0" aboveAverage="0" dxfId="1" text="" percent="0" bottom="0">
      <formula>AND(M23&gt;=10,M23&lt;20)</formula>
    </cfRule>
    <cfRule type="expression" rank="0" priority="93" equalAverage="0" aboveAverage="0" dxfId="2" text="" percent="0" bottom="0">
      <formula>AND(M23&gt;=5,M23&lt;10)</formula>
    </cfRule>
    <cfRule type="expression" rank="0" priority="94" equalAverage="0" aboveAverage="0" dxfId="3" text="" percent="0" bottom="0">
      <formula>AND(M23&gt;=1,M23&lt;5)</formula>
    </cfRule>
  </conditionalFormatting>
  <conditionalFormatting sqref="M24">
    <cfRule type="expression" rank="0" priority="95" equalAverage="0" aboveAverage="0" dxfId="0" text="" percent="0" bottom="0">
      <formula>M24&gt;=20</formula>
    </cfRule>
    <cfRule type="expression" rank="0" priority="96" equalAverage="0" aboveAverage="0" dxfId="1" text="" percent="0" bottom="0">
      <formula>AND(M24&gt;=10,M24&lt;20)</formula>
    </cfRule>
    <cfRule type="expression" rank="0" priority="97" equalAverage="0" aboveAverage="0" dxfId="2" text="" percent="0" bottom="0">
      <formula>AND(M24&gt;=5,M24&lt;10)</formula>
    </cfRule>
    <cfRule type="expression" rank="0" priority="98" equalAverage="0" aboveAverage="0" dxfId="3" text="" percent="0" bottom="0">
      <formula>AND(M24&gt;=1,M24&lt;5)</formula>
    </cfRule>
  </conditionalFormatting>
  <conditionalFormatting sqref="M25">
    <cfRule type="expression" rank="0" priority="99" equalAverage="0" aboveAverage="0" dxfId="0" text="" percent="0" bottom="0">
      <formula>M25&gt;=20</formula>
    </cfRule>
    <cfRule type="expression" rank="0" priority="100" equalAverage="0" aboveAverage="0" dxfId="1" text="" percent="0" bottom="0">
      <formula>AND(M25&gt;=10,M25&lt;20)</formula>
    </cfRule>
    <cfRule type="expression" rank="0" priority="101" equalAverage="0" aboveAverage="0" dxfId="2" text="" percent="0" bottom="0">
      <formula>AND(M25&gt;=5,M25&lt;10)</formula>
    </cfRule>
    <cfRule type="expression" rank="0" priority="102" equalAverage="0" aboveAverage="0" dxfId="3" text="" percent="0" bottom="0">
      <formula>AND(M25&gt;=1,M25&lt;5)</formula>
    </cfRule>
  </conditionalFormatting>
  <conditionalFormatting sqref="M26">
    <cfRule type="expression" rank="0" priority="103" equalAverage="0" aboveAverage="0" dxfId="0" text="" percent="0" bottom="0">
      <formula>M26&gt;=20</formula>
    </cfRule>
    <cfRule type="expression" rank="0" priority="104" equalAverage="0" aboveAverage="0" dxfId="1" text="" percent="0" bottom="0">
      <formula>AND(M26&gt;=10,M26&lt;20)</formula>
    </cfRule>
    <cfRule type="expression" rank="0" priority="105" equalAverage="0" aboveAverage="0" dxfId="2" text="" percent="0" bottom="0">
      <formula>AND(M26&gt;=5,M26&lt;10)</formula>
    </cfRule>
    <cfRule type="expression" rank="0" priority="106" equalAverage="0" aboveAverage="0" dxfId="3" text="" percent="0" bottom="0">
      <formula>AND(M26&gt;=1,M26&lt;5)</formula>
    </cfRule>
  </conditionalFormatting>
  <conditionalFormatting sqref="M27">
    <cfRule type="expression" rank="0" priority="107" equalAverage="0" aboveAverage="0" dxfId="0" text="" percent="0" bottom="0">
      <formula>M27&gt;=20</formula>
    </cfRule>
    <cfRule type="expression" rank="0" priority="108" equalAverage="0" aboveAverage="0" dxfId="1" text="" percent="0" bottom="0">
      <formula>AND(M27&gt;=10,M27&lt;20)</formula>
    </cfRule>
    <cfRule type="expression" rank="0" priority="109" equalAverage="0" aboveAverage="0" dxfId="2" text="" percent="0" bottom="0">
      <formula>AND(M27&gt;=5,M27&lt;10)</formula>
    </cfRule>
    <cfRule type="expression" rank="0" priority="110" equalAverage="0" aboveAverage="0" dxfId="3" text="" percent="0" bottom="0">
      <formula>AND(M27&gt;=1,M27&lt;5)</formula>
    </cfRule>
  </conditionalFormatting>
  <conditionalFormatting sqref="M28">
    <cfRule type="expression" rank="0" priority="111" equalAverage="0" aboveAverage="0" dxfId="0" text="" percent="0" bottom="0">
      <formula>M28&gt;=20</formula>
    </cfRule>
    <cfRule type="expression" rank="0" priority="112" equalAverage="0" aboveAverage="0" dxfId="1" text="" percent="0" bottom="0">
      <formula>AND(M28&gt;=10,M28&lt;20)</formula>
    </cfRule>
    <cfRule type="expression" rank="0" priority="113" equalAverage="0" aboveAverage="0" dxfId="2" text="" percent="0" bottom="0">
      <formula>AND(M28&gt;=5,M28&lt;10)</formula>
    </cfRule>
    <cfRule type="expression" rank="0" priority="114" equalAverage="0" aboveAverage="0" dxfId="3" text="" percent="0" bottom="0">
      <formula>AND(M28&gt;=1,M28&lt;5)</formula>
    </cfRule>
  </conditionalFormatting>
  <conditionalFormatting sqref="M29">
    <cfRule type="expression" rank="0" priority="115" equalAverage="0" aboveAverage="0" dxfId="0" text="" percent="0" bottom="0">
      <formula>M29&gt;=20</formula>
    </cfRule>
    <cfRule type="expression" rank="0" priority="116" equalAverage="0" aboveAverage="0" dxfId="1" text="" percent="0" bottom="0">
      <formula>AND(M29&gt;=10,M29&lt;20)</formula>
    </cfRule>
    <cfRule type="expression" rank="0" priority="117" equalAverage="0" aboveAverage="0" dxfId="2" text="" percent="0" bottom="0">
      <formula>AND(M29&gt;=5,M29&lt;10)</formula>
    </cfRule>
    <cfRule type="expression" rank="0" priority="118" equalAverage="0" aboveAverage="0" dxfId="3" text="" percent="0" bottom="0">
      <formula>AND(M29&gt;=1,M29&lt;5)</formula>
    </cfRule>
  </conditionalFormatting>
  <conditionalFormatting sqref="M30">
    <cfRule type="expression" rank="0" priority="119" equalAverage="0" aboveAverage="0" dxfId="0" text="" percent="0" bottom="0">
      <formula>M30&gt;=20</formula>
    </cfRule>
    <cfRule type="expression" rank="0" priority="120" equalAverage="0" aboveAverage="0" dxfId="1" text="" percent="0" bottom="0">
      <formula>AND(M30&gt;=10,M30&lt;20)</formula>
    </cfRule>
    <cfRule type="expression" rank="0" priority="121" equalAverage="0" aboveAverage="0" dxfId="2" text="" percent="0" bottom="0">
      <formula>AND(M30&gt;=5,M30&lt;10)</formula>
    </cfRule>
    <cfRule type="expression" rank="0" priority="122" equalAverage="0" aboveAverage="0" dxfId="3" text="" percent="0" bottom="0">
      <formula>AND(M30&gt;=1,M30&lt;5)</formula>
    </cfRule>
  </conditionalFormatting>
  <conditionalFormatting sqref="M31">
    <cfRule type="expression" rank="0" priority="123" equalAverage="0" aboveAverage="0" dxfId="0" text="" percent="0" bottom="0">
      <formula>M31&gt;=20</formula>
    </cfRule>
    <cfRule type="expression" rank="0" priority="124" equalAverage="0" aboveAverage="0" dxfId="1" text="" percent="0" bottom="0">
      <formula>AND(M31&gt;=10,M31&lt;20)</formula>
    </cfRule>
    <cfRule type="expression" rank="0" priority="125" equalAverage="0" aboveAverage="0" dxfId="2" text="" percent="0" bottom="0">
      <formula>AND(M31&gt;=5,M31&lt;10)</formula>
    </cfRule>
    <cfRule type="expression" rank="0" priority="126" equalAverage="0" aboveAverage="0" dxfId="3" text="" percent="0" bottom="0">
      <formula>AND(M31&gt;=1,M31&lt;5)</formula>
    </cfRule>
  </conditionalFormatting>
  <conditionalFormatting sqref="M32">
    <cfRule type="expression" rank="0" priority="127" equalAverage="0" aboveAverage="0" dxfId="0" text="" percent="0" bottom="0">
      <formula>M32&gt;=20</formula>
    </cfRule>
    <cfRule type="expression" rank="0" priority="128" equalAverage="0" aboveAverage="0" dxfId="1" text="" percent="0" bottom="0">
      <formula>AND(M32&gt;=10,M32&lt;20)</formula>
    </cfRule>
    <cfRule type="expression" rank="0" priority="129" equalAverage="0" aboveAverage="0" dxfId="2" text="" percent="0" bottom="0">
      <formula>AND(M32&gt;=5,M32&lt;10)</formula>
    </cfRule>
    <cfRule type="expression" rank="0" priority="130" equalAverage="0" aboveAverage="0" dxfId="3" text="" percent="0" bottom="0">
      <formula>AND(M32&gt;=1,M32&lt;5)</formula>
    </cfRule>
  </conditionalFormatting>
  <conditionalFormatting sqref="M33">
    <cfRule type="expression" rank="0" priority="131" equalAverage="0" aboveAverage="0" dxfId="0" text="" percent="0" bottom="0">
      <formula>M33&gt;=20</formula>
    </cfRule>
    <cfRule type="expression" rank="0" priority="132" equalAverage="0" aboveAverage="0" dxfId="1" text="" percent="0" bottom="0">
      <formula>AND(M33&gt;=10,M33&lt;20)</formula>
    </cfRule>
    <cfRule type="expression" rank="0" priority="133" equalAverage="0" aboveAverage="0" dxfId="2" text="" percent="0" bottom="0">
      <formula>AND(M33&gt;=5,M33&lt;10)</formula>
    </cfRule>
    <cfRule type="expression" rank="0" priority="134" equalAverage="0" aboveAverage="0" dxfId="3" text="" percent="0" bottom="0">
      <formula>AND(M33&gt;=1,M33&lt;5)</formula>
    </cfRule>
  </conditionalFormatting>
  <conditionalFormatting sqref="M34">
    <cfRule type="expression" rank="0" priority="135" equalAverage="0" aboveAverage="0" dxfId="0" text="" percent="0" bottom="0">
      <formula>M34&gt;=20</formula>
    </cfRule>
    <cfRule type="expression" rank="0" priority="136" equalAverage="0" aboveAverage="0" dxfId="1" text="" percent="0" bottom="0">
      <formula>AND(M34&gt;=10,M34&lt;20)</formula>
    </cfRule>
    <cfRule type="expression" rank="0" priority="137" equalAverage="0" aboveAverage="0" dxfId="2" text="" percent="0" bottom="0">
      <formula>AND(M34&gt;=5,M34&lt;10)</formula>
    </cfRule>
    <cfRule type="expression" rank="0" priority="138" equalAverage="0" aboveAverage="0" dxfId="3" text="" percent="0" bottom="0">
      <formula>AND(M34&gt;=1,M34&lt;5)</formula>
    </cfRule>
  </conditionalFormatting>
  <conditionalFormatting sqref="M35">
    <cfRule type="expression" rank="0" priority="139" equalAverage="0" aboveAverage="0" dxfId="0" text="" percent="0" bottom="0">
      <formula>M35&gt;=20</formula>
    </cfRule>
    <cfRule type="expression" rank="0" priority="140" equalAverage="0" aboveAverage="0" dxfId="1" text="" percent="0" bottom="0">
      <formula>AND(M35&gt;=10,M35&lt;20)</formula>
    </cfRule>
    <cfRule type="expression" rank="0" priority="141" equalAverage="0" aboveAverage="0" dxfId="2" text="" percent="0" bottom="0">
      <formula>AND(M35&gt;=5,M35&lt;10)</formula>
    </cfRule>
    <cfRule type="expression" rank="0" priority="142" equalAverage="0" aboveAverage="0" dxfId="3" text="" percent="0" bottom="0">
      <formula>AND(M35&gt;=1,M35&lt;5)</formula>
    </cfRule>
  </conditionalFormatting>
  <conditionalFormatting sqref="M36">
    <cfRule type="expression" rank="0" priority="143" equalAverage="0" aboveAverage="0" dxfId="0" text="" percent="0" bottom="0">
      <formula>M36&gt;=20</formula>
    </cfRule>
    <cfRule type="expression" rank="0" priority="144" equalAverage="0" aboveAverage="0" dxfId="1" text="" percent="0" bottom="0">
      <formula>AND(M36&gt;=10,M36&lt;20)</formula>
    </cfRule>
    <cfRule type="expression" rank="0" priority="145" equalAverage="0" aboveAverage="0" dxfId="2" text="" percent="0" bottom="0">
      <formula>AND(M36&gt;=5,M36&lt;10)</formula>
    </cfRule>
    <cfRule type="expression" rank="0" priority="146" equalAverage="0" aboveAverage="0" dxfId="3" text="" percent="0" bottom="0">
      <formula>AND(M36&gt;=1,M36&lt;5)</formula>
    </cfRule>
  </conditionalFormatting>
  <conditionalFormatting sqref="M37">
    <cfRule type="expression" rank="0" priority="147" equalAverage="0" aboveAverage="0" dxfId="0" text="" percent="0" bottom="0">
      <formula>M37&gt;=20</formula>
    </cfRule>
    <cfRule type="expression" rank="0" priority="148" equalAverage="0" aboveAverage="0" dxfId="1" text="" percent="0" bottom="0">
      <formula>AND(M37&gt;=10,M37&lt;20)</formula>
    </cfRule>
    <cfRule type="expression" rank="0" priority="149" equalAverage="0" aboveAverage="0" dxfId="2" text="" percent="0" bottom="0">
      <formula>AND(M37&gt;=5,M37&lt;10)</formula>
    </cfRule>
    <cfRule type="expression" rank="0" priority="150" equalAverage="0" aboveAverage="0" dxfId="3" text="" percent="0" bottom="0">
      <formula>AND(M37&gt;=1,M37&lt;5)</formula>
    </cfRule>
  </conditionalFormatting>
  <conditionalFormatting sqref="M38">
    <cfRule type="expression" rank="0" priority="151" equalAverage="0" aboveAverage="0" dxfId="0" text="" percent="0" bottom="0">
      <formula>M38&gt;=20</formula>
    </cfRule>
    <cfRule type="expression" rank="0" priority="152" equalAverage="0" aboveAverage="0" dxfId="1" text="" percent="0" bottom="0">
      <formula>AND(M38&gt;=10,M38&lt;20)</formula>
    </cfRule>
    <cfRule type="expression" rank="0" priority="153" equalAverage="0" aboveAverage="0" dxfId="2" text="" percent="0" bottom="0">
      <formula>AND(M38&gt;=5,M38&lt;10)</formula>
    </cfRule>
    <cfRule type="expression" rank="0" priority="154" equalAverage="0" aboveAverage="0" dxfId="3" text="" percent="0" bottom="0">
      <formula>AND(M38&gt;=1,M38&lt;5)</formula>
    </cfRule>
  </conditionalFormatting>
  <conditionalFormatting sqref="M39">
    <cfRule type="expression" rank="0" priority="155" equalAverage="0" aboveAverage="0" dxfId="0" text="" percent="0" bottom="0">
      <formula>M39&gt;=20</formula>
    </cfRule>
    <cfRule type="expression" rank="0" priority="156" equalAverage="0" aboveAverage="0" dxfId="1" text="" percent="0" bottom="0">
      <formula>AND(M39&gt;=10,M39&lt;20)</formula>
    </cfRule>
    <cfRule type="expression" rank="0" priority="157" equalAverage="0" aboveAverage="0" dxfId="2" text="" percent="0" bottom="0">
      <formula>AND(M39&gt;=5,M39&lt;10)</formula>
    </cfRule>
    <cfRule type="expression" rank="0" priority="158" equalAverage="0" aboveAverage="0" dxfId="3" text="" percent="0" bottom="0">
      <formula>AND(M39&gt;=1,M39&lt;5)</formula>
    </cfRule>
  </conditionalFormatting>
  <conditionalFormatting sqref="M40">
    <cfRule type="expression" rank="0" priority="159" equalAverage="0" aboveAverage="0" dxfId="0" text="" percent="0" bottom="0">
      <formula>M40&gt;=20</formula>
    </cfRule>
    <cfRule type="expression" rank="0" priority="160" equalAverage="0" aboveAverage="0" dxfId="1" text="" percent="0" bottom="0">
      <formula>AND(M40&gt;=10,M40&lt;20)</formula>
    </cfRule>
    <cfRule type="expression" rank="0" priority="161" equalAverage="0" aboveAverage="0" dxfId="2" text="" percent="0" bottom="0">
      <formula>AND(M40&gt;=5,M40&lt;10)</formula>
    </cfRule>
    <cfRule type="expression" rank="0" priority="162" equalAverage="0" aboveAverage="0" dxfId="3" text="" percent="0" bottom="0">
      <formula>AND(M40&gt;=1,M40&lt;5)</formula>
    </cfRule>
  </conditionalFormatting>
  <conditionalFormatting sqref="M41">
    <cfRule type="expression" rank="0" priority="163" equalAverage="0" aboveAverage="0" dxfId="0" text="" percent="0" bottom="0">
      <formula>M41&gt;=20</formula>
    </cfRule>
    <cfRule type="expression" rank="0" priority="164" equalAverage="0" aboveAverage="0" dxfId="1" text="" percent="0" bottom="0">
      <formula>AND(M41&gt;=10,M41&lt;20)</formula>
    </cfRule>
    <cfRule type="expression" rank="0" priority="165" equalAverage="0" aboveAverage="0" dxfId="2" text="" percent="0" bottom="0">
      <formula>AND(M41&gt;=5,M41&lt;10)</formula>
    </cfRule>
    <cfRule type="expression" rank="0" priority="166" equalAverage="0" aboveAverage="0" dxfId="3" text="" percent="0" bottom="0">
      <formula>AND(M41&gt;=1,M41&lt;5)</formula>
    </cfRule>
  </conditionalFormatting>
  <conditionalFormatting sqref="M42">
    <cfRule type="expression" rank="0" priority="167" equalAverage="0" aboveAverage="0" dxfId="0" text="" percent="0" bottom="0">
      <formula>M42&gt;=20</formula>
    </cfRule>
    <cfRule type="expression" rank="0" priority="168" equalAverage="0" aboveAverage="0" dxfId="1" text="" percent="0" bottom="0">
      <formula>AND(M42&gt;=10,M42&lt;20)</formula>
    </cfRule>
    <cfRule type="expression" rank="0" priority="169" equalAverage="0" aboveAverage="0" dxfId="2" text="" percent="0" bottom="0">
      <formula>AND(M42&gt;=5,M42&lt;10)</formula>
    </cfRule>
    <cfRule type="expression" rank="0" priority="170" equalAverage="0" aboveAverage="0" dxfId="3" text="" percent="0" bottom="0">
      <formula>AND(M42&gt;=1,M42&lt;5)</formula>
    </cfRule>
  </conditionalFormatting>
  <conditionalFormatting sqref="M43">
    <cfRule type="expression" rank="0" priority="171" equalAverage="0" aboveAverage="0" dxfId="0" text="" percent="0" bottom="0">
      <formula>M43&gt;=20</formula>
    </cfRule>
    <cfRule type="expression" rank="0" priority="172" equalAverage="0" aboveAverage="0" dxfId="1" text="" percent="0" bottom="0">
      <formula>AND(M43&gt;=10,M43&lt;20)</formula>
    </cfRule>
    <cfRule type="expression" rank="0" priority="173" equalAverage="0" aboveAverage="0" dxfId="2" text="" percent="0" bottom="0">
      <formula>AND(M43&gt;=5,M43&lt;10)</formula>
    </cfRule>
    <cfRule type="expression" rank="0" priority="174" equalAverage="0" aboveAverage="0" dxfId="3" text="" percent="0" bottom="0">
      <formula>AND(M43&gt;=1,M43&lt;5)</formula>
    </cfRule>
  </conditionalFormatting>
  <conditionalFormatting sqref="M44">
    <cfRule type="expression" rank="0" priority="175" equalAverage="0" aboveAverage="0" dxfId="0" text="" percent="0" bottom="0">
      <formula>M44&gt;=20</formula>
    </cfRule>
    <cfRule type="expression" rank="0" priority="176" equalAverage="0" aboveAverage="0" dxfId="1" text="" percent="0" bottom="0">
      <formula>AND(M44&gt;=10,M44&lt;20)</formula>
    </cfRule>
    <cfRule type="expression" rank="0" priority="177" equalAverage="0" aboveAverage="0" dxfId="2" text="" percent="0" bottom="0">
      <formula>AND(M44&gt;=5,M44&lt;10)</formula>
    </cfRule>
    <cfRule type="expression" rank="0" priority="178" equalAverage="0" aboveAverage="0" dxfId="3" text="" percent="0" bottom="0">
      <formula>AND(M44&gt;=1,M44&lt;5)</formula>
    </cfRule>
  </conditionalFormatting>
  <conditionalFormatting sqref="M45">
    <cfRule type="expression" rank="0" priority="179" equalAverage="0" aboveAverage="0" dxfId="0" text="" percent="0" bottom="0">
      <formula>M45&gt;=20</formula>
    </cfRule>
    <cfRule type="expression" rank="0" priority="180" equalAverage="0" aboveAverage="0" dxfId="1" text="" percent="0" bottom="0">
      <formula>AND(M45&gt;=10,M45&lt;20)</formula>
    </cfRule>
    <cfRule type="expression" rank="0" priority="181" equalAverage="0" aboveAverage="0" dxfId="2" text="" percent="0" bottom="0">
      <formula>AND(M45&gt;=5,M45&lt;10)</formula>
    </cfRule>
    <cfRule type="expression" rank="0" priority="182" equalAverage="0" aboveAverage="0" dxfId="3" text="" percent="0" bottom="0">
      <formula>AND(M45&gt;=1,M45&lt;5)</formula>
    </cfRule>
  </conditionalFormatting>
  <conditionalFormatting sqref="M46">
    <cfRule type="expression" rank="0" priority="183" equalAverage="0" aboveAverage="0" dxfId="0" text="" percent="0" bottom="0">
      <formula>M46&gt;=20</formula>
    </cfRule>
    <cfRule type="expression" rank="0" priority="184" equalAverage="0" aboveAverage="0" dxfId="1" text="" percent="0" bottom="0">
      <formula>AND(M46&gt;=10,M46&lt;20)</formula>
    </cfRule>
    <cfRule type="expression" rank="0" priority="185" equalAverage="0" aboveAverage="0" dxfId="2" text="" percent="0" bottom="0">
      <formula>AND(M46&gt;=5,M46&lt;10)</formula>
    </cfRule>
    <cfRule type="expression" rank="0" priority="186" equalAverage="0" aboveAverage="0" dxfId="3" text="" percent="0" bottom="0">
      <formula>AND(M46&gt;=1,M46&lt;5)</formula>
    </cfRule>
  </conditionalFormatting>
  <conditionalFormatting sqref="M47">
    <cfRule type="expression" rank="0" priority="187" equalAverage="0" aboveAverage="0" dxfId="0" text="" percent="0" bottom="0">
      <formula>M47&gt;=20</formula>
    </cfRule>
    <cfRule type="expression" rank="0" priority="188" equalAverage="0" aboveAverage="0" dxfId="1" text="" percent="0" bottom="0">
      <formula>AND(M47&gt;=10,M47&lt;20)</formula>
    </cfRule>
    <cfRule type="expression" rank="0" priority="189" equalAverage="0" aboveAverage="0" dxfId="2" text="" percent="0" bottom="0">
      <formula>AND(M47&gt;=5,M47&lt;10)</formula>
    </cfRule>
    <cfRule type="expression" rank="0" priority="190" equalAverage="0" aboveAverage="0" dxfId="3" text="" percent="0" bottom="0">
      <formula>AND(M47&gt;=1,M47&lt;5)</formula>
    </cfRule>
  </conditionalFormatting>
  <conditionalFormatting sqref="M48">
    <cfRule type="expression" rank="0" priority="191" equalAverage="0" aboveAverage="0" dxfId="0" text="" percent="0" bottom="0">
      <formula>M48&gt;=20</formula>
    </cfRule>
    <cfRule type="expression" rank="0" priority="192" equalAverage="0" aboveAverage="0" dxfId="1" text="" percent="0" bottom="0">
      <formula>AND(M48&gt;=10,M48&lt;20)</formula>
    </cfRule>
    <cfRule type="expression" rank="0" priority="193" equalAverage="0" aboveAverage="0" dxfId="2" text="" percent="0" bottom="0">
      <formula>AND(M48&gt;=5,M48&lt;10)</formula>
    </cfRule>
    <cfRule type="expression" rank="0" priority="194" equalAverage="0" aboveAverage="0" dxfId="3" text="" percent="0" bottom="0">
      <formula>AND(M48&gt;=1,M48&lt;5)</formula>
    </cfRule>
  </conditionalFormatting>
  <conditionalFormatting sqref="M49">
    <cfRule type="expression" rank="0" priority="195" equalAverage="0" aboveAverage="0" dxfId="0" text="" percent="0" bottom="0">
      <formula>M49&gt;=20</formula>
    </cfRule>
    <cfRule type="expression" rank="0" priority="196" equalAverage="0" aboveAverage="0" dxfId="1" text="" percent="0" bottom="0">
      <formula>AND(M49&gt;=10,M49&lt;20)</formula>
    </cfRule>
    <cfRule type="expression" rank="0" priority="197" equalAverage="0" aboveAverage="0" dxfId="2" text="" percent="0" bottom="0">
      <formula>AND(M49&gt;=5,M49&lt;10)</formula>
    </cfRule>
    <cfRule type="expression" rank="0" priority="198" equalAverage="0" aboveAverage="0" dxfId="3" text="" percent="0" bottom="0">
      <formula>AND(M49&gt;=1,M49&lt;5)</formula>
    </cfRule>
  </conditionalFormatting>
  <conditionalFormatting sqref="M50">
    <cfRule type="expression" rank="0" priority="199" equalAverage="0" aboveAverage="0" dxfId="0" text="" percent="0" bottom="0">
      <formula>M50&gt;=20</formula>
    </cfRule>
    <cfRule type="expression" rank="0" priority="200" equalAverage="0" aboveAverage="0" dxfId="1" text="" percent="0" bottom="0">
      <formula>AND(M50&gt;=10,M50&lt;20)</formula>
    </cfRule>
    <cfRule type="expression" rank="0" priority="201" equalAverage="0" aboveAverage="0" dxfId="2" text="" percent="0" bottom="0">
      <formula>AND(M50&gt;=5,M50&lt;10)</formula>
    </cfRule>
    <cfRule type="expression" rank="0" priority="202" equalAverage="0" aboveAverage="0" dxfId="3" text="" percent="0" bottom="0">
      <formula>AND(M50&gt;=1,M50&lt;5)</formula>
    </cfRule>
  </conditionalFormatting>
  <conditionalFormatting sqref="M51">
    <cfRule type="expression" rank="0" priority="203" equalAverage="0" aboveAverage="0" dxfId="0" text="" percent="0" bottom="0">
      <formula>M51&gt;=20</formula>
    </cfRule>
    <cfRule type="expression" rank="0" priority="204" equalAverage="0" aboveAverage="0" dxfId="1" text="" percent="0" bottom="0">
      <formula>AND(M51&gt;=10,M51&lt;20)</formula>
    </cfRule>
    <cfRule type="expression" rank="0" priority="205" equalAverage="0" aboveAverage="0" dxfId="2" text="" percent="0" bottom="0">
      <formula>AND(M51&gt;=5,M51&lt;10)</formula>
    </cfRule>
    <cfRule type="expression" rank="0" priority="206" equalAverage="0" aboveAverage="0" dxfId="3" text="" percent="0" bottom="0">
      <formula>AND(M51&gt;=1,M51&lt;5)</formula>
    </cfRule>
  </conditionalFormatting>
  <conditionalFormatting sqref="M52">
    <cfRule type="expression" rank="0" priority="207" equalAverage="0" aboveAverage="0" dxfId="0" text="" percent="0" bottom="0">
      <formula>M52&gt;=20</formula>
    </cfRule>
    <cfRule type="expression" rank="0" priority="208" equalAverage="0" aboveAverage="0" dxfId="1" text="" percent="0" bottom="0">
      <formula>AND(M52&gt;=10,M52&lt;20)</formula>
    </cfRule>
    <cfRule type="expression" rank="0" priority="209" equalAverage="0" aboveAverage="0" dxfId="2" text="" percent="0" bottom="0">
      <formula>AND(M52&gt;=5,M52&lt;10)</formula>
    </cfRule>
    <cfRule type="expression" rank="0" priority="210" equalAverage="0" aboveAverage="0" dxfId="3" text="" percent="0" bottom="0">
      <formula>AND(M52&gt;=1,M52&lt;5)</formula>
    </cfRule>
  </conditionalFormatting>
  <conditionalFormatting sqref="M53">
    <cfRule type="expression" rank="0" priority="211" equalAverage="0" aboveAverage="0" dxfId="0" text="" percent="0" bottom="0">
      <formula>M53&gt;=20</formula>
    </cfRule>
    <cfRule type="expression" rank="0" priority="212" equalAverage="0" aboveAverage="0" dxfId="1" text="" percent="0" bottom="0">
      <formula>AND(M53&gt;=10,M53&lt;20)</formula>
    </cfRule>
    <cfRule type="expression" rank="0" priority="213" equalAverage="0" aboveAverage="0" dxfId="2" text="" percent="0" bottom="0">
      <formula>AND(M53&gt;=5,M53&lt;10)</formula>
    </cfRule>
    <cfRule type="expression" rank="0" priority="214" equalAverage="0" aboveAverage="0" dxfId="3" text="" percent="0" bottom="0">
      <formula>AND(M53&gt;=1,M53&lt;5)</formula>
    </cfRule>
  </conditionalFormatting>
  <conditionalFormatting sqref="M54">
    <cfRule type="expression" rank="0" priority="215" equalAverage="0" aboveAverage="0" dxfId="0" text="" percent="0" bottom="0">
      <formula>M54&gt;=20</formula>
    </cfRule>
    <cfRule type="expression" rank="0" priority="216" equalAverage="0" aboveAverage="0" dxfId="1" text="" percent="0" bottom="0">
      <formula>AND(M54&gt;=10,M54&lt;20)</formula>
    </cfRule>
    <cfRule type="expression" rank="0" priority="217" equalAverage="0" aboveAverage="0" dxfId="2" text="" percent="0" bottom="0">
      <formula>AND(M54&gt;=5,M54&lt;10)</formula>
    </cfRule>
    <cfRule type="expression" rank="0" priority="218" equalAverage="0" aboveAverage="0" dxfId="3" text="" percent="0" bottom="0">
      <formula>AND(M54&gt;=1,M54&lt;5)</formula>
    </cfRule>
  </conditionalFormatting>
  <conditionalFormatting sqref="M55">
    <cfRule type="expression" rank="0" priority="219" equalAverage="0" aboveAverage="0" dxfId="0" text="" percent="0" bottom="0">
      <formula>M55&gt;=20</formula>
    </cfRule>
    <cfRule type="expression" rank="0" priority="220" equalAverage="0" aboveAverage="0" dxfId="1" text="" percent="0" bottom="0">
      <formula>AND(M55&gt;=10,M55&lt;20)</formula>
    </cfRule>
    <cfRule type="expression" rank="0" priority="221" equalAverage="0" aboveAverage="0" dxfId="2" text="" percent="0" bottom="0">
      <formula>AND(M55&gt;=5,M55&lt;10)</formula>
    </cfRule>
    <cfRule type="expression" rank="0" priority="222" equalAverage="0" aboveAverage="0" dxfId="3" text="" percent="0" bottom="0">
      <formula>AND(M55&gt;=1,M55&lt;5)</formula>
    </cfRule>
  </conditionalFormatting>
  <conditionalFormatting sqref="M56">
    <cfRule type="expression" rank="0" priority="223" equalAverage="0" aboveAverage="0" dxfId="0" text="" percent="0" bottom="0">
      <formula>M56&gt;=20</formula>
    </cfRule>
    <cfRule type="expression" rank="0" priority="224" equalAverage="0" aboveAverage="0" dxfId="1" text="" percent="0" bottom="0">
      <formula>AND(M56&gt;=10,M56&lt;20)</formula>
    </cfRule>
    <cfRule type="expression" rank="0" priority="225" equalAverage="0" aboveAverage="0" dxfId="2" text="" percent="0" bottom="0">
      <formula>AND(M56&gt;=5,M56&lt;10)</formula>
    </cfRule>
    <cfRule type="expression" rank="0" priority="226" equalAverage="0" aboveAverage="0" dxfId="3" text="" percent="0" bottom="0">
      <formula>AND(M56&gt;=1,M56&lt;5)</formula>
    </cfRule>
  </conditionalFormatting>
  <conditionalFormatting sqref="M57">
    <cfRule type="expression" rank="0" priority="227" equalAverage="0" aboveAverage="0" dxfId="0" text="" percent="0" bottom="0">
      <formula>M57&gt;=20</formula>
    </cfRule>
    <cfRule type="expression" rank="0" priority="228" equalAverage="0" aboveAverage="0" dxfId="1" text="" percent="0" bottom="0">
      <formula>AND(M57&gt;=10,M57&lt;20)</formula>
    </cfRule>
    <cfRule type="expression" rank="0" priority="229" equalAverage="0" aboveAverage="0" dxfId="2" text="" percent="0" bottom="0">
      <formula>AND(M57&gt;=5,M57&lt;10)</formula>
    </cfRule>
    <cfRule type="expression" rank="0" priority="230" equalAverage="0" aboveAverage="0" dxfId="3" text="" percent="0" bottom="0">
      <formula>AND(M57&gt;=1,M57&lt;5)</formula>
    </cfRule>
  </conditionalFormatting>
  <conditionalFormatting sqref="M58">
    <cfRule type="expression" rank="0" priority="231" equalAverage="0" aboveAverage="0" dxfId="0" text="" percent="0" bottom="0">
      <formula>M58&gt;=20</formula>
    </cfRule>
    <cfRule type="expression" rank="0" priority="232" equalAverage="0" aboveAverage="0" dxfId="1" text="" percent="0" bottom="0">
      <formula>AND(M58&gt;=10,M58&lt;20)</formula>
    </cfRule>
    <cfRule type="expression" rank="0" priority="233" equalAverage="0" aboveAverage="0" dxfId="2" text="" percent="0" bottom="0">
      <formula>AND(M58&gt;=5,M58&lt;10)</formula>
    </cfRule>
    <cfRule type="expression" rank="0" priority="234" equalAverage="0" aboveAverage="0" dxfId="3" text="" percent="0" bottom="0">
      <formula>AND(M58&gt;=1,M58&lt;5)</formula>
    </cfRule>
  </conditionalFormatting>
  <conditionalFormatting sqref="M59">
    <cfRule type="expression" rank="0" priority="235" equalAverage="0" aboveAverage="0" dxfId="0" text="" percent="0" bottom="0">
      <formula>M59&gt;=20</formula>
    </cfRule>
    <cfRule type="expression" rank="0" priority="236" equalAverage="0" aboveAverage="0" dxfId="1" text="" percent="0" bottom="0">
      <formula>AND(M59&gt;=10,M59&lt;20)</formula>
    </cfRule>
    <cfRule type="expression" rank="0" priority="237" equalAverage="0" aboveAverage="0" dxfId="2" text="" percent="0" bottom="0">
      <formula>AND(M59&gt;=5,M59&lt;10)</formula>
    </cfRule>
    <cfRule type="expression" rank="0" priority="238" equalAverage="0" aboveAverage="0" dxfId="3" text="" percent="0" bottom="0">
      <formula>AND(M59&gt;=1,M59&lt;5)</formula>
    </cfRule>
  </conditionalFormatting>
  <conditionalFormatting sqref="M60">
    <cfRule type="expression" rank="0" priority="239" equalAverage="0" aboveAverage="0" dxfId="0" text="" percent="0" bottom="0">
      <formula>M60&gt;=20</formula>
    </cfRule>
    <cfRule type="expression" rank="0" priority="240" equalAverage="0" aboveAverage="0" dxfId="1" text="" percent="0" bottom="0">
      <formula>AND(M60&gt;=10,M60&lt;20)</formula>
    </cfRule>
    <cfRule type="expression" rank="0" priority="241" equalAverage="0" aboveAverage="0" dxfId="2" text="" percent="0" bottom="0">
      <formula>AND(M60&gt;=5,M60&lt;10)</formula>
    </cfRule>
    <cfRule type="expression" rank="0" priority="242" equalAverage="0" aboveAverage="0" dxfId="3" text="" percent="0" bottom="0">
      <formula>AND(M60&gt;=1,M60&lt;5)</formula>
    </cfRule>
  </conditionalFormatting>
  <conditionalFormatting sqref="M61">
    <cfRule type="expression" rank="0" priority="243" equalAverage="0" aboveAverage="0" dxfId="0" text="" percent="0" bottom="0">
      <formula>M61&gt;=20</formula>
    </cfRule>
    <cfRule type="expression" rank="0" priority="244" equalAverage="0" aboveAverage="0" dxfId="1" text="" percent="0" bottom="0">
      <formula>AND(M61&gt;=10,M61&lt;20)</formula>
    </cfRule>
    <cfRule type="expression" rank="0" priority="245" equalAverage="0" aboveAverage="0" dxfId="2" text="" percent="0" bottom="0">
      <formula>AND(M61&gt;=5,M61&lt;10)</formula>
    </cfRule>
    <cfRule type="expression" rank="0" priority="246" equalAverage="0" aboveAverage="0" dxfId="3" text="" percent="0" bottom="0">
      <formula>AND(M61&gt;=1,M61&lt;5)</formula>
    </cfRule>
  </conditionalFormatting>
  <conditionalFormatting sqref="M62">
    <cfRule type="expression" rank="0" priority="247" equalAverage="0" aboveAverage="0" dxfId="0" text="" percent="0" bottom="0">
      <formula>M62&gt;=20</formula>
    </cfRule>
    <cfRule type="expression" rank="0" priority="248" equalAverage="0" aboveAverage="0" dxfId="1" text="" percent="0" bottom="0">
      <formula>AND(M62&gt;=10,M62&lt;20)</formula>
    </cfRule>
    <cfRule type="expression" rank="0" priority="249" equalAverage="0" aboveAverage="0" dxfId="2" text="" percent="0" bottom="0">
      <formula>AND(M62&gt;=5,M62&lt;10)</formula>
    </cfRule>
    <cfRule type="expression" rank="0" priority="250" equalAverage="0" aboveAverage="0" dxfId="3" text="" percent="0" bottom="0">
      <formula>AND(M62&gt;=1,M62&lt;5)</formula>
    </cfRule>
  </conditionalFormatting>
  <conditionalFormatting sqref="M63">
    <cfRule type="expression" rank="0" priority="251" equalAverage="0" aboveAverage="0" dxfId="0" text="" percent="0" bottom="0">
      <formula>M63&gt;=20</formula>
    </cfRule>
    <cfRule type="expression" rank="0" priority="252" equalAverage="0" aboveAverage="0" dxfId="1" text="" percent="0" bottom="0">
      <formula>AND(M63&gt;=10,M63&lt;20)</formula>
    </cfRule>
    <cfRule type="expression" rank="0" priority="253" equalAverage="0" aboveAverage="0" dxfId="2" text="" percent="0" bottom="0">
      <formula>AND(M63&gt;=5,M63&lt;10)</formula>
    </cfRule>
    <cfRule type="expression" rank="0" priority="254" equalAverage="0" aboveAverage="0" dxfId="3" text="" percent="0" bottom="0">
      <formula>AND(M63&gt;=1,M63&lt;5)</formula>
    </cfRule>
  </conditionalFormatting>
  <conditionalFormatting sqref="M64">
    <cfRule type="expression" rank="0" priority="255" equalAverage="0" aboveAverage="0" dxfId="0" text="" percent="0" bottom="0">
      <formula>M64&gt;=20</formula>
    </cfRule>
    <cfRule type="expression" rank="0" priority="256" equalAverage="0" aboveAverage="0" dxfId="1" text="" percent="0" bottom="0">
      <formula>AND(M64&gt;=10,M64&lt;20)</formula>
    </cfRule>
    <cfRule type="expression" rank="0" priority="257" equalAverage="0" aboveAverage="0" dxfId="2" text="" percent="0" bottom="0">
      <formula>AND(M64&gt;=5,M64&lt;10)</formula>
    </cfRule>
    <cfRule type="expression" rank="0" priority="258" equalAverage="0" aboveAverage="0" dxfId="3" text="" percent="0" bottom="0">
      <formula>AND(M64&gt;=1,M64&lt;5)</formula>
    </cfRule>
  </conditionalFormatting>
  <conditionalFormatting sqref="M65">
    <cfRule type="expression" rank="0" priority="259" equalAverage="0" aboveAverage="0" dxfId="0" text="" percent="0" bottom="0">
      <formula>M65&gt;=20</formula>
    </cfRule>
    <cfRule type="expression" rank="0" priority="260" equalAverage="0" aboveAverage="0" dxfId="1" text="" percent="0" bottom="0">
      <formula>AND(M65&gt;=10,M65&lt;20)</formula>
    </cfRule>
    <cfRule type="expression" rank="0" priority="261" equalAverage="0" aboveAverage="0" dxfId="2" text="" percent="0" bottom="0">
      <formula>AND(M65&gt;=5,M65&lt;10)</formula>
    </cfRule>
    <cfRule type="expression" rank="0" priority="262" equalAverage="0" aboveAverage="0" dxfId="3" text="" percent="0" bottom="0">
      <formula>AND(M65&gt;=1,M65&lt;5)</formula>
    </cfRule>
  </conditionalFormatting>
  <conditionalFormatting sqref="M66">
    <cfRule type="expression" rank="0" priority="263" equalAverage="0" aboveAverage="0" dxfId="0" text="" percent="0" bottom="0">
      <formula>M66&gt;=20</formula>
    </cfRule>
    <cfRule type="expression" rank="0" priority="264" equalAverage="0" aboveAverage="0" dxfId="1" text="" percent="0" bottom="0">
      <formula>AND(M66&gt;=10,M66&lt;20)</formula>
    </cfRule>
    <cfRule type="expression" rank="0" priority="265" equalAverage="0" aboveAverage="0" dxfId="2" text="" percent="0" bottom="0">
      <formula>AND(M66&gt;=5,M66&lt;10)</formula>
    </cfRule>
    <cfRule type="expression" rank="0" priority="266" equalAverage="0" aboveAverage="0" dxfId="3" text="" percent="0" bottom="0">
      <formula>AND(M66&gt;=1,M66&lt;5)</formula>
    </cfRule>
  </conditionalFormatting>
  <conditionalFormatting sqref="M67">
    <cfRule type="expression" rank="0" priority="267" equalAverage="0" aboveAverage="0" dxfId="0" text="" percent="0" bottom="0">
      <formula>M67&gt;=20</formula>
    </cfRule>
    <cfRule type="expression" rank="0" priority="268" equalAverage="0" aboveAverage="0" dxfId="1" text="" percent="0" bottom="0">
      <formula>AND(M67&gt;=10,M67&lt;20)</formula>
    </cfRule>
    <cfRule type="expression" rank="0" priority="269" equalAverage="0" aboveAverage="0" dxfId="2" text="" percent="0" bottom="0">
      <formula>AND(M67&gt;=5,M67&lt;10)</formula>
    </cfRule>
    <cfRule type="expression" rank="0" priority="270" equalAverage="0" aboveAverage="0" dxfId="3" text="" percent="0" bottom="0">
      <formula>AND(M67&gt;=1,M67&lt;5)</formula>
    </cfRule>
  </conditionalFormatting>
  <conditionalFormatting sqref="M68">
    <cfRule type="expression" rank="0" priority="271" equalAverage="0" aboveAverage="0" dxfId="0" text="" percent="0" bottom="0">
      <formula>M68&gt;=20</formula>
    </cfRule>
    <cfRule type="expression" rank="0" priority="272" equalAverage="0" aboveAverage="0" dxfId="1" text="" percent="0" bottom="0">
      <formula>AND(M68&gt;=10,M68&lt;20)</formula>
    </cfRule>
    <cfRule type="expression" rank="0" priority="273" equalAverage="0" aboveAverage="0" dxfId="2" text="" percent="0" bottom="0">
      <formula>AND(M68&gt;=5,M68&lt;10)</formula>
    </cfRule>
    <cfRule type="expression" rank="0" priority="274" equalAverage="0" aboveAverage="0" dxfId="3" text="" percent="0" bottom="0">
      <formula>AND(M68&gt;=1,M68&lt;5)</formula>
    </cfRule>
  </conditionalFormatting>
  <conditionalFormatting sqref="M69">
    <cfRule type="expression" rank="0" priority="275" equalAverage="0" aboveAverage="0" dxfId="0" text="" percent="0" bottom="0">
      <formula>M69&gt;=20</formula>
    </cfRule>
    <cfRule type="expression" rank="0" priority="276" equalAverage="0" aboveAverage="0" dxfId="1" text="" percent="0" bottom="0">
      <formula>AND(M69&gt;=10,M69&lt;20)</formula>
    </cfRule>
    <cfRule type="expression" rank="0" priority="277" equalAverage="0" aboveAverage="0" dxfId="2" text="" percent="0" bottom="0">
      <formula>AND(M69&gt;=5,M69&lt;10)</formula>
    </cfRule>
    <cfRule type="expression" rank="0" priority="278" equalAverage="0" aboveAverage="0" dxfId="3" text="" percent="0" bottom="0">
      <formula>AND(M69&gt;=1,M69&lt;5)</formula>
    </cfRule>
  </conditionalFormatting>
  <conditionalFormatting sqref="M70">
    <cfRule type="expression" rank="0" priority="279" equalAverage="0" aboveAverage="0" dxfId="0" text="" percent="0" bottom="0">
      <formula>M70&gt;=20</formula>
    </cfRule>
    <cfRule type="expression" rank="0" priority="280" equalAverage="0" aboveAverage="0" dxfId="1" text="" percent="0" bottom="0">
      <formula>AND(M70&gt;=10,M70&lt;20)</formula>
    </cfRule>
    <cfRule type="expression" rank="0" priority="281" equalAverage="0" aboveAverage="0" dxfId="2" text="" percent="0" bottom="0">
      <formula>AND(M70&gt;=5,M70&lt;10)</formula>
    </cfRule>
    <cfRule type="expression" rank="0" priority="282" equalAverage="0" aboveAverage="0" dxfId="3" text="" percent="0" bottom="0">
      <formula>AND(M70&gt;=1,M70&lt;5)</formula>
    </cfRule>
  </conditionalFormatting>
  <conditionalFormatting sqref="M71">
    <cfRule type="expression" rank="0" priority="283" equalAverage="0" aboveAverage="0" dxfId="0" text="" percent="0" bottom="0">
      <formula>M71&gt;=20</formula>
    </cfRule>
    <cfRule type="expression" rank="0" priority="284" equalAverage="0" aboveAverage="0" dxfId="1" text="" percent="0" bottom="0">
      <formula>AND(M71&gt;=10,M71&lt;20)</formula>
    </cfRule>
    <cfRule type="expression" rank="0" priority="285" equalAverage="0" aboveAverage="0" dxfId="2" text="" percent="0" bottom="0">
      <formula>AND(M71&gt;=5,M71&lt;10)</formula>
    </cfRule>
    <cfRule type="expression" rank="0" priority="286" equalAverage="0" aboveAverage="0" dxfId="3" text="" percent="0" bottom="0">
      <formula>AND(M71&gt;=1,M71&lt;5)</formula>
    </cfRule>
  </conditionalFormatting>
  <conditionalFormatting sqref="M72">
    <cfRule type="expression" rank="0" priority="287" equalAverage="0" aboveAverage="0" dxfId="0" text="" percent="0" bottom="0">
      <formula>M72&gt;=20</formula>
    </cfRule>
    <cfRule type="expression" rank="0" priority="288" equalAverage="0" aboveAverage="0" dxfId="1" text="" percent="0" bottom="0">
      <formula>AND(M72&gt;=10,M72&lt;20)</formula>
    </cfRule>
    <cfRule type="expression" rank="0" priority="289" equalAverage="0" aboveAverage="0" dxfId="2" text="" percent="0" bottom="0">
      <formula>AND(M72&gt;=5,M72&lt;10)</formula>
    </cfRule>
    <cfRule type="expression" rank="0" priority="290" equalAverage="0" aboveAverage="0" dxfId="3" text="" percent="0" bottom="0">
      <formula>AND(M72&gt;=1,M72&lt;5)</formula>
    </cfRule>
  </conditionalFormatting>
  <conditionalFormatting sqref="M73">
    <cfRule type="expression" rank="0" priority="291" equalAverage="0" aboveAverage="0" dxfId="0" text="" percent="0" bottom="0">
      <formula>M73&gt;=20</formula>
    </cfRule>
    <cfRule type="expression" rank="0" priority="292" equalAverage="0" aboveAverage="0" dxfId="1" text="" percent="0" bottom="0">
      <formula>AND(M73&gt;=10,M73&lt;20)</formula>
    </cfRule>
    <cfRule type="expression" rank="0" priority="293" equalAverage="0" aboveAverage="0" dxfId="2" text="" percent="0" bottom="0">
      <formula>AND(M73&gt;=5,M73&lt;10)</formula>
    </cfRule>
    <cfRule type="expression" rank="0" priority="294" equalAverage="0" aboveAverage="0" dxfId="3" text="" percent="0" bottom="0">
      <formula>AND(M73&gt;=1,M73&lt;5)</formula>
    </cfRule>
  </conditionalFormatting>
  <conditionalFormatting sqref="M74">
    <cfRule type="expression" rank="0" priority="295" equalAverage="0" aboveAverage="0" dxfId="0" text="" percent="0" bottom="0">
      <formula>M74&gt;=20</formula>
    </cfRule>
    <cfRule type="expression" rank="0" priority="296" equalAverage="0" aboveAverage="0" dxfId="1" text="" percent="0" bottom="0">
      <formula>AND(M74&gt;=10,M74&lt;20)</formula>
    </cfRule>
    <cfRule type="expression" rank="0" priority="297" equalAverage="0" aboveAverage="0" dxfId="2" text="" percent="0" bottom="0">
      <formula>AND(M74&gt;=5,M74&lt;10)</formula>
    </cfRule>
    <cfRule type="expression" rank="0" priority="298" equalAverage="0" aboveAverage="0" dxfId="3" text="" percent="0" bottom="0">
      <formula>AND(M74&gt;=1,M74&lt;5)</formula>
    </cfRule>
  </conditionalFormatting>
  <conditionalFormatting sqref="M75">
    <cfRule type="expression" rank="0" priority="299" equalAverage="0" aboveAverage="0" dxfId="0" text="" percent="0" bottom="0">
      <formula>M75&gt;=20</formula>
    </cfRule>
    <cfRule type="expression" rank="0" priority="300" equalAverage="0" aboveAverage="0" dxfId="1" text="" percent="0" bottom="0">
      <formula>AND(M75&gt;=10,M75&lt;20)</formula>
    </cfRule>
    <cfRule type="expression" rank="0" priority="301" equalAverage="0" aboveAverage="0" dxfId="2" text="" percent="0" bottom="0">
      <formula>AND(M75&gt;=5,M75&lt;10)</formula>
    </cfRule>
    <cfRule type="expression" rank="0" priority="302" equalAverage="0" aboveAverage="0" dxfId="3" text="" percent="0" bottom="0">
      <formula>AND(M75&gt;=1,M75&lt;5)</formula>
    </cfRule>
  </conditionalFormatting>
  <conditionalFormatting sqref="M76">
    <cfRule type="expression" rank="0" priority="303" equalAverage="0" aboveAverage="0" dxfId="0" text="" percent="0" bottom="0">
      <formula>M76&gt;=20</formula>
    </cfRule>
    <cfRule type="expression" rank="0" priority="304" equalAverage="0" aboveAverage="0" dxfId="1" text="" percent="0" bottom="0">
      <formula>AND(M76&gt;=10,M76&lt;20)</formula>
    </cfRule>
    <cfRule type="expression" rank="0" priority="305" equalAverage="0" aboveAverage="0" dxfId="2" text="" percent="0" bottom="0">
      <formula>AND(M76&gt;=5,M76&lt;10)</formula>
    </cfRule>
    <cfRule type="expression" rank="0" priority="306" equalAverage="0" aboveAverage="0" dxfId="3" text="" percent="0" bottom="0">
      <formula>AND(M76&gt;=1,M76&lt;5)</formula>
    </cfRule>
  </conditionalFormatting>
  <conditionalFormatting sqref="M77">
    <cfRule type="expression" rank="0" priority="307" equalAverage="0" aboveAverage="0" dxfId="0" text="" percent="0" bottom="0">
      <formula>M77&gt;=20</formula>
    </cfRule>
    <cfRule type="expression" rank="0" priority="308" equalAverage="0" aboveAverage="0" dxfId="1" text="" percent="0" bottom="0">
      <formula>AND(M77&gt;=10,M77&lt;20)</formula>
    </cfRule>
    <cfRule type="expression" rank="0" priority="309" equalAverage="0" aboveAverage="0" dxfId="2" text="" percent="0" bottom="0">
      <formula>AND(M77&gt;=5,M77&lt;10)</formula>
    </cfRule>
    <cfRule type="expression" rank="0" priority="310" equalAverage="0" aboveAverage="0" dxfId="3" text="" percent="0" bottom="0">
      <formula>AND(M77&gt;=1,M77&lt;5)</formula>
    </cfRule>
  </conditionalFormatting>
  <conditionalFormatting sqref="M78">
    <cfRule type="expression" rank="0" priority="311" equalAverage="0" aboveAverage="0" dxfId="0" text="" percent="0" bottom="0">
      <formula>M78&gt;=20</formula>
    </cfRule>
    <cfRule type="expression" rank="0" priority="312" equalAverage="0" aboveAverage="0" dxfId="1" text="" percent="0" bottom="0">
      <formula>AND(M78&gt;=10,M78&lt;20)</formula>
    </cfRule>
    <cfRule type="expression" rank="0" priority="313" equalAverage="0" aboveAverage="0" dxfId="2" text="" percent="0" bottom="0">
      <formula>AND(M78&gt;=5,M78&lt;10)</formula>
    </cfRule>
    <cfRule type="expression" rank="0" priority="314" equalAverage="0" aboveAverage="0" dxfId="3" text="" percent="0" bottom="0">
      <formula>AND(M78&gt;=1,M78&lt;5)</formula>
    </cfRule>
  </conditionalFormatting>
  <conditionalFormatting sqref="M79">
    <cfRule type="expression" rank="0" priority="315" equalAverage="0" aboveAverage="0" dxfId="0" text="" percent="0" bottom="0">
      <formula>M79&gt;=20</formula>
    </cfRule>
    <cfRule type="expression" rank="0" priority="316" equalAverage="0" aboveAverage="0" dxfId="1" text="" percent="0" bottom="0">
      <formula>AND(M79&gt;=10,M79&lt;20)</formula>
    </cfRule>
    <cfRule type="expression" rank="0" priority="317" equalAverage="0" aboveAverage="0" dxfId="2" text="" percent="0" bottom="0">
      <formula>AND(M79&gt;=5,M79&lt;10)</formula>
    </cfRule>
    <cfRule type="expression" rank="0" priority="318" equalAverage="0" aboveAverage="0" dxfId="3" text="" percent="0" bottom="0">
      <formula>AND(M79&gt;=1,M79&lt;5)</formula>
    </cfRule>
  </conditionalFormatting>
  <conditionalFormatting sqref="M80">
    <cfRule type="expression" rank="0" priority="319" equalAverage="0" aboveAverage="0" dxfId="0" text="" percent="0" bottom="0">
      <formula>M80&gt;=20</formula>
    </cfRule>
    <cfRule type="expression" rank="0" priority="320" equalAverage="0" aboveAverage="0" dxfId="1" text="" percent="0" bottom="0">
      <formula>AND(M80&gt;=10,M80&lt;20)</formula>
    </cfRule>
    <cfRule type="expression" rank="0" priority="321" equalAverage="0" aboveAverage="0" dxfId="2" text="" percent="0" bottom="0">
      <formula>AND(M80&gt;=5,M80&lt;10)</formula>
    </cfRule>
    <cfRule type="expression" rank="0" priority="322" equalAverage="0" aboveAverage="0" dxfId="3" text="" percent="0" bottom="0">
      <formula>AND(M80&gt;=1,M80&lt;5)</formula>
    </cfRule>
  </conditionalFormatting>
  <conditionalFormatting sqref="M81">
    <cfRule type="expression" rank="0" priority="323" equalAverage="0" aboveAverage="0" dxfId="0" text="" percent="0" bottom="0">
      <formula>M81&gt;=20</formula>
    </cfRule>
    <cfRule type="expression" rank="0" priority="324" equalAverage="0" aboveAverage="0" dxfId="1" text="" percent="0" bottom="0">
      <formula>AND(M81&gt;=10,M81&lt;20)</formula>
    </cfRule>
    <cfRule type="expression" rank="0" priority="325" equalAverage="0" aboveAverage="0" dxfId="2" text="" percent="0" bottom="0">
      <formula>AND(M81&gt;=5,M81&lt;10)</formula>
    </cfRule>
    <cfRule type="expression" rank="0" priority="326" equalAverage="0" aboveAverage="0" dxfId="3" text="" percent="0" bottom="0">
      <formula>AND(M81&gt;=1,M81&lt;5)</formula>
    </cfRule>
  </conditionalFormatting>
  <conditionalFormatting sqref="M82">
    <cfRule type="expression" rank="0" priority="327" equalAverage="0" aboveAverage="0" dxfId="0" text="" percent="0" bottom="0">
      <formula>M82&gt;=20</formula>
    </cfRule>
    <cfRule type="expression" rank="0" priority="328" equalAverage="0" aboveAverage="0" dxfId="1" text="" percent="0" bottom="0">
      <formula>AND(M82&gt;=10,M82&lt;20)</formula>
    </cfRule>
    <cfRule type="expression" rank="0" priority="329" equalAverage="0" aboveAverage="0" dxfId="2" text="" percent="0" bottom="0">
      <formula>AND(M82&gt;=5,M82&lt;10)</formula>
    </cfRule>
    <cfRule type="expression" rank="0" priority="330" equalAverage="0" aboveAverage="0" dxfId="3" text="" percent="0" bottom="0">
      <formula>AND(M82&gt;=1,M82&lt;5)</formula>
    </cfRule>
  </conditionalFormatting>
  <conditionalFormatting sqref="M83">
    <cfRule type="expression" rank="0" priority="331" equalAverage="0" aboveAverage="0" dxfId="0" text="" percent="0" bottom="0">
      <formula>M83&gt;=20</formula>
    </cfRule>
    <cfRule type="expression" rank="0" priority="332" equalAverage="0" aboveAverage="0" dxfId="1" text="" percent="0" bottom="0">
      <formula>AND(M83&gt;=10,M83&lt;20)</formula>
    </cfRule>
    <cfRule type="expression" rank="0" priority="333" equalAverage="0" aboveAverage="0" dxfId="2" text="" percent="0" bottom="0">
      <formula>AND(M83&gt;=5,M83&lt;10)</formula>
    </cfRule>
    <cfRule type="expression" rank="0" priority="334" equalAverage="0" aboveAverage="0" dxfId="3" text="" percent="0" bottom="0">
      <formula>AND(M83&gt;=1,M83&lt;5)</formula>
    </cfRule>
  </conditionalFormatting>
  <conditionalFormatting sqref="M84">
    <cfRule type="expression" rank="0" priority="335" equalAverage="0" aboveAverage="0" dxfId="0" text="" percent="0" bottom="0">
      <formula>M84&gt;=20</formula>
    </cfRule>
    <cfRule type="expression" rank="0" priority="336" equalAverage="0" aboveAverage="0" dxfId="1" text="" percent="0" bottom="0">
      <formula>AND(M84&gt;=10,M84&lt;20)</formula>
    </cfRule>
    <cfRule type="expression" rank="0" priority="337" equalAverage="0" aboveAverage="0" dxfId="2" text="" percent="0" bottom="0">
      <formula>AND(M84&gt;=5,M84&lt;10)</formula>
    </cfRule>
    <cfRule type="expression" rank="0" priority="338" equalAverage="0" aboveAverage="0" dxfId="3" text="" percent="0" bottom="0">
      <formula>AND(M84&gt;=1,M84&lt;5)</formula>
    </cfRule>
  </conditionalFormatting>
  <conditionalFormatting sqref="M85">
    <cfRule type="expression" rank="0" priority="339" equalAverage="0" aboveAverage="0" dxfId="0" text="" percent="0" bottom="0">
      <formula>M85&gt;=20</formula>
    </cfRule>
    <cfRule type="expression" rank="0" priority="340" equalAverage="0" aboveAverage="0" dxfId="1" text="" percent="0" bottom="0">
      <formula>AND(M85&gt;=10,M85&lt;20)</formula>
    </cfRule>
    <cfRule type="expression" rank="0" priority="341" equalAverage="0" aboveAverage="0" dxfId="2" text="" percent="0" bottom="0">
      <formula>AND(M85&gt;=5,M85&lt;10)</formula>
    </cfRule>
    <cfRule type="expression" rank="0" priority="342" equalAverage="0" aboveAverage="0" dxfId="3" text="" percent="0" bottom="0">
      <formula>AND(M85&gt;=1,M85&lt;5)</formula>
    </cfRule>
  </conditionalFormatting>
  <conditionalFormatting sqref="M86">
    <cfRule type="expression" rank="0" priority="343" equalAverage="0" aboveAverage="0" dxfId="0" text="" percent="0" bottom="0">
      <formula>M86&gt;=20</formula>
    </cfRule>
    <cfRule type="expression" rank="0" priority="344" equalAverage="0" aboveAverage="0" dxfId="1" text="" percent="0" bottom="0">
      <formula>AND(M86&gt;=10,M86&lt;20)</formula>
    </cfRule>
    <cfRule type="expression" rank="0" priority="345" equalAverage="0" aboveAverage="0" dxfId="2" text="" percent="0" bottom="0">
      <formula>AND(M86&gt;=5,M86&lt;10)</formula>
    </cfRule>
    <cfRule type="expression" rank="0" priority="346" equalAverage="0" aboveAverage="0" dxfId="3" text="" percent="0" bottom="0">
      <formula>AND(M86&gt;=1,M86&lt;5)</formula>
    </cfRule>
  </conditionalFormatting>
  <conditionalFormatting sqref="M87">
    <cfRule type="expression" rank="0" priority="347" equalAverage="0" aboveAverage="0" dxfId="0" text="" percent="0" bottom="0">
      <formula>M87&gt;=20</formula>
    </cfRule>
    <cfRule type="expression" rank="0" priority="348" equalAverage="0" aboveAverage="0" dxfId="1" text="" percent="0" bottom="0">
      <formula>AND(M87&gt;=10,M87&lt;20)</formula>
    </cfRule>
    <cfRule type="expression" rank="0" priority="349" equalAverage="0" aboveAverage="0" dxfId="2" text="" percent="0" bottom="0">
      <formula>AND(M87&gt;=5,M87&lt;10)</formula>
    </cfRule>
    <cfRule type="expression" rank="0" priority="350" equalAverage="0" aboveAverage="0" dxfId="3" text="" percent="0" bottom="0">
      <formula>AND(M87&gt;=1,M87&lt;5)</formula>
    </cfRule>
  </conditionalFormatting>
  <conditionalFormatting sqref="M88">
    <cfRule type="expression" rank="0" priority="351" equalAverage="0" aboveAverage="0" dxfId="0" text="" percent="0" bottom="0">
      <formula>M88&gt;=20</formula>
    </cfRule>
    <cfRule type="expression" rank="0" priority="352" equalAverage="0" aboveAverage="0" dxfId="1" text="" percent="0" bottom="0">
      <formula>AND(M88&gt;=10,M88&lt;20)</formula>
    </cfRule>
    <cfRule type="expression" rank="0" priority="353" equalAverage="0" aboveAverage="0" dxfId="2" text="" percent="0" bottom="0">
      <formula>AND(M88&gt;=5,M88&lt;10)</formula>
    </cfRule>
    <cfRule type="expression" rank="0" priority="354" equalAverage="0" aboveAverage="0" dxfId="3" text="" percent="0" bottom="0">
      <formula>AND(M88&gt;=1,M88&lt;5)</formula>
    </cfRule>
  </conditionalFormatting>
  <conditionalFormatting sqref="M89">
    <cfRule type="expression" rank="0" priority="355" equalAverage="0" aboveAverage="0" dxfId="0" text="" percent="0" bottom="0">
      <formula>M89&gt;=20</formula>
    </cfRule>
    <cfRule type="expression" rank="0" priority="356" equalAverage="0" aboveAverage="0" dxfId="1" text="" percent="0" bottom="0">
      <formula>AND(M89&gt;=10,M89&lt;20)</formula>
    </cfRule>
    <cfRule type="expression" rank="0" priority="357" equalAverage="0" aboveAverage="0" dxfId="2" text="" percent="0" bottom="0">
      <formula>AND(M89&gt;=5,M89&lt;10)</formula>
    </cfRule>
    <cfRule type="expression" rank="0" priority="358" equalAverage="0" aboveAverage="0" dxfId="3" text="" percent="0" bottom="0">
      <formula>AND(M89&gt;=1,M89&lt;5)</formula>
    </cfRule>
  </conditionalFormatting>
  <conditionalFormatting sqref="M90">
    <cfRule type="expression" rank="0" priority="359" equalAverage="0" aboveAverage="0" dxfId="0" text="" percent="0" bottom="0">
      <formula>M90&gt;=20</formula>
    </cfRule>
    <cfRule type="expression" rank="0" priority="360" equalAverage="0" aboveAverage="0" dxfId="1" text="" percent="0" bottom="0">
      <formula>AND(M90&gt;=10,M90&lt;20)</formula>
    </cfRule>
    <cfRule type="expression" rank="0" priority="361" equalAverage="0" aboveAverage="0" dxfId="2" text="" percent="0" bottom="0">
      <formula>AND(M90&gt;=5,M90&lt;10)</formula>
    </cfRule>
    <cfRule type="expression" rank="0" priority="362" equalAverage="0" aboveAverage="0" dxfId="3" text="" percent="0" bottom="0">
      <formula>AND(M90&gt;=1,M90&lt;5)</formula>
    </cfRule>
  </conditionalFormatting>
  <conditionalFormatting sqref="M91">
    <cfRule type="expression" rank="0" priority="363" equalAverage="0" aboveAverage="0" dxfId="0" text="" percent="0" bottom="0">
      <formula>M91&gt;=20</formula>
    </cfRule>
    <cfRule type="expression" rank="0" priority="364" equalAverage="0" aboveAverage="0" dxfId="1" text="" percent="0" bottom="0">
      <formula>AND(M91&gt;=10,M91&lt;20)</formula>
    </cfRule>
    <cfRule type="expression" rank="0" priority="365" equalAverage="0" aboveAverage="0" dxfId="2" text="" percent="0" bottom="0">
      <formula>AND(M91&gt;=5,M91&lt;10)</formula>
    </cfRule>
    <cfRule type="expression" rank="0" priority="366" equalAverage="0" aboveAverage="0" dxfId="3" text="" percent="0" bottom="0">
      <formula>AND(M91&gt;=1,M91&lt;5)</formula>
    </cfRule>
  </conditionalFormatting>
  <conditionalFormatting sqref="M92">
    <cfRule type="expression" rank="0" priority="367" equalAverage="0" aboveAverage="0" dxfId="0" text="" percent="0" bottom="0">
      <formula>M92&gt;=20</formula>
    </cfRule>
    <cfRule type="expression" rank="0" priority="368" equalAverage="0" aboveAverage="0" dxfId="1" text="" percent="0" bottom="0">
      <formula>AND(M92&gt;=10,M92&lt;20)</formula>
    </cfRule>
    <cfRule type="expression" rank="0" priority="369" equalAverage="0" aboveAverage="0" dxfId="2" text="" percent="0" bottom="0">
      <formula>AND(M92&gt;=5,M92&lt;10)</formula>
    </cfRule>
    <cfRule type="expression" rank="0" priority="370" equalAverage="0" aboveAverage="0" dxfId="3" text="" percent="0" bottom="0">
      <formula>AND(M92&gt;=1,M92&lt;5)</formula>
    </cfRule>
  </conditionalFormatting>
  <conditionalFormatting sqref="M93">
    <cfRule type="expression" rank="0" priority="371" equalAverage="0" aboveAverage="0" dxfId="0" text="" percent="0" bottom="0">
      <formula>M93&gt;=20</formula>
    </cfRule>
    <cfRule type="expression" rank="0" priority="372" equalAverage="0" aboveAverage="0" dxfId="1" text="" percent="0" bottom="0">
      <formula>AND(M93&gt;=10,M93&lt;20)</formula>
    </cfRule>
    <cfRule type="expression" rank="0" priority="373" equalAverage="0" aboveAverage="0" dxfId="2" text="" percent="0" bottom="0">
      <formula>AND(M93&gt;=5,M93&lt;10)</formula>
    </cfRule>
    <cfRule type="expression" rank="0" priority="374" equalAverage="0" aboveAverage="0" dxfId="3" text="" percent="0" bottom="0">
      <formula>AND(M93&gt;=1,M93&lt;5)</formula>
    </cfRule>
  </conditionalFormatting>
  <conditionalFormatting sqref="M94">
    <cfRule type="expression" rank="0" priority="375" equalAverage="0" aboveAverage="0" dxfId="0" text="" percent="0" bottom="0">
      <formula>M94&gt;=20</formula>
    </cfRule>
    <cfRule type="expression" rank="0" priority="376" equalAverage="0" aboveAverage="0" dxfId="1" text="" percent="0" bottom="0">
      <formula>AND(M94&gt;=10,M94&lt;20)</formula>
    </cfRule>
    <cfRule type="expression" rank="0" priority="377" equalAverage="0" aboveAverage="0" dxfId="2" text="" percent="0" bottom="0">
      <formula>AND(M94&gt;=5,M94&lt;10)</formula>
    </cfRule>
    <cfRule type="expression" rank="0" priority="378" equalAverage="0" aboveAverage="0" dxfId="3" text="" percent="0" bottom="0">
      <formula>AND(M94&gt;=1,M94&lt;5)</formula>
    </cfRule>
  </conditionalFormatting>
  <conditionalFormatting sqref="M95">
    <cfRule type="expression" rank="0" priority="379" equalAverage="0" aboveAverage="0" dxfId="0" text="" percent="0" bottom="0">
      <formula>M95&gt;=20</formula>
    </cfRule>
    <cfRule type="expression" rank="0" priority="380" equalAverage="0" aboveAverage="0" dxfId="1" text="" percent="0" bottom="0">
      <formula>AND(M95&gt;=10,M95&lt;20)</formula>
    </cfRule>
    <cfRule type="expression" rank="0" priority="381" equalAverage="0" aboveAverage="0" dxfId="2" text="" percent="0" bottom="0">
      <formula>AND(M95&gt;=5,M95&lt;10)</formula>
    </cfRule>
    <cfRule type="expression" rank="0" priority="382" equalAverage="0" aboveAverage="0" dxfId="3" text="" percent="0" bottom="0">
      <formula>AND(M95&gt;=1,M95&lt;5)</formula>
    </cfRule>
  </conditionalFormatting>
  <conditionalFormatting sqref="M96">
    <cfRule type="expression" rank="0" priority="383" equalAverage="0" aboveAverage="0" dxfId="0" text="" percent="0" bottom="0">
      <formula>M96&gt;=20</formula>
    </cfRule>
    <cfRule type="expression" rank="0" priority="384" equalAverage="0" aboveAverage="0" dxfId="1" text="" percent="0" bottom="0">
      <formula>AND(M96&gt;=10,M96&lt;20)</formula>
    </cfRule>
    <cfRule type="expression" rank="0" priority="385" equalAverage="0" aboveAverage="0" dxfId="2" text="" percent="0" bottom="0">
      <formula>AND(M96&gt;=5,M96&lt;10)</formula>
    </cfRule>
    <cfRule type="expression" rank="0" priority="386" equalAverage="0" aboveAverage="0" dxfId="3" text="" percent="0" bottom="0">
      <formula>AND(M96&gt;=1,M96&lt;5)</formula>
    </cfRule>
  </conditionalFormatting>
  <conditionalFormatting sqref="M97">
    <cfRule type="expression" rank="0" priority="387" equalAverage="0" aboveAverage="0" dxfId="0" text="" percent="0" bottom="0">
      <formula>M97&gt;=20</formula>
    </cfRule>
    <cfRule type="expression" rank="0" priority="388" equalAverage="0" aboveAverage="0" dxfId="1" text="" percent="0" bottom="0">
      <formula>AND(M97&gt;=10,M97&lt;20)</formula>
    </cfRule>
    <cfRule type="expression" rank="0" priority="389" equalAverage="0" aboveAverage="0" dxfId="2" text="" percent="0" bottom="0">
      <formula>AND(M97&gt;=5,M97&lt;10)</formula>
    </cfRule>
    <cfRule type="expression" rank="0" priority="390" equalAverage="0" aboveAverage="0" dxfId="3" text="" percent="0" bottom="0">
      <formula>AND(M97&gt;=1,M97&lt;5)</formula>
    </cfRule>
  </conditionalFormatting>
  <conditionalFormatting sqref="M98">
    <cfRule type="expression" rank="0" priority="391" equalAverage="0" aboveAverage="0" dxfId="0" text="" percent="0" bottom="0">
      <formula>M98&gt;=20</formula>
    </cfRule>
    <cfRule type="expression" rank="0" priority="392" equalAverage="0" aboveAverage="0" dxfId="1" text="" percent="0" bottom="0">
      <formula>AND(M98&gt;=10,M98&lt;20)</formula>
    </cfRule>
    <cfRule type="expression" rank="0" priority="393" equalAverage="0" aboveAverage="0" dxfId="2" text="" percent="0" bottom="0">
      <formula>AND(M98&gt;=5,M98&lt;10)</formula>
    </cfRule>
    <cfRule type="expression" rank="0" priority="394" equalAverage="0" aboveAverage="0" dxfId="3" text="" percent="0" bottom="0">
      <formula>AND(M98&gt;=1,M98&lt;5)</formula>
    </cfRule>
  </conditionalFormatting>
  <conditionalFormatting sqref="M99">
    <cfRule type="expression" rank="0" priority="395" equalAverage="0" aboveAverage="0" dxfId="0" text="" percent="0" bottom="0">
      <formula>M99&gt;=20</formula>
    </cfRule>
    <cfRule type="expression" rank="0" priority="396" equalAverage="0" aboveAverage="0" dxfId="1" text="" percent="0" bottom="0">
      <formula>AND(M99&gt;=10,M99&lt;20)</formula>
    </cfRule>
    <cfRule type="expression" rank="0" priority="397" equalAverage="0" aboveAverage="0" dxfId="2" text="" percent="0" bottom="0">
      <formula>AND(M99&gt;=5,M99&lt;10)</formula>
    </cfRule>
    <cfRule type="expression" rank="0" priority="398" equalAverage="0" aboveAverage="0" dxfId="3" text="" percent="0" bottom="0">
      <formula>AND(M99&gt;=1,M99&lt;5)</formula>
    </cfRule>
  </conditionalFormatting>
  <conditionalFormatting sqref="M100">
    <cfRule type="expression" rank="0" priority="399" equalAverage="0" aboveAverage="0" dxfId="0" text="" percent="0" bottom="0">
      <formula>M100&gt;=20</formula>
    </cfRule>
    <cfRule type="expression" rank="0" priority="400" equalAverage="0" aboveAverage="0" dxfId="1" text="" percent="0" bottom="0">
      <formula>AND(M100&gt;=10,M100&lt;20)</formula>
    </cfRule>
    <cfRule type="expression" rank="0" priority="401" equalAverage="0" aboveAverage="0" dxfId="2" text="" percent="0" bottom="0">
      <formula>AND(M100&gt;=5,M100&lt;10)</formula>
    </cfRule>
    <cfRule type="expression" rank="0" priority="402" equalAverage="0" aboveAverage="0" dxfId="3" text="" percent="0" bottom="0">
      <formula>AND(M100&gt;=1,M100&lt;5)</formula>
    </cfRule>
  </conditionalFormatting>
  <conditionalFormatting sqref="M101">
    <cfRule type="expression" rank="0" priority="403" equalAverage="0" aboveAverage="0" dxfId="0" text="" percent="0" bottom="0">
      <formula>M101&gt;=20</formula>
    </cfRule>
    <cfRule type="expression" rank="0" priority="404" equalAverage="0" aboveAverage="0" dxfId="1" text="" percent="0" bottom="0">
      <formula>AND(M101&gt;=10,M101&lt;20)</formula>
    </cfRule>
    <cfRule type="expression" rank="0" priority="405" equalAverage="0" aboveAverage="0" dxfId="2" text="" percent="0" bottom="0">
      <formula>AND(M101&gt;=5,M101&lt;10)</formula>
    </cfRule>
    <cfRule type="expression" rank="0" priority="406" equalAverage="0" aboveAverage="0" dxfId="3" text="" percent="0" bottom="0">
      <formula>AND(M101&gt;=1,M101&lt;5)</formula>
    </cfRule>
  </conditionalFormatting>
  <conditionalFormatting sqref="M102">
    <cfRule type="expression" rank="0" priority="407" equalAverage="0" aboveAverage="0" dxfId="0" text="" percent="0" bottom="0">
      <formula>M102&gt;=20</formula>
    </cfRule>
    <cfRule type="expression" rank="0" priority="408" equalAverage="0" aboveAverage="0" dxfId="1" text="" percent="0" bottom="0">
      <formula>AND(M102&gt;=10,M102&lt;20)</formula>
    </cfRule>
    <cfRule type="expression" rank="0" priority="409" equalAverage="0" aboveAverage="0" dxfId="2" text="" percent="0" bottom="0">
      <formula>AND(M102&gt;=5,M102&lt;10)</formula>
    </cfRule>
    <cfRule type="expression" rank="0" priority="410" equalAverage="0" aboveAverage="0" dxfId="3" text="" percent="0" bottom="0">
      <formula>AND(M102&gt;=1,M102&lt;5)</formula>
    </cfRule>
  </conditionalFormatting>
  <conditionalFormatting sqref="M103">
    <cfRule type="expression" rank="0" priority="411" equalAverage="0" aboveAverage="0" dxfId="0" text="" percent="0" bottom="0">
      <formula>M103&gt;=20</formula>
    </cfRule>
    <cfRule type="expression" rank="0" priority="412" equalAverage="0" aboveAverage="0" dxfId="1" text="" percent="0" bottom="0">
      <formula>AND(M103&gt;=10,M103&lt;20)</formula>
    </cfRule>
    <cfRule type="expression" rank="0" priority="413" equalAverage="0" aboveAverage="0" dxfId="2" text="" percent="0" bottom="0">
      <formula>AND(M103&gt;=5,M103&lt;10)</formula>
    </cfRule>
    <cfRule type="expression" rank="0" priority="414" equalAverage="0" aboveAverage="0" dxfId="3" text="" percent="0" bottom="0">
      <formula>AND(M103&gt;=1,M103&lt;5)</formula>
    </cfRule>
  </conditionalFormatting>
  <conditionalFormatting sqref="M104">
    <cfRule type="expression" rank="0" priority="415" equalAverage="0" aboveAverage="0" dxfId="0" text="" percent="0" bottom="0">
      <formula>M104&gt;=20</formula>
    </cfRule>
    <cfRule type="expression" rank="0" priority="416" equalAverage="0" aboveAverage="0" dxfId="1" text="" percent="0" bottom="0">
      <formula>AND(M104&gt;=10,M104&lt;20)</formula>
    </cfRule>
    <cfRule type="expression" rank="0" priority="417" equalAverage="0" aboveAverage="0" dxfId="2" text="" percent="0" bottom="0">
      <formula>AND(M104&gt;=5,M104&lt;10)</formula>
    </cfRule>
    <cfRule type="expression" rank="0" priority="418" equalAverage="0" aboveAverage="0" dxfId="3" text="" percent="0" bottom="0">
      <formula>AND(M104&gt;=1,M104&lt;5)</formula>
    </cfRule>
  </conditionalFormatting>
  <conditionalFormatting sqref="M105">
    <cfRule type="expression" rank="0" priority="419" equalAverage="0" aboveAverage="0" dxfId="0" text="" percent="0" bottom="0">
      <formula>M105&gt;=20</formula>
    </cfRule>
    <cfRule type="expression" rank="0" priority="420" equalAverage="0" aboveAverage="0" dxfId="1" text="" percent="0" bottom="0">
      <formula>AND(M105&gt;=10,M105&lt;20)</formula>
    </cfRule>
    <cfRule type="expression" rank="0" priority="421" equalAverage="0" aboveAverage="0" dxfId="2" text="" percent="0" bottom="0">
      <formula>AND(M105&gt;=5,M105&lt;10)</formula>
    </cfRule>
    <cfRule type="expression" rank="0" priority="422" equalAverage="0" aboveAverage="0" dxfId="3" text="" percent="0" bottom="0">
      <formula>AND(M105&gt;=1,M105&lt;5)</formula>
    </cfRule>
  </conditionalFormatting>
  <conditionalFormatting sqref="M106">
    <cfRule type="expression" rank="0" priority="423" equalAverage="0" aboveAverage="0" dxfId="0" text="" percent="0" bottom="0">
      <formula>M106&gt;=20</formula>
    </cfRule>
    <cfRule type="expression" rank="0" priority="424" equalAverage="0" aboveAverage="0" dxfId="1" text="" percent="0" bottom="0">
      <formula>AND(M106&gt;=10,M106&lt;20)</formula>
    </cfRule>
    <cfRule type="expression" rank="0" priority="425" equalAverage="0" aboveAverage="0" dxfId="2" text="" percent="0" bottom="0">
      <formula>AND(M106&gt;=5,M106&lt;10)</formula>
    </cfRule>
    <cfRule type="expression" rank="0" priority="426" equalAverage="0" aboveAverage="0" dxfId="3" text="" percent="0" bottom="0">
      <formula>AND(M106&gt;=1,M106&lt;5)</formula>
    </cfRule>
  </conditionalFormatting>
  <conditionalFormatting sqref="M107">
    <cfRule type="expression" rank="0" priority="427" equalAverage="0" aboveAverage="0" dxfId="0" text="" percent="0" bottom="0">
      <formula>M107&gt;=20</formula>
    </cfRule>
    <cfRule type="expression" rank="0" priority="428" equalAverage="0" aboveAverage="0" dxfId="1" text="" percent="0" bottom="0">
      <formula>AND(M107&gt;=10,M107&lt;20)</formula>
    </cfRule>
    <cfRule type="expression" rank="0" priority="429" equalAverage="0" aboveAverage="0" dxfId="2" text="" percent="0" bottom="0">
      <formula>AND(M107&gt;=5,M107&lt;10)</formula>
    </cfRule>
    <cfRule type="expression" rank="0" priority="430" equalAverage="0" aboveAverage="0" dxfId="3" text="" percent="0" bottom="0">
      <formula>AND(M107&gt;=1,M107&lt;5)</formula>
    </cfRule>
  </conditionalFormatting>
  <conditionalFormatting sqref="M108">
    <cfRule type="expression" rank="0" priority="431" equalAverage="0" aboveAverage="0" dxfId="0" text="" percent="0" bottom="0">
      <formula>M108&gt;=20</formula>
    </cfRule>
    <cfRule type="expression" rank="0" priority="432" equalAverage="0" aboveAverage="0" dxfId="1" text="" percent="0" bottom="0">
      <formula>AND(M108&gt;=10,M108&lt;20)</formula>
    </cfRule>
    <cfRule type="expression" rank="0" priority="433" equalAverage="0" aboveAverage="0" dxfId="2" text="" percent="0" bottom="0">
      <formula>AND(M108&gt;=5,M108&lt;10)</formula>
    </cfRule>
    <cfRule type="expression" rank="0" priority="434" equalAverage="0" aboveAverage="0" dxfId="3" text="" percent="0" bottom="0">
      <formula>AND(M108&gt;=1,M108&lt;5)</formula>
    </cfRule>
  </conditionalFormatting>
  <conditionalFormatting sqref="M109">
    <cfRule type="expression" rank="0" priority="435" equalAverage="0" aboveAverage="0" dxfId="0" text="" percent="0" bottom="0">
      <formula>M109&gt;=20</formula>
    </cfRule>
    <cfRule type="expression" rank="0" priority="436" equalAverage="0" aboveAverage="0" dxfId="1" text="" percent="0" bottom="0">
      <formula>AND(M109&gt;=10,M109&lt;20)</formula>
    </cfRule>
    <cfRule type="expression" rank="0" priority="437" equalAverage="0" aboveAverage="0" dxfId="2" text="" percent="0" bottom="0">
      <formula>AND(M109&gt;=5,M109&lt;10)</formula>
    </cfRule>
    <cfRule type="expression" rank="0" priority="438" equalAverage="0" aboveAverage="0" dxfId="3" text="" percent="0" bottom="0">
      <formula>AND(M109&gt;=1,M109&lt;5)</formula>
    </cfRule>
  </conditionalFormatting>
  <conditionalFormatting sqref="M110">
    <cfRule type="expression" rank="0" priority="439" equalAverage="0" aboveAverage="0" dxfId="0" text="" percent="0" bottom="0">
      <formula>M110&gt;=20</formula>
    </cfRule>
    <cfRule type="expression" rank="0" priority="440" equalAverage="0" aboveAverage="0" dxfId="1" text="" percent="0" bottom="0">
      <formula>AND(M110&gt;=10,M110&lt;20)</formula>
    </cfRule>
    <cfRule type="expression" rank="0" priority="441" equalAverage="0" aboveAverage="0" dxfId="2" text="" percent="0" bottom="0">
      <formula>AND(M110&gt;=5,M110&lt;10)</formula>
    </cfRule>
    <cfRule type="expression" rank="0" priority="442" equalAverage="0" aboveAverage="0" dxfId="3" text="" percent="0" bottom="0">
      <formula>AND(M110&gt;=1,M110&lt;5)</formula>
    </cfRule>
  </conditionalFormatting>
  <conditionalFormatting sqref="M111">
    <cfRule type="expression" rank="0" priority="443" equalAverage="0" aboveAverage="0" dxfId="0" text="" percent="0" bottom="0">
      <formula>M111&gt;=20</formula>
    </cfRule>
    <cfRule type="expression" rank="0" priority="444" equalAverage="0" aboveAverage="0" dxfId="1" text="" percent="0" bottom="0">
      <formula>AND(M111&gt;=10,M111&lt;20)</formula>
    </cfRule>
    <cfRule type="expression" rank="0" priority="445" equalAverage="0" aboveAverage="0" dxfId="2" text="" percent="0" bottom="0">
      <formula>AND(M111&gt;=5,M111&lt;10)</formula>
    </cfRule>
    <cfRule type="expression" rank="0" priority="446" equalAverage="0" aboveAverage="0" dxfId="3" text="" percent="0" bottom="0">
      <formula>AND(M111&gt;=1,M111&lt;5)</formula>
    </cfRule>
  </conditionalFormatting>
  <conditionalFormatting sqref="M112">
    <cfRule type="expression" rank="0" priority="447" equalAverage="0" aboveAverage="0" dxfId="0" text="" percent="0" bottom="0">
      <formula>M112&gt;=20</formula>
    </cfRule>
    <cfRule type="expression" rank="0" priority="448" equalAverage="0" aboveAverage="0" dxfId="1" text="" percent="0" bottom="0">
      <formula>AND(M112&gt;=10,M112&lt;20)</formula>
    </cfRule>
    <cfRule type="expression" rank="0" priority="449" equalAverage="0" aboveAverage="0" dxfId="2" text="" percent="0" bottom="0">
      <formula>AND(M112&gt;=5,M112&lt;10)</formula>
    </cfRule>
    <cfRule type="expression" rank="0" priority="450" equalAverage="0" aboveAverage="0" dxfId="3" text="" percent="0" bottom="0">
      <formula>AND(M112&gt;=1,M112&lt;5)</formula>
    </cfRule>
  </conditionalFormatting>
  <conditionalFormatting sqref="M113">
    <cfRule type="expression" rank="0" priority="451" equalAverage="0" aboveAverage="0" dxfId="0" text="" percent="0" bottom="0">
      <formula>M113&gt;=20</formula>
    </cfRule>
    <cfRule type="expression" rank="0" priority="452" equalAverage="0" aboveAverage="0" dxfId="1" text="" percent="0" bottom="0">
      <formula>AND(M113&gt;=10,M113&lt;20)</formula>
    </cfRule>
    <cfRule type="expression" rank="0" priority="453" equalAverage="0" aboveAverage="0" dxfId="2" text="" percent="0" bottom="0">
      <formula>AND(M113&gt;=5,M113&lt;10)</formula>
    </cfRule>
    <cfRule type="expression" rank="0" priority="454" equalAverage="0" aboveAverage="0" dxfId="3" text="" percent="0" bottom="0">
      <formula>AND(M113&gt;=1,M113&lt;5)</formula>
    </cfRule>
  </conditionalFormatting>
  <conditionalFormatting sqref="M114">
    <cfRule type="expression" rank="0" priority="455" equalAverage="0" aboveAverage="0" dxfId="0" text="" percent="0" bottom="0">
      <formula>M114&gt;=20</formula>
    </cfRule>
    <cfRule type="expression" rank="0" priority="456" equalAverage="0" aboveAverage="0" dxfId="1" text="" percent="0" bottom="0">
      <formula>AND(M114&gt;=10,M114&lt;20)</formula>
    </cfRule>
    <cfRule type="expression" rank="0" priority="457" equalAverage="0" aboveAverage="0" dxfId="2" text="" percent="0" bottom="0">
      <formula>AND(M114&gt;=5,M114&lt;10)</formula>
    </cfRule>
    <cfRule type="expression" rank="0" priority="458" equalAverage="0" aboveAverage="0" dxfId="3" text="" percent="0" bottom="0">
      <formula>AND(M114&gt;=1,M114&lt;5)</formula>
    </cfRule>
  </conditionalFormatting>
  <conditionalFormatting sqref="M115">
    <cfRule type="expression" rank="0" priority="459" equalAverage="0" aboveAverage="0" dxfId="0" text="" percent="0" bottom="0">
      <formula>M115&gt;=20</formula>
    </cfRule>
    <cfRule type="expression" rank="0" priority="460" equalAverage="0" aboveAverage="0" dxfId="1" text="" percent="0" bottom="0">
      <formula>AND(M115&gt;=10,M115&lt;20)</formula>
    </cfRule>
    <cfRule type="expression" rank="0" priority="461" equalAverage="0" aboveAverage="0" dxfId="2" text="" percent="0" bottom="0">
      <formula>AND(M115&gt;=5,M115&lt;10)</formula>
    </cfRule>
    <cfRule type="expression" rank="0" priority="462" equalAverage="0" aboveAverage="0" dxfId="3" text="" percent="0" bottom="0">
      <formula>AND(M115&gt;=1,M115&lt;5)</formula>
    </cfRule>
  </conditionalFormatting>
  <conditionalFormatting sqref="M116">
    <cfRule type="expression" rank="0" priority="463" equalAverage="0" aboveAverage="0" dxfId="0" text="" percent="0" bottom="0">
      <formula>M116&gt;=20</formula>
    </cfRule>
    <cfRule type="expression" rank="0" priority="464" equalAverage="0" aboveAverage="0" dxfId="1" text="" percent="0" bottom="0">
      <formula>AND(M116&gt;=10,M116&lt;20)</formula>
    </cfRule>
    <cfRule type="expression" rank="0" priority="465" equalAverage="0" aboveAverage="0" dxfId="2" text="" percent="0" bottom="0">
      <formula>AND(M116&gt;=5,M116&lt;10)</formula>
    </cfRule>
    <cfRule type="expression" rank="0" priority="466" equalAverage="0" aboveAverage="0" dxfId="3" text="" percent="0" bottom="0">
      <formula>AND(M116&gt;=1,M116&lt;5)</formula>
    </cfRule>
  </conditionalFormatting>
  <conditionalFormatting sqref="M117">
    <cfRule type="expression" rank="0" priority="467" equalAverage="0" aboveAverage="0" dxfId="0" text="" percent="0" bottom="0">
      <formula>M117&gt;=20</formula>
    </cfRule>
    <cfRule type="expression" rank="0" priority="468" equalAverage="0" aboveAverage="0" dxfId="1" text="" percent="0" bottom="0">
      <formula>AND(M117&gt;=10,M117&lt;20)</formula>
    </cfRule>
    <cfRule type="expression" rank="0" priority="469" equalAverage="0" aboveAverage="0" dxfId="2" text="" percent="0" bottom="0">
      <formula>AND(M117&gt;=5,M117&lt;10)</formula>
    </cfRule>
    <cfRule type="expression" rank="0" priority="470" equalAverage="0" aboveAverage="0" dxfId="3" text="" percent="0" bottom="0">
      <formula>AND(M117&gt;=1,M117&lt;5)</formula>
    </cfRule>
  </conditionalFormatting>
  <conditionalFormatting sqref="M118">
    <cfRule type="expression" rank="0" priority="471" equalAverage="0" aboveAverage="0" dxfId="0" text="" percent="0" bottom="0">
      <formula>M118&gt;=20</formula>
    </cfRule>
    <cfRule type="expression" rank="0" priority="472" equalAverage="0" aboveAverage="0" dxfId="1" text="" percent="0" bottom="0">
      <formula>AND(M118&gt;=10,M118&lt;20)</formula>
    </cfRule>
    <cfRule type="expression" rank="0" priority="473" equalAverage="0" aboveAverage="0" dxfId="2" text="" percent="0" bottom="0">
      <formula>AND(M118&gt;=5,M118&lt;10)</formula>
    </cfRule>
    <cfRule type="expression" rank="0" priority="474" equalAverage="0" aboveAverage="0" dxfId="3" text="" percent="0" bottom="0">
      <formula>AND(M118&gt;=1,M118&lt;5)</formula>
    </cfRule>
  </conditionalFormatting>
  <conditionalFormatting sqref="M119">
    <cfRule type="expression" rank="0" priority="475" equalAverage="0" aboveAverage="0" dxfId="0" text="" percent="0" bottom="0">
      <formula>M119&gt;=20</formula>
    </cfRule>
    <cfRule type="expression" rank="0" priority="476" equalAverage="0" aboveAverage="0" dxfId="1" text="" percent="0" bottom="0">
      <formula>AND(M119&gt;=10,M119&lt;20)</formula>
    </cfRule>
    <cfRule type="expression" rank="0" priority="477" equalAverage="0" aboveAverage="0" dxfId="2" text="" percent="0" bottom="0">
      <formula>AND(M119&gt;=5,M119&lt;10)</formula>
    </cfRule>
    <cfRule type="expression" rank="0" priority="478" equalAverage="0" aboveAverage="0" dxfId="3" text="" percent="0" bottom="0">
      <formula>AND(M119&gt;=1,M119&lt;5)</formula>
    </cfRule>
  </conditionalFormatting>
  <conditionalFormatting sqref="M120">
    <cfRule type="expression" rank="0" priority="479" equalAverage="0" aboveAverage="0" dxfId="0" text="" percent="0" bottom="0">
      <formula>M120&gt;=20</formula>
    </cfRule>
    <cfRule type="expression" rank="0" priority="480" equalAverage="0" aboveAverage="0" dxfId="1" text="" percent="0" bottom="0">
      <formula>AND(M120&gt;=10,M120&lt;20)</formula>
    </cfRule>
    <cfRule type="expression" rank="0" priority="481" equalAverage="0" aboveAverage="0" dxfId="2" text="" percent="0" bottom="0">
      <formula>AND(M120&gt;=5,M120&lt;10)</formula>
    </cfRule>
    <cfRule type="expression" rank="0" priority="482" equalAverage="0" aboveAverage="0" dxfId="3" text="" percent="0" bottom="0">
      <formula>AND(M120&gt;=1,M120&lt;5)</formula>
    </cfRule>
  </conditionalFormatting>
  <conditionalFormatting sqref="M121">
    <cfRule type="expression" rank="0" priority="483" equalAverage="0" aboveAverage="0" dxfId="0" text="" percent="0" bottom="0">
      <formula>M121&gt;=20</formula>
    </cfRule>
    <cfRule type="expression" rank="0" priority="484" equalAverage="0" aboveAverage="0" dxfId="1" text="" percent="0" bottom="0">
      <formula>AND(M121&gt;=10,M121&lt;20)</formula>
    </cfRule>
    <cfRule type="expression" rank="0" priority="485" equalAverage="0" aboveAverage="0" dxfId="2" text="" percent="0" bottom="0">
      <formula>AND(M121&gt;=5,M121&lt;10)</formula>
    </cfRule>
    <cfRule type="expression" rank="0" priority="486" equalAverage="0" aboveAverage="0" dxfId="3" text="" percent="0" bottom="0">
      <formula>AND(M121&gt;=1,M121&lt;5)</formula>
    </cfRule>
  </conditionalFormatting>
  <conditionalFormatting sqref="M122">
    <cfRule type="expression" rank="0" priority="487" equalAverage="0" aboveAverage="0" dxfId="0" text="" percent="0" bottom="0">
      <formula>M122&gt;=20</formula>
    </cfRule>
    <cfRule type="expression" rank="0" priority="488" equalAverage="0" aboveAverage="0" dxfId="1" text="" percent="0" bottom="0">
      <formula>AND(M122&gt;=10,M122&lt;20)</formula>
    </cfRule>
    <cfRule type="expression" rank="0" priority="489" equalAverage="0" aboveAverage="0" dxfId="2" text="" percent="0" bottom="0">
      <formula>AND(M122&gt;=5,M122&lt;10)</formula>
    </cfRule>
    <cfRule type="expression" rank="0" priority="490" equalAverage="0" aboveAverage="0" dxfId="3" text="" percent="0" bottom="0">
      <formula>AND(M122&gt;=1,M122&lt;5)</formula>
    </cfRule>
  </conditionalFormatting>
  <conditionalFormatting sqref="M123">
    <cfRule type="expression" rank="0" priority="491" equalAverage="0" aboveAverage="0" dxfId="0" text="" percent="0" bottom="0">
      <formula>M123&gt;=20</formula>
    </cfRule>
    <cfRule type="expression" rank="0" priority="492" equalAverage="0" aboveAverage="0" dxfId="1" text="" percent="0" bottom="0">
      <formula>AND(M123&gt;=10,M123&lt;20)</formula>
    </cfRule>
    <cfRule type="expression" rank="0" priority="493" equalAverage="0" aboveAverage="0" dxfId="2" text="" percent="0" bottom="0">
      <formula>AND(M123&gt;=5,M123&lt;10)</formula>
    </cfRule>
    <cfRule type="expression" rank="0" priority="494" equalAverage="0" aboveAverage="0" dxfId="3" text="" percent="0" bottom="0">
      <formula>AND(M123&gt;=1,M123&lt;5)</formula>
    </cfRule>
  </conditionalFormatting>
  <conditionalFormatting sqref="M124">
    <cfRule type="expression" rank="0" priority="495" equalAverage="0" aboveAverage="0" dxfId="0" text="" percent="0" bottom="0">
      <formula>M124&gt;=20</formula>
    </cfRule>
    <cfRule type="expression" rank="0" priority="496" equalAverage="0" aboveAverage="0" dxfId="1" text="" percent="0" bottom="0">
      <formula>AND(M124&gt;=10,M124&lt;20)</formula>
    </cfRule>
    <cfRule type="expression" rank="0" priority="497" equalAverage="0" aboveAverage="0" dxfId="2" text="" percent="0" bottom="0">
      <formula>AND(M124&gt;=5,M124&lt;10)</formula>
    </cfRule>
    <cfRule type="expression" rank="0" priority="498" equalAverage="0" aboveAverage="0" dxfId="3" text="" percent="0" bottom="0">
      <formula>AND(M124&gt;=1,M124&lt;5)</formula>
    </cfRule>
  </conditionalFormatting>
  <conditionalFormatting sqref="M125">
    <cfRule type="expression" rank="0" priority="499" equalAverage="0" aboveAverage="0" dxfId="0" text="" percent="0" bottom="0">
      <formula>M125&gt;=20</formula>
    </cfRule>
    <cfRule type="expression" rank="0" priority="500" equalAverage="0" aboveAverage="0" dxfId="1" text="" percent="0" bottom="0">
      <formula>AND(M125&gt;=10,M125&lt;20)</formula>
    </cfRule>
    <cfRule type="expression" rank="0" priority="501" equalAverage="0" aboveAverage="0" dxfId="2" text="" percent="0" bottom="0">
      <formula>AND(M125&gt;=5,M125&lt;10)</formula>
    </cfRule>
    <cfRule type="expression" rank="0" priority="502" equalAverage="0" aboveAverage="0" dxfId="3" text="" percent="0" bottom="0">
      <formula>AND(M125&gt;=1,M125&lt;5)</formula>
    </cfRule>
  </conditionalFormatting>
  <conditionalFormatting sqref="M126">
    <cfRule type="expression" rank="0" priority="503" equalAverage="0" aboveAverage="0" dxfId="0" text="" percent="0" bottom="0">
      <formula>M126&gt;=20</formula>
    </cfRule>
    <cfRule type="expression" rank="0" priority="504" equalAverage="0" aboveAverage="0" dxfId="1" text="" percent="0" bottom="0">
      <formula>AND(M126&gt;=10,M126&lt;20)</formula>
    </cfRule>
    <cfRule type="expression" rank="0" priority="505" equalAverage="0" aboveAverage="0" dxfId="2" text="" percent="0" bottom="0">
      <formula>AND(M126&gt;=5,M126&lt;10)</formula>
    </cfRule>
    <cfRule type="expression" rank="0" priority="506" equalAverage="0" aboveAverage="0" dxfId="3" text="" percent="0" bottom="0">
      <formula>AND(M126&gt;=1,M126&lt;5)</formula>
    </cfRule>
  </conditionalFormatting>
  <conditionalFormatting sqref="M127">
    <cfRule type="expression" rank="0" priority="507" equalAverage="0" aboveAverage="0" dxfId="0" text="" percent="0" bottom="0">
      <formula>M127&gt;=20</formula>
    </cfRule>
    <cfRule type="expression" rank="0" priority="508" equalAverage="0" aboveAverage="0" dxfId="1" text="" percent="0" bottom="0">
      <formula>AND(M127&gt;=10,M127&lt;20)</formula>
    </cfRule>
    <cfRule type="expression" rank="0" priority="509" equalAverage="0" aboveAverage="0" dxfId="2" text="" percent="0" bottom="0">
      <formula>AND(M127&gt;=5,M127&lt;10)</formula>
    </cfRule>
    <cfRule type="expression" rank="0" priority="510" equalAverage="0" aboveAverage="0" dxfId="3" text="" percent="0" bottom="0">
      <formula>AND(M127&gt;=1,M127&lt;5)</formula>
    </cfRule>
  </conditionalFormatting>
  <conditionalFormatting sqref="M128">
    <cfRule type="expression" rank="0" priority="511" equalAverage="0" aboveAverage="0" dxfId="0" text="" percent="0" bottom="0">
      <formula>M128&gt;=20</formula>
    </cfRule>
    <cfRule type="expression" rank="0" priority="512" equalAverage="0" aboveAverage="0" dxfId="1" text="" percent="0" bottom="0">
      <formula>AND(M128&gt;=10,M128&lt;20)</formula>
    </cfRule>
    <cfRule type="expression" rank="0" priority="513" equalAverage="0" aboveAverage="0" dxfId="2" text="" percent="0" bottom="0">
      <formula>AND(M128&gt;=5,M128&lt;10)</formula>
    </cfRule>
    <cfRule type="expression" rank="0" priority="514" equalAverage="0" aboveAverage="0" dxfId="3" text="" percent="0" bottom="0">
      <formula>AND(M128&gt;=1,M128&lt;5)</formula>
    </cfRule>
  </conditionalFormatting>
  <conditionalFormatting sqref="M129">
    <cfRule type="expression" rank="0" priority="515" equalAverage="0" aboveAverage="0" dxfId="0" text="" percent="0" bottom="0">
      <formula>M129&gt;=20</formula>
    </cfRule>
    <cfRule type="expression" rank="0" priority="516" equalAverage="0" aboveAverage="0" dxfId="1" text="" percent="0" bottom="0">
      <formula>AND(M129&gt;=10,M129&lt;20)</formula>
    </cfRule>
    <cfRule type="expression" rank="0" priority="517" equalAverage="0" aboveAverage="0" dxfId="2" text="" percent="0" bottom="0">
      <formula>AND(M129&gt;=5,M129&lt;10)</formula>
    </cfRule>
    <cfRule type="expression" rank="0" priority="518" equalAverage="0" aboveAverage="0" dxfId="3" text="" percent="0" bottom="0">
      <formula>AND(M129&gt;=1,M129&lt;5)</formula>
    </cfRule>
  </conditionalFormatting>
  <conditionalFormatting sqref="M130">
    <cfRule type="expression" rank="0" priority="519" equalAverage="0" aboveAverage="0" dxfId="0" text="" percent="0" bottom="0">
      <formula>M130&gt;=20</formula>
    </cfRule>
    <cfRule type="expression" rank="0" priority="520" equalAverage="0" aboveAverage="0" dxfId="1" text="" percent="0" bottom="0">
      <formula>AND(M130&gt;=10,M130&lt;20)</formula>
    </cfRule>
    <cfRule type="expression" rank="0" priority="521" equalAverage="0" aboveAverage="0" dxfId="2" text="" percent="0" bottom="0">
      <formula>AND(M130&gt;=5,M130&lt;10)</formula>
    </cfRule>
    <cfRule type="expression" rank="0" priority="522" equalAverage="0" aboveAverage="0" dxfId="3" text="" percent="0" bottom="0">
      <formula>AND(M130&gt;=1,M130&lt;5)</formula>
    </cfRule>
  </conditionalFormatting>
  <conditionalFormatting sqref="M131">
    <cfRule type="expression" rank="0" priority="523" equalAverage="0" aboveAverage="0" dxfId="0" text="" percent="0" bottom="0">
      <formula>M131&gt;=20</formula>
    </cfRule>
    <cfRule type="expression" rank="0" priority="524" equalAverage="0" aboveAverage="0" dxfId="1" text="" percent="0" bottom="0">
      <formula>AND(M131&gt;=10,M131&lt;20)</formula>
    </cfRule>
    <cfRule type="expression" rank="0" priority="525" equalAverage="0" aboveAverage="0" dxfId="2" text="" percent="0" bottom="0">
      <formula>AND(M131&gt;=5,M131&lt;10)</formula>
    </cfRule>
    <cfRule type="expression" rank="0" priority="526" equalAverage="0" aboveAverage="0" dxfId="3" text="" percent="0" bottom="0">
      <formula>AND(M131&gt;=1,M131&lt;5)</formula>
    </cfRule>
  </conditionalFormatting>
  <conditionalFormatting sqref="M132">
    <cfRule type="expression" rank="0" priority="527" equalAverage="0" aboveAverage="0" dxfId="0" text="" percent="0" bottom="0">
      <formula>M132&gt;=20</formula>
    </cfRule>
    <cfRule type="expression" rank="0" priority="528" equalAverage="0" aboveAverage="0" dxfId="1" text="" percent="0" bottom="0">
      <formula>AND(M132&gt;=10,M132&lt;20)</formula>
    </cfRule>
    <cfRule type="expression" rank="0" priority="529" equalAverage="0" aboveAverage="0" dxfId="2" text="" percent="0" bottom="0">
      <formula>AND(M132&gt;=5,M132&lt;10)</formula>
    </cfRule>
    <cfRule type="expression" rank="0" priority="530" equalAverage="0" aboveAverage="0" dxfId="3" text="" percent="0" bottom="0">
      <formula>AND(M132&gt;=1,M132&lt;5)</formula>
    </cfRule>
  </conditionalFormatting>
  <conditionalFormatting sqref="M133">
    <cfRule type="expression" rank="0" priority="531" equalAverage="0" aboveAverage="0" dxfId="0" text="" percent="0" bottom="0">
      <formula>M133&gt;=20</formula>
    </cfRule>
    <cfRule type="expression" rank="0" priority="532" equalAverage="0" aboveAverage="0" dxfId="1" text="" percent="0" bottom="0">
      <formula>AND(M133&gt;=10,M133&lt;20)</formula>
    </cfRule>
    <cfRule type="expression" rank="0" priority="533" equalAverage="0" aboveAverage="0" dxfId="2" text="" percent="0" bottom="0">
      <formula>AND(M133&gt;=5,M133&lt;10)</formula>
    </cfRule>
    <cfRule type="expression" rank="0" priority="534" equalAverage="0" aboveAverage="0" dxfId="3" text="" percent="0" bottom="0">
      <formula>AND(M133&gt;=1,M133&lt;5)</formula>
    </cfRule>
  </conditionalFormatting>
  <conditionalFormatting sqref="M134">
    <cfRule type="expression" rank="0" priority="535" equalAverage="0" aboveAverage="0" dxfId="0" text="" percent="0" bottom="0">
      <formula>M134&gt;=20</formula>
    </cfRule>
    <cfRule type="expression" rank="0" priority="536" equalAverage="0" aboveAverage="0" dxfId="1" text="" percent="0" bottom="0">
      <formula>AND(M134&gt;=10,M134&lt;20)</formula>
    </cfRule>
    <cfRule type="expression" rank="0" priority="537" equalAverage="0" aboveAverage="0" dxfId="2" text="" percent="0" bottom="0">
      <formula>AND(M134&gt;=5,M134&lt;10)</formula>
    </cfRule>
    <cfRule type="expression" rank="0" priority="538" equalAverage="0" aboveAverage="0" dxfId="3" text="" percent="0" bottom="0">
      <formula>AND(M134&gt;=1,M134&lt;5)</formula>
    </cfRule>
  </conditionalFormatting>
  <conditionalFormatting sqref="M135">
    <cfRule type="expression" rank="0" priority="539" equalAverage="0" aboveAverage="0" dxfId="0" text="" percent="0" bottom="0">
      <formula>M135&gt;=20</formula>
    </cfRule>
    <cfRule type="expression" rank="0" priority="540" equalAverage="0" aboveAverage="0" dxfId="1" text="" percent="0" bottom="0">
      <formula>AND(M135&gt;=10,M135&lt;20)</formula>
    </cfRule>
    <cfRule type="expression" rank="0" priority="541" equalAverage="0" aboveAverage="0" dxfId="2" text="" percent="0" bottom="0">
      <formula>AND(M135&gt;=5,M135&lt;10)</formula>
    </cfRule>
    <cfRule type="expression" rank="0" priority="542" equalAverage="0" aboveAverage="0" dxfId="3" text="" percent="0" bottom="0">
      <formula>AND(M135&gt;=1,M135&lt;5)</formula>
    </cfRule>
  </conditionalFormatting>
  <conditionalFormatting sqref="M136">
    <cfRule type="expression" rank="0" priority="543" equalAverage="0" aboveAverage="0" dxfId="0" text="" percent="0" bottom="0">
      <formula>M136&gt;=20</formula>
    </cfRule>
    <cfRule type="expression" rank="0" priority="544" equalAverage="0" aboveAverage="0" dxfId="1" text="" percent="0" bottom="0">
      <formula>AND(M136&gt;=10,M136&lt;20)</formula>
    </cfRule>
    <cfRule type="expression" rank="0" priority="545" equalAverage="0" aboveAverage="0" dxfId="2" text="" percent="0" bottom="0">
      <formula>AND(M136&gt;=5,M136&lt;10)</formula>
    </cfRule>
    <cfRule type="expression" rank="0" priority="546" equalAverage="0" aboveAverage="0" dxfId="3" text="" percent="0" bottom="0">
      <formula>AND(M136&gt;=1,M136&lt;5)</formula>
    </cfRule>
  </conditionalFormatting>
  <conditionalFormatting sqref="M137">
    <cfRule type="expression" rank="0" priority="547" equalAverage="0" aboveAverage="0" dxfId="0" text="" percent="0" bottom="0">
      <formula>M137&gt;=20</formula>
    </cfRule>
    <cfRule type="expression" rank="0" priority="548" equalAverage="0" aboveAverage="0" dxfId="1" text="" percent="0" bottom="0">
      <formula>AND(M137&gt;=10,M137&lt;20)</formula>
    </cfRule>
    <cfRule type="expression" rank="0" priority="549" equalAverage="0" aboveAverage="0" dxfId="2" text="" percent="0" bottom="0">
      <formula>AND(M137&gt;=5,M137&lt;10)</formula>
    </cfRule>
    <cfRule type="expression" rank="0" priority="550" equalAverage="0" aboveAverage="0" dxfId="3" text="" percent="0" bottom="0">
      <formula>AND(M137&gt;=1,M137&lt;5)</formula>
    </cfRule>
  </conditionalFormatting>
  <conditionalFormatting sqref="M138">
    <cfRule type="expression" rank="0" priority="551" equalAverage="0" aboveAverage="0" dxfId="0" text="" percent="0" bottom="0">
      <formula>M138&gt;=20</formula>
    </cfRule>
    <cfRule type="expression" rank="0" priority="552" equalAverage="0" aboveAverage="0" dxfId="1" text="" percent="0" bottom="0">
      <formula>AND(M138&gt;=10,M138&lt;20)</formula>
    </cfRule>
    <cfRule type="expression" rank="0" priority="553" equalAverage="0" aboveAverage="0" dxfId="2" text="" percent="0" bottom="0">
      <formula>AND(M138&gt;=5,M138&lt;10)</formula>
    </cfRule>
    <cfRule type="expression" rank="0" priority="554" equalAverage="0" aboveAverage="0" dxfId="3" text="" percent="0" bottom="0">
      <formula>AND(M138&gt;=1,M138&lt;5)</formula>
    </cfRule>
  </conditionalFormatting>
  <conditionalFormatting sqref="M139">
    <cfRule type="expression" rank="0" priority="555" equalAverage="0" aboveAverage="0" dxfId="0" text="" percent="0" bottom="0">
      <formula>M139&gt;=20</formula>
    </cfRule>
    <cfRule type="expression" rank="0" priority="556" equalAverage="0" aboveAverage="0" dxfId="1" text="" percent="0" bottom="0">
      <formula>AND(M139&gt;=10,M139&lt;20)</formula>
    </cfRule>
    <cfRule type="expression" rank="0" priority="557" equalAverage="0" aboveAverage="0" dxfId="2" text="" percent="0" bottom="0">
      <formula>AND(M139&gt;=5,M139&lt;10)</formula>
    </cfRule>
    <cfRule type="expression" rank="0" priority="558" equalAverage="0" aboveAverage="0" dxfId="3" text="" percent="0" bottom="0">
      <formula>AND(M139&gt;=1,M139&lt;5)</formula>
    </cfRule>
  </conditionalFormatting>
  <conditionalFormatting sqref="M140">
    <cfRule type="expression" rank="0" priority="559" equalAverage="0" aboveAverage="0" dxfId="0" text="" percent="0" bottom="0">
      <formula>M140&gt;=20</formula>
    </cfRule>
    <cfRule type="expression" rank="0" priority="560" equalAverage="0" aboveAverage="0" dxfId="1" text="" percent="0" bottom="0">
      <formula>AND(M140&gt;=10,M140&lt;20)</formula>
    </cfRule>
    <cfRule type="expression" rank="0" priority="561" equalAverage="0" aboveAverage="0" dxfId="2" text="" percent="0" bottom="0">
      <formula>AND(M140&gt;=5,M140&lt;10)</formula>
    </cfRule>
    <cfRule type="expression" rank="0" priority="562" equalAverage="0" aboveAverage="0" dxfId="3" text="" percent="0" bottom="0">
      <formula>AND(M140&gt;=1,M140&lt;5)</formula>
    </cfRule>
  </conditionalFormatting>
  <conditionalFormatting sqref="M141">
    <cfRule type="expression" rank="0" priority="563" equalAverage="0" aboveAverage="0" dxfId="0" text="" percent="0" bottom="0">
      <formula>M141&gt;=20</formula>
    </cfRule>
    <cfRule type="expression" rank="0" priority="564" equalAverage="0" aboveAverage="0" dxfId="1" text="" percent="0" bottom="0">
      <formula>AND(M141&gt;=10,M141&lt;20)</formula>
    </cfRule>
    <cfRule type="expression" rank="0" priority="565" equalAverage="0" aboveAverage="0" dxfId="2" text="" percent="0" bottom="0">
      <formula>AND(M141&gt;=5,M141&lt;10)</formula>
    </cfRule>
    <cfRule type="expression" rank="0" priority="566" equalAverage="0" aboveAverage="0" dxfId="3" text="" percent="0" bottom="0">
      <formula>AND(M141&gt;=1,M141&lt;5)</formula>
    </cfRule>
  </conditionalFormatting>
  <conditionalFormatting sqref="M142">
    <cfRule type="expression" rank="0" priority="567" equalAverage="0" aboveAverage="0" dxfId="0" text="" percent="0" bottom="0">
      <formula>M142&gt;=20</formula>
    </cfRule>
    <cfRule type="expression" rank="0" priority="568" equalAverage="0" aboveAverage="0" dxfId="1" text="" percent="0" bottom="0">
      <formula>AND(M142&gt;=10,M142&lt;20)</formula>
    </cfRule>
    <cfRule type="expression" rank="0" priority="569" equalAverage="0" aboveAverage="0" dxfId="2" text="" percent="0" bottom="0">
      <formula>AND(M142&gt;=5,M142&lt;10)</formula>
    </cfRule>
    <cfRule type="expression" rank="0" priority="570" equalAverage="0" aboveAverage="0" dxfId="3" text="" percent="0" bottom="0">
      <formula>AND(M142&gt;=1,M142&lt;5)</formula>
    </cfRule>
  </conditionalFormatting>
  <conditionalFormatting sqref="M143">
    <cfRule type="expression" rank="0" priority="571" equalAverage="0" aboveAverage="0" dxfId="0" text="" percent="0" bottom="0">
      <formula>M143&gt;=20</formula>
    </cfRule>
    <cfRule type="expression" rank="0" priority="572" equalAverage="0" aboveAverage="0" dxfId="1" text="" percent="0" bottom="0">
      <formula>AND(M143&gt;=10,M143&lt;20)</formula>
    </cfRule>
    <cfRule type="expression" rank="0" priority="573" equalAverage="0" aboveAverage="0" dxfId="2" text="" percent="0" bottom="0">
      <formula>AND(M143&gt;=5,M143&lt;10)</formula>
    </cfRule>
    <cfRule type="expression" rank="0" priority="574" equalAverage="0" aboveAverage="0" dxfId="3" text="" percent="0" bottom="0">
      <formula>AND(M143&gt;=1,M143&lt;5)</formula>
    </cfRule>
  </conditionalFormatting>
  <conditionalFormatting sqref="M144">
    <cfRule type="expression" rank="0" priority="575" equalAverage="0" aboveAverage="0" dxfId="0" text="" percent="0" bottom="0">
      <formula>M144&gt;=20</formula>
    </cfRule>
    <cfRule type="expression" rank="0" priority="576" equalAverage="0" aboveAverage="0" dxfId="1" text="" percent="0" bottom="0">
      <formula>AND(M144&gt;=10,M144&lt;20)</formula>
    </cfRule>
    <cfRule type="expression" rank="0" priority="577" equalAverage="0" aboveAverage="0" dxfId="2" text="" percent="0" bottom="0">
      <formula>AND(M144&gt;=5,M144&lt;10)</formula>
    </cfRule>
    <cfRule type="expression" rank="0" priority="578" equalAverage="0" aboveAverage="0" dxfId="3" text="" percent="0" bottom="0">
      <formula>AND(M144&gt;=1,M144&lt;5)</formula>
    </cfRule>
  </conditionalFormatting>
  <conditionalFormatting sqref="M145">
    <cfRule type="expression" rank="0" priority="579" equalAverage="0" aboveAverage="0" dxfId="0" text="" percent="0" bottom="0">
      <formula>M145&gt;=20</formula>
    </cfRule>
    <cfRule type="expression" rank="0" priority="580" equalAverage="0" aboveAverage="0" dxfId="1" text="" percent="0" bottom="0">
      <formula>AND(M145&gt;=10,M145&lt;20)</formula>
    </cfRule>
    <cfRule type="expression" rank="0" priority="581" equalAverage="0" aboveAverage="0" dxfId="2" text="" percent="0" bottom="0">
      <formula>AND(M145&gt;=5,M145&lt;10)</formula>
    </cfRule>
    <cfRule type="expression" rank="0" priority="582" equalAverage="0" aboveAverage="0" dxfId="3" text="" percent="0" bottom="0">
      <formula>AND(M145&gt;=1,M145&lt;5)</formula>
    </cfRule>
  </conditionalFormatting>
  <conditionalFormatting sqref="M146">
    <cfRule type="expression" rank="0" priority="583" equalAverage="0" aboveAverage="0" dxfId="0" text="" percent="0" bottom="0">
      <formula>M146&gt;=20</formula>
    </cfRule>
    <cfRule type="expression" rank="0" priority="584" equalAverage="0" aboveAverage="0" dxfId="1" text="" percent="0" bottom="0">
      <formula>AND(M146&gt;=10,M146&lt;20)</formula>
    </cfRule>
    <cfRule type="expression" rank="0" priority="585" equalAverage="0" aboveAverage="0" dxfId="2" text="" percent="0" bottom="0">
      <formula>AND(M146&gt;=5,M146&lt;10)</formula>
    </cfRule>
    <cfRule type="expression" rank="0" priority="586" equalAverage="0" aboveAverage="0" dxfId="3" text="" percent="0" bottom="0">
      <formula>AND(M146&gt;=1,M146&lt;5)</formula>
    </cfRule>
  </conditionalFormatting>
  <conditionalFormatting sqref="M147">
    <cfRule type="expression" rank="0" priority="587" equalAverage="0" aboveAverage="0" dxfId="0" text="" percent="0" bottom="0">
      <formula>M147&gt;=20</formula>
    </cfRule>
    <cfRule type="expression" rank="0" priority="588" equalAverage="0" aboveAverage="0" dxfId="1" text="" percent="0" bottom="0">
      <formula>AND(M147&gt;=10,M147&lt;20)</formula>
    </cfRule>
    <cfRule type="expression" rank="0" priority="589" equalAverage="0" aboveAverage="0" dxfId="2" text="" percent="0" bottom="0">
      <formula>AND(M147&gt;=5,M147&lt;10)</formula>
    </cfRule>
    <cfRule type="expression" rank="0" priority="590" equalAverage="0" aboveAverage="0" dxfId="3" text="" percent="0" bottom="0">
      <formula>AND(M147&gt;=1,M147&lt;5)</formula>
    </cfRule>
  </conditionalFormatting>
  <conditionalFormatting sqref="M148">
    <cfRule type="expression" rank="0" priority="591" equalAverage="0" aboveAverage="0" dxfId="0" text="" percent="0" bottom="0">
      <formula>M148&gt;=20</formula>
    </cfRule>
    <cfRule type="expression" rank="0" priority="592" equalAverage="0" aboveAverage="0" dxfId="1" text="" percent="0" bottom="0">
      <formula>AND(M148&gt;=10,M148&lt;20)</formula>
    </cfRule>
    <cfRule type="expression" rank="0" priority="593" equalAverage="0" aboveAverage="0" dxfId="2" text="" percent="0" bottom="0">
      <formula>AND(M148&gt;=5,M148&lt;10)</formula>
    </cfRule>
    <cfRule type="expression" rank="0" priority="594" equalAverage="0" aboveAverage="0" dxfId="3" text="" percent="0" bottom="0">
      <formula>AND(M148&gt;=1,M148&lt;5)</formula>
    </cfRule>
  </conditionalFormatting>
  <conditionalFormatting sqref="M149">
    <cfRule type="expression" rank="0" priority="595" equalAverage="0" aboveAverage="0" dxfId="0" text="" percent="0" bottom="0">
      <formula>M149&gt;=20</formula>
    </cfRule>
    <cfRule type="expression" rank="0" priority="596" equalAverage="0" aboveAverage="0" dxfId="1" text="" percent="0" bottom="0">
      <formula>AND(M149&gt;=10,M149&lt;20)</formula>
    </cfRule>
    <cfRule type="expression" rank="0" priority="597" equalAverage="0" aboveAverage="0" dxfId="2" text="" percent="0" bottom="0">
      <formula>AND(M149&gt;=5,M149&lt;10)</formula>
    </cfRule>
    <cfRule type="expression" rank="0" priority="598" equalAverage="0" aboveAverage="0" dxfId="3" text="" percent="0" bottom="0">
      <formula>AND(M149&gt;=1,M149&lt;5)</formula>
    </cfRule>
  </conditionalFormatting>
  <conditionalFormatting sqref="M150">
    <cfRule type="expression" rank="0" priority="599" equalAverage="0" aboveAverage="0" dxfId="0" text="" percent="0" bottom="0">
      <formula>M150&gt;=20</formula>
    </cfRule>
    <cfRule type="expression" rank="0" priority="600" equalAverage="0" aboveAverage="0" dxfId="1" text="" percent="0" bottom="0">
      <formula>AND(M150&gt;=10,M150&lt;20)</formula>
    </cfRule>
    <cfRule type="expression" rank="0" priority="601" equalAverage="0" aboveAverage="0" dxfId="2" text="" percent="0" bottom="0">
      <formula>AND(M150&gt;=5,M150&lt;10)</formula>
    </cfRule>
    <cfRule type="expression" rank="0" priority="602" equalAverage="0" aboveAverage="0" dxfId="3" text="" percent="0" bottom="0">
      <formula>AND(M150&gt;=1,M150&lt;5)</formula>
    </cfRule>
  </conditionalFormatting>
  <conditionalFormatting sqref="M151">
    <cfRule type="expression" rank="0" priority="603" equalAverage="0" aboveAverage="0" dxfId="0" text="" percent="0" bottom="0">
      <formula>M151&gt;=20</formula>
    </cfRule>
    <cfRule type="expression" rank="0" priority="604" equalAverage="0" aboveAverage="0" dxfId="1" text="" percent="0" bottom="0">
      <formula>AND(M151&gt;=10,M151&lt;20)</formula>
    </cfRule>
    <cfRule type="expression" rank="0" priority="605" equalAverage="0" aboveAverage="0" dxfId="2" text="" percent="0" bottom="0">
      <formula>AND(M151&gt;=5,M151&lt;10)</formula>
    </cfRule>
    <cfRule type="expression" rank="0" priority="606" equalAverage="0" aboveAverage="0" dxfId="3" text="" percent="0" bottom="0">
      <formula>AND(M151&gt;=1,M151&lt;5)</formula>
    </cfRule>
  </conditionalFormatting>
  <conditionalFormatting sqref="M152">
    <cfRule type="expression" rank="0" priority="607" equalAverage="0" aboveAverage="0" dxfId="0" text="" percent="0" bottom="0">
      <formula>M152&gt;=20</formula>
    </cfRule>
    <cfRule type="expression" rank="0" priority="608" equalAverage="0" aboveAverage="0" dxfId="1" text="" percent="0" bottom="0">
      <formula>AND(M152&gt;=10,M152&lt;20)</formula>
    </cfRule>
    <cfRule type="expression" rank="0" priority="609" equalAverage="0" aboveAverage="0" dxfId="2" text="" percent="0" bottom="0">
      <formula>AND(M152&gt;=5,M152&lt;10)</formula>
    </cfRule>
    <cfRule type="expression" rank="0" priority="610" equalAverage="0" aboveAverage="0" dxfId="3" text="" percent="0" bottom="0">
      <formula>AND(M152&gt;=1,M152&lt;5)</formula>
    </cfRule>
  </conditionalFormatting>
  <conditionalFormatting sqref="M153">
    <cfRule type="expression" rank="0" priority="611" equalAverage="0" aboveAverage="0" dxfId="0" text="" percent="0" bottom="0">
      <formula>M153&gt;=20</formula>
    </cfRule>
    <cfRule type="expression" rank="0" priority="612" equalAverage="0" aboveAverage="0" dxfId="1" text="" percent="0" bottom="0">
      <formula>AND(M153&gt;=10,M153&lt;20)</formula>
    </cfRule>
    <cfRule type="expression" rank="0" priority="613" equalAverage="0" aboveAverage="0" dxfId="2" text="" percent="0" bottom="0">
      <formula>AND(M153&gt;=5,M153&lt;10)</formula>
    </cfRule>
    <cfRule type="expression" rank="0" priority="614" equalAverage="0" aboveAverage="0" dxfId="3" text="" percent="0" bottom="0">
      <formula>AND(M153&gt;=1,M153&lt;5)</formula>
    </cfRule>
  </conditionalFormatting>
  <conditionalFormatting sqref="M154">
    <cfRule type="expression" rank="0" priority="615" equalAverage="0" aboveAverage="0" dxfId="0" text="" percent="0" bottom="0">
      <formula>M154&gt;=20</formula>
    </cfRule>
    <cfRule type="expression" rank="0" priority="616" equalAverage="0" aboveAverage="0" dxfId="1" text="" percent="0" bottom="0">
      <formula>AND(M154&gt;=10,M154&lt;20)</formula>
    </cfRule>
    <cfRule type="expression" rank="0" priority="617" equalAverage="0" aboveAverage="0" dxfId="2" text="" percent="0" bottom="0">
      <formula>AND(M154&gt;=5,M154&lt;10)</formula>
    </cfRule>
    <cfRule type="expression" rank="0" priority="618" equalAverage="0" aboveAverage="0" dxfId="3" text="" percent="0" bottom="0">
      <formula>AND(M154&gt;=1,M154&lt;5)</formula>
    </cfRule>
  </conditionalFormatting>
  <conditionalFormatting sqref="M155">
    <cfRule type="expression" rank="0" priority="619" equalAverage="0" aboveAverage="0" dxfId="0" text="" percent="0" bottom="0">
      <formula>M155&gt;=20</formula>
    </cfRule>
    <cfRule type="expression" rank="0" priority="620" equalAverage="0" aboveAverage="0" dxfId="1" text="" percent="0" bottom="0">
      <formula>AND(M155&gt;=10,M155&lt;20)</formula>
    </cfRule>
    <cfRule type="expression" rank="0" priority="621" equalAverage="0" aboveAverage="0" dxfId="2" text="" percent="0" bottom="0">
      <formula>AND(M155&gt;=5,M155&lt;10)</formula>
    </cfRule>
    <cfRule type="expression" rank="0" priority="622" equalAverage="0" aboveAverage="0" dxfId="3" text="" percent="0" bottom="0">
      <formula>AND(M155&gt;=1,M155&lt;5)</formula>
    </cfRule>
  </conditionalFormatting>
  <conditionalFormatting sqref="M156">
    <cfRule type="expression" rank="0" priority="623" equalAverage="0" aboveAverage="0" dxfId="0" text="" percent="0" bottom="0">
      <formula>M156&gt;=20</formula>
    </cfRule>
    <cfRule type="expression" rank="0" priority="624" equalAverage="0" aboveAverage="0" dxfId="1" text="" percent="0" bottom="0">
      <formula>AND(M156&gt;=10,M156&lt;20)</formula>
    </cfRule>
    <cfRule type="expression" rank="0" priority="625" equalAverage="0" aboveAverage="0" dxfId="2" text="" percent="0" bottom="0">
      <formula>AND(M156&gt;=5,M156&lt;10)</formula>
    </cfRule>
    <cfRule type="expression" rank="0" priority="626" equalAverage="0" aboveAverage="0" dxfId="3" text="" percent="0" bottom="0">
      <formula>AND(M156&gt;=1,M156&lt;5)</formula>
    </cfRule>
  </conditionalFormatting>
  <conditionalFormatting sqref="M157">
    <cfRule type="expression" rank="0" priority="627" equalAverage="0" aboveAverage="0" dxfId="0" text="" percent="0" bottom="0">
      <formula>M157&gt;=20</formula>
    </cfRule>
    <cfRule type="expression" rank="0" priority="628" equalAverage="0" aboveAverage="0" dxfId="1" text="" percent="0" bottom="0">
      <formula>AND(M157&gt;=10,M157&lt;20)</formula>
    </cfRule>
    <cfRule type="expression" rank="0" priority="629" equalAverage="0" aboveAverage="0" dxfId="2" text="" percent="0" bottom="0">
      <formula>AND(M157&gt;=5,M157&lt;10)</formula>
    </cfRule>
    <cfRule type="expression" rank="0" priority="630" equalAverage="0" aboveAverage="0" dxfId="3" text="" percent="0" bottom="0">
      <formula>AND(M157&gt;=1,M157&lt;5)</formula>
    </cfRule>
  </conditionalFormatting>
  <conditionalFormatting sqref="M158">
    <cfRule type="expression" rank="0" priority="631" equalAverage="0" aboveAverage="0" dxfId="0" text="" percent="0" bottom="0">
      <formula>M158&gt;=20</formula>
    </cfRule>
    <cfRule type="expression" rank="0" priority="632" equalAverage="0" aboveAverage="0" dxfId="1" text="" percent="0" bottom="0">
      <formula>AND(M158&gt;=10,M158&lt;20)</formula>
    </cfRule>
    <cfRule type="expression" rank="0" priority="633" equalAverage="0" aboveAverage="0" dxfId="2" text="" percent="0" bottom="0">
      <formula>AND(M158&gt;=5,M158&lt;10)</formula>
    </cfRule>
    <cfRule type="expression" rank="0" priority="634" equalAverage="0" aboveAverage="0" dxfId="3" text="" percent="0" bottom="0">
      <formula>AND(M158&gt;=1,M158&lt;5)</formula>
    </cfRule>
  </conditionalFormatting>
  <conditionalFormatting sqref="M159">
    <cfRule type="expression" rank="0" priority="635" equalAverage="0" aboveAverage="0" dxfId="0" text="" percent="0" bottom="0">
      <formula>M159&gt;=20</formula>
    </cfRule>
    <cfRule type="expression" rank="0" priority="636" equalAverage="0" aboveAverage="0" dxfId="1" text="" percent="0" bottom="0">
      <formula>AND(M159&gt;=10,M159&lt;20)</formula>
    </cfRule>
    <cfRule type="expression" rank="0" priority="637" equalAverage="0" aboveAverage="0" dxfId="2" text="" percent="0" bottom="0">
      <formula>AND(M159&gt;=5,M159&lt;10)</formula>
    </cfRule>
    <cfRule type="expression" rank="0" priority="638" equalAverage="0" aboveAverage="0" dxfId="3" text="" percent="0" bottom="0">
      <formula>AND(M159&gt;=1,M159&lt;5)</formula>
    </cfRule>
  </conditionalFormatting>
  <conditionalFormatting sqref="M160">
    <cfRule type="expression" rank="0" priority="639" equalAverage="0" aboveAverage="0" dxfId="0" text="" percent="0" bottom="0">
      <formula>M160&gt;=20</formula>
    </cfRule>
    <cfRule type="expression" rank="0" priority="640" equalAverage="0" aboveAverage="0" dxfId="1" text="" percent="0" bottom="0">
      <formula>AND(M160&gt;=10,M160&lt;20)</formula>
    </cfRule>
    <cfRule type="expression" rank="0" priority="641" equalAverage="0" aboveAverage="0" dxfId="2" text="" percent="0" bottom="0">
      <formula>AND(M160&gt;=5,M160&lt;10)</formula>
    </cfRule>
    <cfRule type="expression" rank="0" priority="642" equalAverage="0" aboveAverage="0" dxfId="3" text="" percent="0" bottom="0">
      <formula>AND(M160&gt;=1,M160&lt;5)</formula>
    </cfRule>
  </conditionalFormatting>
  <conditionalFormatting sqref="M161">
    <cfRule type="expression" rank="0" priority="643" equalAverage="0" aboveAverage="0" dxfId="0" text="" percent="0" bottom="0">
      <formula>M161&gt;=20</formula>
    </cfRule>
    <cfRule type="expression" rank="0" priority="644" equalAverage="0" aboveAverage="0" dxfId="1" text="" percent="0" bottom="0">
      <formula>AND(M161&gt;=10,M161&lt;20)</formula>
    </cfRule>
    <cfRule type="expression" rank="0" priority="645" equalAverage="0" aboveAverage="0" dxfId="2" text="" percent="0" bottom="0">
      <formula>AND(M161&gt;=5,M161&lt;10)</formula>
    </cfRule>
    <cfRule type="expression" rank="0" priority="646" equalAverage="0" aboveAverage="0" dxfId="3" text="" percent="0" bottom="0">
      <formula>AND(M161&gt;=1,M161&lt;5)</formula>
    </cfRule>
  </conditionalFormatting>
  <conditionalFormatting sqref="M162">
    <cfRule type="expression" rank="0" priority="647" equalAverage="0" aboveAverage="0" dxfId="0" text="" percent="0" bottom="0">
      <formula>M162&gt;=20</formula>
    </cfRule>
    <cfRule type="expression" rank="0" priority="648" equalAverage="0" aboveAverage="0" dxfId="1" text="" percent="0" bottom="0">
      <formula>AND(M162&gt;=10,M162&lt;20)</formula>
    </cfRule>
    <cfRule type="expression" rank="0" priority="649" equalAverage="0" aboveAverage="0" dxfId="2" text="" percent="0" bottom="0">
      <formula>AND(M162&gt;=5,M162&lt;10)</formula>
    </cfRule>
    <cfRule type="expression" rank="0" priority="650" equalAverage="0" aboveAverage="0" dxfId="3" text="" percent="0" bottom="0">
      <formula>AND(M162&gt;=1,M162&lt;5)</formula>
    </cfRule>
  </conditionalFormatting>
  <conditionalFormatting sqref="M163">
    <cfRule type="expression" rank="0" priority="651" equalAverage="0" aboveAverage="0" dxfId="0" text="" percent="0" bottom="0">
      <formula>M163&gt;=20</formula>
    </cfRule>
    <cfRule type="expression" rank="0" priority="652" equalAverage="0" aboveAverage="0" dxfId="1" text="" percent="0" bottom="0">
      <formula>AND(M163&gt;=10,M163&lt;20)</formula>
    </cfRule>
    <cfRule type="expression" rank="0" priority="653" equalAverage="0" aboveAverage="0" dxfId="2" text="" percent="0" bottom="0">
      <formula>AND(M163&gt;=5,M163&lt;10)</formula>
    </cfRule>
    <cfRule type="expression" rank="0" priority="654" equalAverage="0" aboveAverage="0" dxfId="3" text="" percent="0" bottom="0">
      <formula>AND(M163&gt;=1,M163&lt;5)</formula>
    </cfRule>
  </conditionalFormatting>
  <conditionalFormatting sqref="M164">
    <cfRule type="expression" rank="0" priority="655" equalAverage="0" aboveAverage="0" dxfId="0" text="" percent="0" bottom="0">
      <formula>M164&gt;=20</formula>
    </cfRule>
    <cfRule type="expression" rank="0" priority="656" equalAverage="0" aboveAverage="0" dxfId="1" text="" percent="0" bottom="0">
      <formula>AND(M164&gt;=10,M164&lt;20)</formula>
    </cfRule>
    <cfRule type="expression" rank="0" priority="657" equalAverage="0" aboveAverage="0" dxfId="2" text="" percent="0" bottom="0">
      <formula>AND(M164&gt;=5,M164&lt;10)</formula>
    </cfRule>
    <cfRule type="expression" rank="0" priority="658" equalAverage="0" aboveAverage="0" dxfId="3" text="" percent="0" bottom="0">
      <formula>AND(M164&gt;=1,M164&lt;5)</formula>
    </cfRule>
  </conditionalFormatting>
  <conditionalFormatting sqref="M165">
    <cfRule type="expression" rank="0" priority="659" equalAverage="0" aboveAverage="0" dxfId="0" text="" percent="0" bottom="0">
      <formula>M165&gt;=20</formula>
    </cfRule>
    <cfRule type="expression" rank="0" priority="660" equalAverage="0" aboveAverage="0" dxfId="1" text="" percent="0" bottom="0">
      <formula>AND(M165&gt;=10,M165&lt;20)</formula>
    </cfRule>
    <cfRule type="expression" rank="0" priority="661" equalAverage="0" aboveAverage="0" dxfId="2" text="" percent="0" bottom="0">
      <formula>AND(M165&gt;=5,M165&lt;10)</formula>
    </cfRule>
    <cfRule type="expression" rank="0" priority="662" equalAverage="0" aboveAverage="0" dxfId="3" text="" percent="0" bottom="0">
      <formula>AND(M165&gt;=1,M165&lt;5)</formula>
    </cfRule>
  </conditionalFormatting>
  <conditionalFormatting sqref="M166">
    <cfRule type="expression" rank="0" priority="663" equalAverage="0" aboveAverage="0" dxfId="0" text="" percent="0" bottom="0">
      <formula>M166&gt;=20</formula>
    </cfRule>
    <cfRule type="expression" rank="0" priority="664" equalAverage="0" aboveAverage="0" dxfId="1" text="" percent="0" bottom="0">
      <formula>AND(M166&gt;=10,M166&lt;20)</formula>
    </cfRule>
    <cfRule type="expression" rank="0" priority="665" equalAverage="0" aboveAverage="0" dxfId="2" text="" percent="0" bottom="0">
      <formula>AND(M166&gt;=5,M166&lt;10)</formula>
    </cfRule>
    <cfRule type="expression" rank="0" priority="666" equalAverage="0" aboveAverage="0" dxfId="3" text="" percent="0" bottom="0">
      <formula>AND(M166&gt;=1,M166&lt;5)</formula>
    </cfRule>
  </conditionalFormatting>
  <conditionalFormatting sqref="M167">
    <cfRule type="expression" rank="0" priority="667" equalAverage="0" aboveAverage="0" dxfId="0" text="" percent="0" bottom="0">
      <formula>M167&gt;=20</formula>
    </cfRule>
    <cfRule type="expression" rank="0" priority="668" equalAverage="0" aboveAverage="0" dxfId="1" text="" percent="0" bottom="0">
      <formula>AND(M167&gt;=10,M167&lt;20)</formula>
    </cfRule>
    <cfRule type="expression" rank="0" priority="669" equalAverage="0" aboveAverage="0" dxfId="2" text="" percent="0" bottom="0">
      <formula>AND(M167&gt;=5,M167&lt;10)</formula>
    </cfRule>
    <cfRule type="expression" rank="0" priority="670" equalAverage="0" aboveAverage="0" dxfId="3" text="" percent="0" bottom="0">
      <formula>AND(M167&gt;=1,M167&lt;5)</formula>
    </cfRule>
  </conditionalFormatting>
  <conditionalFormatting sqref="M168">
    <cfRule type="expression" rank="0" priority="671" equalAverage="0" aboveAverage="0" dxfId="0" text="" percent="0" bottom="0">
      <formula>M168&gt;=20</formula>
    </cfRule>
    <cfRule type="expression" rank="0" priority="672" equalAverage="0" aboveAverage="0" dxfId="1" text="" percent="0" bottom="0">
      <formula>AND(M168&gt;=10,M168&lt;20)</formula>
    </cfRule>
    <cfRule type="expression" rank="0" priority="673" equalAverage="0" aboveAverage="0" dxfId="2" text="" percent="0" bottom="0">
      <formula>AND(M168&gt;=5,M168&lt;10)</formula>
    </cfRule>
    <cfRule type="expression" rank="0" priority="674" equalAverage="0" aboveAverage="0" dxfId="3" text="" percent="0" bottom="0">
      <formula>AND(M168&gt;=1,M168&lt;5)</formula>
    </cfRule>
  </conditionalFormatting>
  <conditionalFormatting sqref="M169">
    <cfRule type="expression" rank="0" priority="675" equalAverage="0" aboveAverage="0" dxfId="0" text="" percent="0" bottom="0">
      <formula>M169&gt;=20</formula>
    </cfRule>
    <cfRule type="expression" rank="0" priority="676" equalAverage="0" aboveAverage="0" dxfId="1" text="" percent="0" bottom="0">
      <formula>AND(M169&gt;=10,M169&lt;20)</formula>
    </cfRule>
    <cfRule type="expression" rank="0" priority="677" equalAverage="0" aboveAverage="0" dxfId="2" text="" percent="0" bottom="0">
      <formula>AND(M169&gt;=5,M169&lt;10)</formula>
    </cfRule>
    <cfRule type="expression" rank="0" priority="678" equalAverage="0" aboveAverage="0" dxfId="3" text="" percent="0" bottom="0">
      <formula>AND(M169&gt;=1,M169&lt;5)</formula>
    </cfRule>
  </conditionalFormatting>
  <conditionalFormatting sqref="M170">
    <cfRule type="expression" rank="0" priority="679" equalAverage="0" aboveAverage="0" dxfId="0" text="" percent="0" bottom="0">
      <formula>M170&gt;=20</formula>
    </cfRule>
    <cfRule type="expression" rank="0" priority="680" equalAverage="0" aboveAverage="0" dxfId="1" text="" percent="0" bottom="0">
      <formula>AND(M170&gt;=10,M170&lt;20)</formula>
    </cfRule>
    <cfRule type="expression" rank="0" priority="681" equalAverage="0" aboveAverage="0" dxfId="2" text="" percent="0" bottom="0">
      <formula>AND(M170&gt;=5,M170&lt;10)</formula>
    </cfRule>
    <cfRule type="expression" rank="0" priority="682" equalAverage="0" aboveAverage="0" dxfId="3" text="" percent="0" bottom="0">
      <formula>AND(M170&gt;=1,M170&lt;5)</formula>
    </cfRule>
  </conditionalFormatting>
  <conditionalFormatting sqref="M171">
    <cfRule type="expression" rank="0" priority="683" equalAverage="0" aboveAverage="0" dxfId="0" text="" percent="0" bottom="0">
      <formula>M171&gt;=20</formula>
    </cfRule>
    <cfRule type="expression" rank="0" priority="684" equalAverage="0" aboveAverage="0" dxfId="1" text="" percent="0" bottom="0">
      <formula>AND(M171&gt;=10,M171&lt;20)</formula>
    </cfRule>
    <cfRule type="expression" rank="0" priority="685" equalAverage="0" aboveAverage="0" dxfId="2" text="" percent="0" bottom="0">
      <formula>AND(M171&gt;=5,M171&lt;10)</formula>
    </cfRule>
    <cfRule type="expression" rank="0" priority="686" equalAverage="0" aboveAverage="0" dxfId="3" text="" percent="0" bottom="0">
      <formula>AND(M171&gt;=1,M171&lt;5)</formula>
    </cfRule>
  </conditionalFormatting>
  <conditionalFormatting sqref="M172">
    <cfRule type="expression" rank="0" priority="687" equalAverage="0" aboveAverage="0" dxfId="0" text="" percent="0" bottom="0">
      <formula>M172&gt;=20</formula>
    </cfRule>
    <cfRule type="expression" rank="0" priority="688" equalAverage="0" aboveAverage="0" dxfId="1" text="" percent="0" bottom="0">
      <formula>AND(M172&gt;=10,M172&lt;20)</formula>
    </cfRule>
    <cfRule type="expression" rank="0" priority="689" equalAverage="0" aboveAverage="0" dxfId="2" text="" percent="0" bottom="0">
      <formula>AND(M172&gt;=5,M172&lt;10)</formula>
    </cfRule>
    <cfRule type="expression" rank="0" priority="690" equalAverage="0" aboveAverage="0" dxfId="3" text="" percent="0" bottom="0">
      <formula>AND(M172&gt;=1,M172&lt;5)</formula>
    </cfRule>
  </conditionalFormatting>
  <conditionalFormatting sqref="M173">
    <cfRule type="expression" rank="0" priority="691" equalAverage="0" aboveAverage="0" dxfId="0" text="" percent="0" bottom="0">
      <formula>M173&gt;=20</formula>
    </cfRule>
    <cfRule type="expression" rank="0" priority="692" equalAverage="0" aboveAverage="0" dxfId="1" text="" percent="0" bottom="0">
      <formula>AND(M173&gt;=10,M173&lt;20)</formula>
    </cfRule>
    <cfRule type="expression" rank="0" priority="693" equalAverage="0" aboveAverage="0" dxfId="2" text="" percent="0" bottom="0">
      <formula>AND(M173&gt;=5,M173&lt;10)</formula>
    </cfRule>
    <cfRule type="expression" rank="0" priority="694" equalAverage="0" aboveAverage="0" dxfId="3" text="" percent="0" bottom="0">
      <formula>AND(M173&gt;=1,M173&lt;5)</formula>
    </cfRule>
  </conditionalFormatting>
  <conditionalFormatting sqref="M174">
    <cfRule type="expression" rank="0" priority="695" equalAverage="0" aboveAverage="0" dxfId="0" text="" percent="0" bottom="0">
      <formula>M174&gt;=20</formula>
    </cfRule>
    <cfRule type="expression" rank="0" priority="696" equalAverage="0" aboveAverage="0" dxfId="1" text="" percent="0" bottom="0">
      <formula>AND(M174&gt;=10,M174&lt;20)</formula>
    </cfRule>
    <cfRule type="expression" rank="0" priority="697" equalAverage="0" aboveAverage="0" dxfId="2" text="" percent="0" bottom="0">
      <formula>AND(M174&gt;=5,M174&lt;10)</formula>
    </cfRule>
    <cfRule type="expression" rank="0" priority="698" equalAverage="0" aboveAverage="0" dxfId="3" text="" percent="0" bottom="0">
      <formula>AND(M174&gt;=1,M174&lt;5)</formula>
    </cfRule>
  </conditionalFormatting>
  <conditionalFormatting sqref="M175">
    <cfRule type="expression" rank="0" priority="699" equalAverage="0" aboveAverage="0" dxfId="0" text="" percent="0" bottom="0">
      <formula>M175&gt;=20</formula>
    </cfRule>
    <cfRule type="expression" rank="0" priority="700" equalAverage="0" aboveAverage="0" dxfId="1" text="" percent="0" bottom="0">
      <formula>AND(M175&gt;=10,M175&lt;20)</formula>
    </cfRule>
    <cfRule type="expression" rank="0" priority="701" equalAverage="0" aboveAverage="0" dxfId="2" text="" percent="0" bottom="0">
      <formula>AND(M175&gt;=5,M175&lt;10)</formula>
    </cfRule>
    <cfRule type="expression" rank="0" priority="702" equalAverage="0" aboveAverage="0" dxfId="3" text="" percent="0" bottom="0">
      <formula>AND(M175&gt;=1,M175&lt;5)</formula>
    </cfRule>
  </conditionalFormatting>
  <conditionalFormatting sqref="M176">
    <cfRule type="expression" rank="0" priority="703" equalAverage="0" aboveAverage="0" dxfId="0" text="" percent="0" bottom="0">
      <formula>M176&gt;=20</formula>
    </cfRule>
    <cfRule type="expression" rank="0" priority="704" equalAverage="0" aboveAverage="0" dxfId="1" text="" percent="0" bottom="0">
      <formula>AND(M176&gt;=10,M176&lt;20)</formula>
    </cfRule>
    <cfRule type="expression" rank="0" priority="705" equalAverage="0" aboveAverage="0" dxfId="2" text="" percent="0" bottom="0">
      <formula>AND(M176&gt;=5,M176&lt;10)</formula>
    </cfRule>
    <cfRule type="expression" rank="0" priority="706" equalAverage="0" aboveAverage="0" dxfId="3" text="" percent="0" bottom="0">
      <formula>AND(M176&gt;=1,M176&lt;5)</formula>
    </cfRule>
  </conditionalFormatting>
  <conditionalFormatting sqref="M177">
    <cfRule type="expression" rank="0" priority="707" equalAverage="0" aboveAverage="0" dxfId="0" text="" percent="0" bottom="0">
      <formula>M177&gt;=20</formula>
    </cfRule>
    <cfRule type="expression" rank="0" priority="708" equalAverage="0" aboveAverage="0" dxfId="1" text="" percent="0" bottom="0">
      <formula>AND(M177&gt;=10,M177&lt;20)</formula>
    </cfRule>
    <cfRule type="expression" rank="0" priority="709" equalAverage="0" aboveAverage="0" dxfId="2" text="" percent="0" bottom="0">
      <formula>AND(M177&gt;=5,M177&lt;10)</formula>
    </cfRule>
    <cfRule type="expression" rank="0" priority="710" equalAverage="0" aboveAverage="0" dxfId="3" text="" percent="0" bottom="0">
      <formula>AND(M177&gt;=1,M177&lt;5)</formula>
    </cfRule>
  </conditionalFormatting>
  <conditionalFormatting sqref="M178">
    <cfRule type="expression" rank="0" priority="711" equalAverage="0" aboveAverage="0" dxfId="0" text="" percent="0" bottom="0">
      <formula>M178&gt;=20</formula>
    </cfRule>
    <cfRule type="expression" rank="0" priority="712" equalAverage="0" aboveAverage="0" dxfId="1" text="" percent="0" bottom="0">
      <formula>AND(M178&gt;=10,M178&lt;20)</formula>
    </cfRule>
    <cfRule type="expression" rank="0" priority="713" equalAverage="0" aboveAverage="0" dxfId="2" text="" percent="0" bottom="0">
      <formula>AND(M178&gt;=5,M178&lt;10)</formula>
    </cfRule>
    <cfRule type="expression" rank="0" priority="714" equalAverage="0" aboveAverage="0" dxfId="3" text="" percent="0" bottom="0">
      <formula>AND(M178&gt;=1,M178&lt;5)</formula>
    </cfRule>
  </conditionalFormatting>
  <conditionalFormatting sqref="M179">
    <cfRule type="expression" rank="0" priority="715" equalAverage="0" aboveAverage="0" dxfId="0" text="" percent="0" bottom="0">
      <formula>M179&gt;=20</formula>
    </cfRule>
    <cfRule type="expression" rank="0" priority="716" equalAverage="0" aboveAverage="0" dxfId="1" text="" percent="0" bottom="0">
      <formula>AND(M179&gt;=10,M179&lt;20)</formula>
    </cfRule>
    <cfRule type="expression" rank="0" priority="717" equalAverage="0" aboveAverage="0" dxfId="2" text="" percent="0" bottom="0">
      <formula>AND(M179&gt;=5,M179&lt;10)</formula>
    </cfRule>
    <cfRule type="expression" rank="0" priority="718" equalAverage="0" aboveAverage="0" dxfId="3" text="" percent="0" bottom="0">
      <formula>AND(M179&gt;=1,M179&lt;5)</formula>
    </cfRule>
  </conditionalFormatting>
  <conditionalFormatting sqref="M180">
    <cfRule type="expression" rank="0" priority="719" equalAverage="0" aboveAverage="0" dxfId="0" text="" percent="0" bottom="0">
      <formula>M180&gt;=20</formula>
    </cfRule>
    <cfRule type="expression" rank="0" priority="720" equalAverage="0" aboveAverage="0" dxfId="1" text="" percent="0" bottom="0">
      <formula>AND(M180&gt;=10,M180&lt;20)</formula>
    </cfRule>
    <cfRule type="expression" rank="0" priority="721" equalAverage="0" aboveAverage="0" dxfId="2" text="" percent="0" bottom="0">
      <formula>AND(M180&gt;=5,M180&lt;10)</formula>
    </cfRule>
    <cfRule type="expression" rank="0" priority="722" equalAverage="0" aboveAverage="0" dxfId="3" text="" percent="0" bottom="0">
      <formula>AND(M180&gt;=1,M180&lt;5)</formula>
    </cfRule>
  </conditionalFormatting>
  <conditionalFormatting sqref="M181">
    <cfRule type="expression" rank="0" priority="723" equalAverage="0" aboveAverage="0" dxfId="0" text="" percent="0" bottom="0">
      <formula>M181&gt;=20</formula>
    </cfRule>
    <cfRule type="expression" rank="0" priority="724" equalAverage="0" aboveAverage="0" dxfId="1" text="" percent="0" bottom="0">
      <formula>AND(M181&gt;=10,M181&lt;20)</formula>
    </cfRule>
    <cfRule type="expression" rank="0" priority="725" equalAverage="0" aboveAverage="0" dxfId="2" text="" percent="0" bottom="0">
      <formula>AND(M181&gt;=5,M181&lt;10)</formula>
    </cfRule>
    <cfRule type="expression" rank="0" priority="726" equalAverage="0" aboveAverage="0" dxfId="3" text="" percent="0" bottom="0">
      <formula>AND(M181&gt;=1,M181&lt;5)</formula>
    </cfRule>
  </conditionalFormatting>
  <conditionalFormatting sqref="M182">
    <cfRule type="expression" rank="0" priority="727" equalAverage="0" aboveAverage="0" dxfId="0" text="" percent="0" bottom="0">
      <formula>M182&gt;=20</formula>
    </cfRule>
    <cfRule type="expression" rank="0" priority="728" equalAverage="0" aboveAverage="0" dxfId="1" text="" percent="0" bottom="0">
      <formula>AND(M182&gt;=10,M182&lt;20)</formula>
    </cfRule>
    <cfRule type="expression" rank="0" priority="729" equalAverage="0" aboveAverage="0" dxfId="2" text="" percent="0" bottom="0">
      <formula>AND(M182&gt;=5,M182&lt;10)</formula>
    </cfRule>
    <cfRule type="expression" rank="0" priority="730" equalAverage="0" aboveAverage="0" dxfId="3" text="" percent="0" bottom="0">
      <formula>AND(M182&gt;=1,M182&lt;5)</formula>
    </cfRule>
  </conditionalFormatting>
  <conditionalFormatting sqref="M183">
    <cfRule type="expression" rank="0" priority="731" equalAverage="0" aboveAverage="0" dxfId="0" text="" percent="0" bottom="0">
      <formula>M183&gt;=20</formula>
    </cfRule>
    <cfRule type="expression" rank="0" priority="732" equalAverage="0" aboveAverage="0" dxfId="1" text="" percent="0" bottom="0">
      <formula>AND(M183&gt;=10,M183&lt;20)</formula>
    </cfRule>
    <cfRule type="expression" rank="0" priority="733" equalAverage="0" aboveAverage="0" dxfId="2" text="" percent="0" bottom="0">
      <formula>AND(M183&gt;=5,M183&lt;10)</formula>
    </cfRule>
    <cfRule type="expression" rank="0" priority="734" equalAverage="0" aboveAverage="0" dxfId="3" text="" percent="0" bottom="0">
      <formula>AND(M183&gt;=1,M183&lt;5)</formula>
    </cfRule>
  </conditionalFormatting>
  <conditionalFormatting sqref="M184">
    <cfRule type="expression" rank="0" priority="735" equalAverage="0" aboveAverage="0" dxfId="0" text="" percent="0" bottom="0">
      <formula>M184&gt;=20</formula>
    </cfRule>
    <cfRule type="expression" rank="0" priority="736" equalAverage="0" aboveAverage="0" dxfId="1" text="" percent="0" bottom="0">
      <formula>AND(M184&gt;=10,M184&lt;20)</formula>
    </cfRule>
    <cfRule type="expression" rank="0" priority="737" equalAverage="0" aboveAverage="0" dxfId="2" text="" percent="0" bottom="0">
      <formula>AND(M184&gt;=5,M184&lt;10)</formula>
    </cfRule>
    <cfRule type="expression" rank="0" priority="738" equalAverage="0" aboveAverage="0" dxfId="3" text="" percent="0" bottom="0">
      <formula>AND(M184&gt;=1,M184&lt;5)</formula>
    </cfRule>
  </conditionalFormatting>
  <conditionalFormatting sqref="M185">
    <cfRule type="expression" rank="0" priority="739" equalAverage="0" aboveAverage="0" dxfId="0" text="" percent="0" bottom="0">
      <formula>M185&gt;=20</formula>
    </cfRule>
    <cfRule type="expression" rank="0" priority="740" equalAverage="0" aboveAverage="0" dxfId="1" text="" percent="0" bottom="0">
      <formula>AND(M185&gt;=10,M185&lt;20)</formula>
    </cfRule>
    <cfRule type="expression" rank="0" priority="741" equalAverage="0" aboveAverage="0" dxfId="2" text="" percent="0" bottom="0">
      <formula>AND(M185&gt;=5,M185&lt;10)</formula>
    </cfRule>
    <cfRule type="expression" rank="0" priority="742" equalAverage="0" aboveAverage="0" dxfId="3" text="" percent="0" bottom="0">
      <formula>AND(M185&gt;=1,M185&lt;5)</formula>
    </cfRule>
  </conditionalFormatting>
  <conditionalFormatting sqref="M186">
    <cfRule type="expression" rank="0" priority="743" equalAverage="0" aboveAverage="0" dxfId="0" text="" percent="0" bottom="0">
      <formula>M186&gt;=20</formula>
    </cfRule>
    <cfRule type="expression" rank="0" priority="744" equalAverage="0" aboveAverage="0" dxfId="1" text="" percent="0" bottom="0">
      <formula>AND(M186&gt;=10,M186&lt;20)</formula>
    </cfRule>
    <cfRule type="expression" rank="0" priority="745" equalAverage="0" aboveAverage="0" dxfId="2" text="" percent="0" bottom="0">
      <formula>AND(M186&gt;=5,M186&lt;10)</formula>
    </cfRule>
    <cfRule type="expression" rank="0" priority="746" equalAverage="0" aboveAverage="0" dxfId="3" text="" percent="0" bottom="0">
      <formula>AND(M186&gt;=1,M186&lt;5)</formula>
    </cfRule>
  </conditionalFormatting>
  <conditionalFormatting sqref="M187">
    <cfRule type="expression" rank="0" priority="747" equalAverage="0" aboveAverage="0" dxfId="0" text="" percent="0" bottom="0">
      <formula>M187&gt;=20</formula>
    </cfRule>
    <cfRule type="expression" rank="0" priority="748" equalAverage="0" aboveAverage="0" dxfId="1" text="" percent="0" bottom="0">
      <formula>AND(M187&gt;=10,M187&lt;20)</formula>
    </cfRule>
    <cfRule type="expression" rank="0" priority="749" equalAverage="0" aboveAverage="0" dxfId="2" text="" percent="0" bottom="0">
      <formula>AND(M187&gt;=5,M187&lt;10)</formula>
    </cfRule>
    <cfRule type="expression" rank="0" priority="750" equalAverage="0" aboveAverage="0" dxfId="3" text="" percent="0" bottom="0">
      <formula>AND(M187&gt;=1,M187&lt;5)</formula>
    </cfRule>
  </conditionalFormatting>
  <conditionalFormatting sqref="M188">
    <cfRule type="expression" rank="0" priority="751" equalAverage="0" aboveAverage="0" dxfId="0" text="" percent="0" bottom="0">
      <formula>M188&gt;=20</formula>
    </cfRule>
    <cfRule type="expression" rank="0" priority="752" equalAverage="0" aboveAverage="0" dxfId="1" text="" percent="0" bottom="0">
      <formula>AND(M188&gt;=10,M188&lt;20)</formula>
    </cfRule>
    <cfRule type="expression" rank="0" priority="753" equalAverage="0" aboveAverage="0" dxfId="2" text="" percent="0" bottom="0">
      <formula>AND(M188&gt;=5,M188&lt;10)</formula>
    </cfRule>
    <cfRule type="expression" rank="0" priority="754" equalAverage="0" aboveAverage="0" dxfId="3" text="" percent="0" bottom="0">
      <formula>AND(M188&gt;=1,M188&lt;5)</formula>
    </cfRule>
  </conditionalFormatting>
  <conditionalFormatting sqref="M189">
    <cfRule type="expression" rank="0" priority="755" equalAverage="0" aboveAverage="0" dxfId="0" text="" percent="0" bottom="0">
      <formula>M189&gt;=20</formula>
    </cfRule>
    <cfRule type="expression" rank="0" priority="756" equalAverage="0" aboveAverage="0" dxfId="1" text="" percent="0" bottom="0">
      <formula>AND(M189&gt;=10,M189&lt;20)</formula>
    </cfRule>
    <cfRule type="expression" rank="0" priority="757" equalAverage="0" aboveAverage="0" dxfId="2" text="" percent="0" bottom="0">
      <formula>AND(M189&gt;=5,M189&lt;10)</formula>
    </cfRule>
    <cfRule type="expression" rank="0" priority="758" equalAverage="0" aboveAverage="0" dxfId="3" text="" percent="0" bottom="0">
      <formula>AND(M189&gt;=1,M189&lt;5)</formula>
    </cfRule>
  </conditionalFormatting>
  <conditionalFormatting sqref="M190">
    <cfRule type="expression" rank="0" priority="759" equalAverage="0" aboveAverage="0" dxfId="0" text="" percent="0" bottom="0">
      <formula>M190&gt;=20</formula>
    </cfRule>
    <cfRule type="expression" rank="0" priority="760" equalAverage="0" aboveAverage="0" dxfId="1" text="" percent="0" bottom="0">
      <formula>AND(M190&gt;=10,M190&lt;20)</formula>
    </cfRule>
    <cfRule type="expression" rank="0" priority="761" equalAverage="0" aboveAverage="0" dxfId="2" text="" percent="0" bottom="0">
      <formula>AND(M190&gt;=5,M190&lt;10)</formula>
    </cfRule>
    <cfRule type="expression" rank="0" priority="762" equalAverage="0" aboveAverage="0" dxfId="3" text="" percent="0" bottom="0">
      <formula>AND(M190&gt;=1,M190&lt;5)</formula>
    </cfRule>
  </conditionalFormatting>
  <conditionalFormatting sqref="M191">
    <cfRule type="expression" rank="0" priority="763" equalAverage="0" aboveAverage="0" dxfId="0" text="" percent="0" bottom="0">
      <formula>M191&gt;=20</formula>
    </cfRule>
    <cfRule type="expression" rank="0" priority="764" equalAverage="0" aboveAverage="0" dxfId="1" text="" percent="0" bottom="0">
      <formula>AND(M191&gt;=10,M191&lt;20)</formula>
    </cfRule>
    <cfRule type="expression" rank="0" priority="765" equalAverage="0" aboveAverage="0" dxfId="2" text="" percent="0" bottom="0">
      <formula>AND(M191&gt;=5,M191&lt;10)</formula>
    </cfRule>
    <cfRule type="expression" rank="0" priority="766" equalAverage="0" aboveAverage="0" dxfId="3" text="" percent="0" bottom="0">
      <formula>AND(M191&gt;=1,M191&lt;5)</formula>
    </cfRule>
  </conditionalFormatting>
  <conditionalFormatting sqref="M192">
    <cfRule type="expression" rank="0" priority="767" equalAverage="0" aboveAverage="0" dxfId="0" text="" percent="0" bottom="0">
      <formula>M192&gt;=20</formula>
    </cfRule>
    <cfRule type="expression" rank="0" priority="768" equalAverage="0" aboveAverage="0" dxfId="1" text="" percent="0" bottom="0">
      <formula>AND(M192&gt;=10,M192&lt;20)</formula>
    </cfRule>
    <cfRule type="expression" rank="0" priority="769" equalAverage="0" aboveAverage="0" dxfId="2" text="" percent="0" bottom="0">
      <formula>AND(M192&gt;=5,M192&lt;10)</formula>
    </cfRule>
    <cfRule type="expression" rank="0" priority="770" equalAverage="0" aboveAverage="0" dxfId="3" text="" percent="0" bottom="0">
      <formula>AND(M192&gt;=1,M192&lt;5)</formula>
    </cfRule>
  </conditionalFormatting>
  <conditionalFormatting sqref="M193">
    <cfRule type="expression" rank="0" priority="771" equalAverage="0" aboveAverage="0" dxfId="0" text="" percent="0" bottom="0">
      <formula>M193&gt;=20</formula>
    </cfRule>
    <cfRule type="expression" rank="0" priority="772" equalAverage="0" aboveAverage="0" dxfId="1" text="" percent="0" bottom="0">
      <formula>AND(M193&gt;=10,M193&lt;20)</formula>
    </cfRule>
    <cfRule type="expression" rank="0" priority="773" equalAverage="0" aboveAverage="0" dxfId="2" text="" percent="0" bottom="0">
      <formula>AND(M193&gt;=5,M193&lt;10)</formula>
    </cfRule>
    <cfRule type="expression" rank="0" priority="774" equalAverage="0" aboveAverage="0" dxfId="3" text="" percent="0" bottom="0">
      <formula>AND(M193&gt;=1,M193&lt;5)</formula>
    </cfRule>
  </conditionalFormatting>
  <conditionalFormatting sqref="M194">
    <cfRule type="expression" rank="0" priority="775" equalAverage="0" aboveAverage="0" dxfId="0" text="" percent="0" bottom="0">
      <formula>M194&gt;=20</formula>
    </cfRule>
    <cfRule type="expression" rank="0" priority="776" equalAverage="0" aboveAverage="0" dxfId="1" text="" percent="0" bottom="0">
      <formula>AND(M194&gt;=10,M194&lt;20)</formula>
    </cfRule>
    <cfRule type="expression" rank="0" priority="777" equalAverage="0" aboveAverage="0" dxfId="2" text="" percent="0" bottom="0">
      <formula>AND(M194&gt;=5,M194&lt;10)</formula>
    </cfRule>
    <cfRule type="expression" rank="0" priority="778" equalAverage="0" aboveAverage="0" dxfId="3" text="" percent="0" bottom="0">
      <formula>AND(M194&gt;=1,M194&lt;5)</formula>
    </cfRule>
  </conditionalFormatting>
  <conditionalFormatting sqref="M195">
    <cfRule type="expression" rank="0" priority="779" equalAverage="0" aboveAverage="0" dxfId="0" text="" percent="0" bottom="0">
      <formula>M195&gt;=20</formula>
    </cfRule>
    <cfRule type="expression" rank="0" priority="780" equalAverage="0" aboveAverage="0" dxfId="1" text="" percent="0" bottom="0">
      <formula>AND(M195&gt;=10,M195&lt;20)</formula>
    </cfRule>
    <cfRule type="expression" rank="0" priority="781" equalAverage="0" aboveAverage="0" dxfId="2" text="" percent="0" bottom="0">
      <formula>AND(M195&gt;=5,M195&lt;10)</formula>
    </cfRule>
    <cfRule type="expression" rank="0" priority="782" equalAverage="0" aboveAverage="0" dxfId="3" text="" percent="0" bottom="0">
      <formula>AND(M195&gt;=1,M195&lt;5)</formula>
    </cfRule>
  </conditionalFormatting>
  <conditionalFormatting sqref="M196">
    <cfRule type="expression" rank="0" priority="783" equalAverage="0" aboveAverage="0" dxfId="0" text="" percent="0" bottom="0">
      <formula>M196&gt;=20</formula>
    </cfRule>
    <cfRule type="expression" rank="0" priority="784" equalAverage="0" aboveAverage="0" dxfId="1" text="" percent="0" bottom="0">
      <formula>AND(M196&gt;=10,M196&lt;20)</formula>
    </cfRule>
    <cfRule type="expression" rank="0" priority="785" equalAverage="0" aboveAverage="0" dxfId="2" text="" percent="0" bottom="0">
      <formula>AND(M196&gt;=5,M196&lt;10)</formula>
    </cfRule>
    <cfRule type="expression" rank="0" priority="786" equalAverage="0" aboveAverage="0" dxfId="3" text="" percent="0" bottom="0">
      <formula>AND(M196&gt;=1,M196&lt;5)</formula>
    </cfRule>
  </conditionalFormatting>
  <conditionalFormatting sqref="M197">
    <cfRule type="expression" rank="0" priority="787" equalAverage="0" aboveAverage="0" dxfId="0" text="" percent="0" bottom="0">
      <formula>M197&gt;=20</formula>
    </cfRule>
    <cfRule type="expression" rank="0" priority="788" equalAverage="0" aboveAverage="0" dxfId="1" text="" percent="0" bottom="0">
      <formula>AND(M197&gt;=10,M197&lt;20)</formula>
    </cfRule>
    <cfRule type="expression" rank="0" priority="789" equalAverage="0" aboveAverage="0" dxfId="2" text="" percent="0" bottom="0">
      <formula>AND(M197&gt;=5,M197&lt;10)</formula>
    </cfRule>
    <cfRule type="expression" rank="0" priority="790" equalAverage="0" aboveAverage="0" dxfId="3" text="" percent="0" bottom="0">
      <formula>AND(M197&gt;=1,M197&lt;5)</formula>
    </cfRule>
  </conditionalFormatting>
  <conditionalFormatting sqref="M198">
    <cfRule type="expression" rank="0" priority="791" equalAverage="0" aboveAverage="0" dxfId="0" text="" percent="0" bottom="0">
      <formula>M198&gt;=20</formula>
    </cfRule>
    <cfRule type="expression" rank="0" priority="792" equalAverage="0" aboveAverage="0" dxfId="1" text="" percent="0" bottom="0">
      <formula>AND(M198&gt;=10,M198&lt;20)</formula>
    </cfRule>
    <cfRule type="expression" rank="0" priority="793" equalAverage="0" aboveAverage="0" dxfId="2" text="" percent="0" bottom="0">
      <formula>AND(M198&gt;=5,M198&lt;10)</formula>
    </cfRule>
    <cfRule type="expression" rank="0" priority="794" equalAverage="0" aboveAverage="0" dxfId="3" text="" percent="0" bottom="0">
      <formula>AND(M198&gt;=1,M198&lt;5)</formula>
    </cfRule>
  </conditionalFormatting>
  <conditionalFormatting sqref="M199">
    <cfRule type="expression" rank="0" priority="795" equalAverage="0" aboveAverage="0" dxfId="0" text="" percent="0" bottom="0">
      <formula>M199&gt;=20</formula>
    </cfRule>
    <cfRule type="expression" rank="0" priority="796" equalAverage="0" aboveAverage="0" dxfId="1" text="" percent="0" bottom="0">
      <formula>AND(M199&gt;=10,M199&lt;20)</formula>
    </cfRule>
    <cfRule type="expression" rank="0" priority="797" equalAverage="0" aboveAverage="0" dxfId="2" text="" percent="0" bottom="0">
      <formula>AND(M199&gt;=5,M199&lt;10)</formula>
    </cfRule>
    <cfRule type="expression" rank="0" priority="798" equalAverage="0" aboveAverage="0" dxfId="3" text="" percent="0" bottom="0">
      <formula>AND(M199&gt;=1,M199&lt;5)</formula>
    </cfRule>
  </conditionalFormatting>
  <conditionalFormatting sqref="M200">
    <cfRule type="expression" rank="0" priority="799" equalAverage="0" aboveAverage="0" dxfId="0" text="" percent="0" bottom="0">
      <formula>M200&gt;=20</formula>
    </cfRule>
    <cfRule type="expression" rank="0" priority="800" equalAverage="0" aboveAverage="0" dxfId="1" text="" percent="0" bottom="0">
      <formula>AND(M200&gt;=10,M200&lt;20)</formula>
    </cfRule>
    <cfRule type="expression" rank="0" priority="801" equalAverage="0" aboveAverage="0" dxfId="2" text="" percent="0" bottom="0">
      <formula>AND(M200&gt;=5,M200&lt;10)</formula>
    </cfRule>
    <cfRule type="expression" rank="0" priority="802" equalAverage="0" aboveAverage="0" dxfId="3" text="" percent="0" bottom="0">
      <formula>AND(M200&gt;=1,M200&lt;5)</formula>
    </cfRule>
  </conditionalFormatting>
  <conditionalFormatting sqref="M201">
    <cfRule type="expression" rank="0" priority="803" equalAverage="0" aboveAverage="0" dxfId="0" text="" percent="0" bottom="0">
      <formula>M201&gt;=20</formula>
    </cfRule>
    <cfRule type="expression" rank="0" priority="804" equalAverage="0" aboveAverage="0" dxfId="1" text="" percent="0" bottom="0">
      <formula>AND(M201&gt;=10,M201&lt;20)</formula>
    </cfRule>
    <cfRule type="expression" rank="0" priority="805" equalAverage="0" aboveAverage="0" dxfId="2" text="" percent="0" bottom="0">
      <formula>AND(M201&gt;=5,M201&lt;10)</formula>
    </cfRule>
    <cfRule type="expression" rank="0" priority="806" equalAverage="0" aboveAverage="0" dxfId="3" text="" percent="0" bottom="0">
      <formula>AND(M201&gt;=1,M201&lt;5)</formula>
    </cfRule>
  </conditionalFormatting>
  <conditionalFormatting sqref="M202">
    <cfRule type="expression" rank="0" priority="807" equalAverage="0" aboveAverage="0" dxfId="0" text="" percent="0" bottom="0">
      <formula>M202&gt;=20</formula>
    </cfRule>
    <cfRule type="expression" rank="0" priority="808" equalAverage="0" aboveAverage="0" dxfId="1" text="" percent="0" bottom="0">
      <formula>AND(M202&gt;=10,M202&lt;20)</formula>
    </cfRule>
    <cfRule type="expression" rank="0" priority="809" equalAverage="0" aboveAverage="0" dxfId="2" text="" percent="0" bottom="0">
      <formula>AND(M202&gt;=5,M202&lt;10)</formula>
    </cfRule>
    <cfRule type="expression" rank="0" priority="810" equalAverage="0" aboveAverage="0" dxfId="3" text="" percent="0" bottom="0">
      <formula>AND(M202&gt;=1,M202&lt;5)</formula>
    </cfRule>
  </conditionalFormatting>
  <conditionalFormatting sqref="M203">
    <cfRule type="expression" rank="0" priority="811" equalAverage="0" aboveAverage="0" dxfId="0" text="" percent="0" bottom="0">
      <formula>M203&gt;=20</formula>
    </cfRule>
    <cfRule type="expression" rank="0" priority="812" equalAverage="0" aboveAverage="0" dxfId="1" text="" percent="0" bottom="0">
      <formula>AND(M203&gt;=10,M203&lt;20)</formula>
    </cfRule>
    <cfRule type="expression" rank="0" priority="813" equalAverage="0" aboveAverage="0" dxfId="2" text="" percent="0" bottom="0">
      <formula>AND(M203&gt;=5,M203&lt;10)</formula>
    </cfRule>
    <cfRule type="expression" rank="0" priority="814" equalAverage="0" aboveAverage="0" dxfId="3" text="" percent="0" bottom="0">
      <formula>AND(M203&gt;=1,M203&lt;5)</formula>
    </cfRule>
  </conditionalFormatting>
  <conditionalFormatting sqref="M204">
    <cfRule type="expression" rank="0" priority="815" equalAverage="0" aboveAverage="0" dxfId="0" text="" percent="0" bottom="0">
      <formula>M204&gt;=20</formula>
    </cfRule>
    <cfRule type="expression" rank="0" priority="816" equalAverage="0" aboveAverage="0" dxfId="1" text="" percent="0" bottom="0">
      <formula>AND(M204&gt;=10,M204&lt;20)</formula>
    </cfRule>
    <cfRule type="expression" rank="0" priority="817" equalAverage="0" aboveAverage="0" dxfId="2" text="" percent="0" bottom="0">
      <formula>AND(M204&gt;=5,M204&lt;10)</formula>
    </cfRule>
    <cfRule type="expression" rank="0" priority="818" equalAverage="0" aboveAverage="0" dxfId="3" text="" percent="0" bottom="0">
      <formula>AND(M204&gt;=1,M204&lt;5)</formula>
    </cfRule>
  </conditionalFormatting>
  <conditionalFormatting sqref="M205">
    <cfRule type="expression" rank="0" priority="819" equalAverage="0" aboveAverage="0" dxfId="0" text="" percent="0" bottom="0">
      <formula>M205&gt;=20</formula>
    </cfRule>
    <cfRule type="expression" rank="0" priority="820" equalAverage="0" aboveAverage="0" dxfId="1" text="" percent="0" bottom="0">
      <formula>AND(M205&gt;=10,M205&lt;20)</formula>
    </cfRule>
    <cfRule type="expression" rank="0" priority="821" equalAverage="0" aboveAverage="0" dxfId="2" text="" percent="0" bottom="0">
      <formula>AND(M205&gt;=5,M205&lt;10)</formula>
    </cfRule>
    <cfRule type="expression" rank="0" priority="822" equalAverage="0" aboveAverage="0" dxfId="3" text="" percent="0" bottom="0">
      <formula>AND(M205&gt;=1,M205&lt;5)</formula>
    </cfRule>
  </conditionalFormatting>
  <conditionalFormatting sqref="M206">
    <cfRule type="expression" rank="0" priority="823" equalAverage="0" aboveAverage="0" dxfId="0" text="" percent="0" bottom="0">
      <formula>M206&gt;=20</formula>
    </cfRule>
    <cfRule type="expression" rank="0" priority="824" equalAverage="0" aboveAverage="0" dxfId="1" text="" percent="0" bottom="0">
      <formula>AND(M206&gt;=10,M206&lt;20)</formula>
    </cfRule>
    <cfRule type="expression" rank="0" priority="825" equalAverage="0" aboveAverage="0" dxfId="2" text="" percent="0" bottom="0">
      <formula>AND(M206&gt;=5,M206&lt;10)</formula>
    </cfRule>
    <cfRule type="expression" rank="0" priority="826" equalAverage="0" aboveAverage="0" dxfId="3" text="" percent="0" bottom="0">
      <formula>AND(M206&gt;=1,M206&lt;5)</formula>
    </cfRule>
  </conditionalFormatting>
  <conditionalFormatting sqref="M207">
    <cfRule type="expression" rank="0" priority="827" equalAverage="0" aboveAverage="0" dxfId="0" text="" percent="0" bottom="0">
      <formula>M207&gt;=20</formula>
    </cfRule>
    <cfRule type="expression" rank="0" priority="828" equalAverage="0" aboveAverage="0" dxfId="1" text="" percent="0" bottom="0">
      <formula>AND(M207&gt;=10,M207&lt;20)</formula>
    </cfRule>
    <cfRule type="expression" rank="0" priority="829" equalAverage="0" aboveAverage="0" dxfId="2" text="" percent="0" bottom="0">
      <formula>AND(M207&gt;=5,M207&lt;10)</formula>
    </cfRule>
    <cfRule type="expression" rank="0" priority="830" equalAverage="0" aboveAverage="0" dxfId="3" text="" percent="0" bottom="0">
      <formula>AND(M207&gt;=1,M207&lt;5)</formula>
    </cfRule>
  </conditionalFormatting>
  <conditionalFormatting sqref="M208">
    <cfRule type="expression" rank="0" priority="831" equalAverage="0" aboveAverage="0" dxfId="0" text="" percent="0" bottom="0">
      <formula>M208&gt;=20</formula>
    </cfRule>
    <cfRule type="expression" rank="0" priority="832" equalAverage="0" aboveAverage="0" dxfId="1" text="" percent="0" bottom="0">
      <formula>AND(M208&gt;=10,M208&lt;20)</formula>
    </cfRule>
    <cfRule type="expression" rank="0" priority="833" equalAverage="0" aboveAverage="0" dxfId="2" text="" percent="0" bottom="0">
      <formula>AND(M208&gt;=5,M208&lt;10)</formula>
    </cfRule>
    <cfRule type="expression" rank="0" priority="834" equalAverage="0" aboveAverage="0" dxfId="3" text="" percent="0" bottom="0">
      <formula>AND(M208&gt;=1,M208&lt;5)</formula>
    </cfRule>
  </conditionalFormatting>
  <conditionalFormatting sqref="M209">
    <cfRule type="expression" rank="0" priority="835" equalAverage="0" aboveAverage="0" dxfId="0" text="" percent="0" bottom="0">
      <formula>M209&gt;=20</formula>
    </cfRule>
    <cfRule type="expression" rank="0" priority="836" equalAverage="0" aboveAverage="0" dxfId="1" text="" percent="0" bottom="0">
      <formula>AND(M209&gt;=10,M209&lt;20)</formula>
    </cfRule>
    <cfRule type="expression" rank="0" priority="837" equalAverage="0" aboveAverage="0" dxfId="2" text="" percent="0" bottom="0">
      <formula>AND(M209&gt;=5,M209&lt;10)</formula>
    </cfRule>
    <cfRule type="expression" rank="0" priority="838" equalAverage="0" aboveAverage="0" dxfId="3" text="" percent="0" bottom="0">
      <formula>AND(M209&gt;=1,M209&lt;5)</formula>
    </cfRule>
  </conditionalFormatting>
  <conditionalFormatting sqref="M210">
    <cfRule type="expression" rank="0" priority="839" equalAverage="0" aboveAverage="0" dxfId="0" text="" percent="0" bottom="0">
      <formula>M210&gt;=20</formula>
    </cfRule>
    <cfRule type="expression" rank="0" priority="840" equalAverage="0" aboveAverage="0" dxfId="1" text="" percent="0" bottom="0">
      <formula>AND(M210&gt;=10,M210&lt;20)</formula>
    </cfRule>
    <cfRule type="expression" rank="0" priority="841" equalAverage="0" aboveAverage="0" dxfId="2" text="" percent="0" bottom="0">
      <formula>AND(M210&gt;=5,M210&lt;10)</formula>
    </cfRule>
    <cfRule type="expression" rank="0" priority="842" equalAverage="0" aboveAverage="0" dxfId="3" text="" percent="0" bottom="0">
      <formula>AND(M210&gt;=1,M210&lt;5)</formula>
    </cfRule>
  </conditionalFormatting>
  <conditionalFormatting sqref="M211">
    <cfRule type="expression" rank="0" priority="843" equalAverage="0" aboveAverage="0" dxfId="0" text="" percent="0" bottom="0">
      <formula>M211&gt;=20</formula>
    </cfRule>
    <cfRule type="expression" rank="0" priority="844" equalAverage="0" aboveAverage="0" dxfId="1" text="" percent="0" bottom="0">
      <formula>AND(M211&gt;=10,M211&lt;20)</formula>
    </cfRule>
    <cfRule type="expression" rank="0" priority="845" equalAverage="0" aboveAverage="0" dxfId="2" text="" percent="0" bottom="0">
      <formula>AND(M211&gt;=5,M211&lt;10)</formula>
    </cfRule>
    <cfRule type="expression" rank="0" priority="846" equalAverage="0" aboveAverage="0" dxfId="3" text="" percent="0" bottom="0">
      <formula>AND(M211&gt;=1,M211&lt;5)</formula>
    </cfRule>
  </conditionalFormatting>
  <conditionalFormatting sqref="M212">
    <cfRule type="expression" rank="0" priority="847" equalAverage="0" aboveAverage="0" dxfId="0" text="" percent="0" bottom="0">
      <formula>M212&gt;=20</formula>
    </cfRule>
    <cfRule type="expression" rank="0" priority="848" equalAverage="0" aboveAverage="0" dxfId="1" text="" percent="0" bottom="0">
      <formula>AND(M212&gt;=10,M212&lt;20)</formula>
    </cfRule>
    <cfRule type="expression" rank="0" priority="849" equalAverage="0" aboveAverage="0" dxfId="2" text="" percent="0" bottom="0">
      <formula>AND(M212&gt;=5,M212&lt;10)</formula>
    </cfRule>
    <cfRule type="expression" rank="0" priority="850" equalAverage="0" aboveAverage="0" dxfId="3" text="" percent="0" bottom="0">
      <formula>AND(M212&gt;=1,M212&lt;5)</formula>
    </cfRule>
  </conditionalFormatting>
  <conditionalFormatting sqref="M213">
    <cfRule type="expression" rank="0" priority="851" equalAverage="0" aboveAverage="0" dxfId="0" text="" percent="0" bottom="0">
      <formula>M213&gt;=20</formula>
    </cfRule>
    <cfRule type="expression" rank="0" priority="852" equalAverage="0" aboveAverage="0" dxfId="1" text="" percent="0" bottom="0">
      <formula>AND(M213&gt;=10,M213&lt;20)</formula>
    </cfRule>
    <cfRule type="expression" rank="0" priority="853" equalAverage="0" aboveAverage="0" dxfId="2" text="" percent="0" bottom="0">
      <formula>AND(M213&gt;=5,M213&lt;10)</formula>
    </cfRule>
    <cfRule type="expression" rank="0" priority="854" equalAverage="0" aboveAverage="0" dxfId="3" text="" percent="0" bottom="0">
      <formula>AND(M213&gt;=1,M213&lt;5)</formula>
    </cfRule>
  </conditionalFormatting>
  <conditionalFormatting sqref="M214">
    <cfRule type="expression" rank="0" priority="855" equalAverage="0" aboveAverage="0" dxfId="0" text="" percent="0" bottom="0">
      <formula>M214&gt;=20</formula>
    </cfRule>
    <cfRule type="expression" rank="0" priority="856" equalAverage="0" aboveAverage="0" dxfId="1" text="" percent="0" bottom="0">
      <formula>AND(M214&gt;=10,M214&lt;20)</formula>
    </cfRule>
    <cfRule type="expression" rank="0" priority="857" equalAverage="0" aboveAverage="0" dxfId="2" text="" percent="0" bottom="0">
      <formula>AND(M214&gt;=5,M214&lt;10)</formula>
    </cfRule>
    <cfRule type="expression" rank="0" priority="858" equalAverage="0" aboveAverage="0" dxfId="3" text="" percent="0" bottom="0">
      <formula>AND(M214&gt;=1,M214&lt;5)</formula>
    </cfRule>
  </conditionalFormatting>
  <conditionalFormatting sqref="M215">
    <cfRule type="expression" rank="0" priority="859" equalAverage="0" aboveAverage="0" dxfId="0" text="" percent="0" bottom="0">
      <formula>M215&gt;=20</formula>
    </cfRule>
    <cfRule type="expression" rank="0" priority="860" equalAverage="0" aboveAverage="0" dxfId="1" text="" percent="0" bottom="0">
      <formula>AND(M215&gt;=10,M215&lt;20)</formula>
    </cfRule>
    <cfRule type="expression" rank="0" priority="861" equalAverage="0" aboveAverage="0" dxfId="2" text="" percent="0" bottom="0">
      <formula>AND(M215&gt;=5,M215&lt;10)</formula>
    </cfRule>
    <cfRule type="expression" rank="0" priority="862" equalAverage="0" aboveAverage="0" dxfId="3" text="" percent="0" bottom="0">
      <formula>AND(M215&gt;=1,M215&lt;5)</formula>
    </cfRule>
  </conditionalFormatting>
  <conditionalFormatting sqref="M216">
    <cfRule type="expression" rank="0" priority="863" equalAverage="0" aboveAverage="0" dxfId="0" text="" percent="0" bottom="0">
      <formula>M216&gt;=20</formula>
    </cfRule>
    <cfRule type="expression" rank="0" priority="864" equalAverage="0" aboveAverage="0" dxfId="1" text="" percent="0" bottom="0">
      <formula>AND(M216&gt;=10,M216&lt;20)</formula>
    </cfRule>
    <cfRule type="expression" rank="0" priority="865" equalAverage="0" aboveAverage="0" dxfId="2" text="" percent="0" bottom="0">
      <formula>AND(M216&gt;=5,M216&lt;10)</formula>
    </cfRule>
    <cfRule type="expression" rank="0" priority="866" equalAverage="0" aboveAverage="0" dxfId="3" text="" percent="0" bottom="0">
      <formula>AND(M216&gt;=1,M216&lt;5)</formula>
    </cfRule>
  </conditionalFormatting>
  <conditionalFormatting sqref="M217">
    <cfRule type="expression" rank="0" priority="867" equalAverage="0" aboveAverage="0" dxfId="0" text="" percent="0" bottom="0">
      <formula>M217&gt;=20</formula>
    </cfRule>
    <cfRule type="expression" rank="0" priority="868" equalAverage="0" aboveAverage="0" dxfId="1" text="" percent="0" bottom="0">
      <formula>AND(M217&gt;=10,M217&lt;20)</formula>
    </cfRule>
    <cfRule type="expression" rank="0" priority="869" equalAverage="0" aboveAverage="0" dxfId="2" text="" percent="0" bottom="0">
      <formula>AND(M217&gt;=5,M217&lt;10)</formula>
    </cfRule>
    <cfRule type="expression" rank="0" priority="870" equalAverage="0" aboveAverage="0" dxfId="3" text="" percent="0" bottom="0">
      <formula>AND(M217&gt;=1,M217&lt;5)</formula>
    </cfRule>
  </conditionalFormatting>
  <conditionalFormatting sqref="M218">
    <cfRule type="expression" rank="0" priority="871" equalAverage="0" aboveAverage="0" dxfId="0" text="" percent="0" bottom="0">
      <formula>M218&gt;=20</formula>
    </cfRule>
    <cfRule type="expression" rank="0" priority="872" equalAverage="0" aboveAverage="0" dxfId="1" text="" percent="0" bottom="0">
      <formula>AND(M218&gt;=10,M218&lt;20)</formula>
    </cfRule>
    <cfRule type="expression" rank="0" priority="873" equalAverage="0" aboveAverage="0" dxfId="2" text="" percent="0" bottom="0">
      <formula>AND(M218&gt;=5,M218&lt;10)</formula>
    </cfRule>
    <cfRule type="expression" rank="0" priority="874" equalAverage="0" aboveAverage="0" dxfId="3" text="" percent="0" bottom="0">
      <formula>AND(M218&gt;=1,M218&lt;5)</formula>
    </cfRule>
  </conditionalFormatting>
  <conditionalFormatting sqref="M219">
    <cfRule type="expression" rank="0" priority="875" equalAverage="0" aboveAverage="0" dxfId="0" text="" percent="0" bottom="0">
      <formula>M219&gt;=20</formula>
    </cfRule>
    <cfRule type="expression" rank="0" priority="876" equalAverage="0" aboveAverage="0" dxfId="1" text="" percent="0" bottom="0">
      <formula>AND(M219&gt;=10,M219&lt;20)</formula>
    </cfRule>
    <cfRule type="expression" rank="0" priority="877" equalAverage="0" aboveAverage="0" dxfId="2" text="" percent="0" bottom="0">
      <formula>AND(M219&gt;=5,M219&lt;10)</formula>
    </cfRule>
    <cfRule type="expression" rank="0" priority="878" equalAverage="0" aboveAverage="0" dxfId="3" text="" percent="0" bottom="0">
      <formula>AND(M219&gt;=1,M219&lt;5)</formula>
    </cfRule>
  </conditionalFormatting>
  <conditionalFormatting sqref="M220">
    <cfRule type="expression" rank="0" priority="879" equalAverage="0" aboveAverage="0" dxfId="0" text="" percent="0" bottom="0">
      <formula>M220&gt;=20</formula>
    </cfRule>
    <cfRule type="expression" rank="0" priority="880" equalAverage="0" aboveAverage="0" dxfId="1" text="" percent="0" bottom="0">
      <formula>AND(M220&gt;=10,M220&lt;20)</formula>
    </cfRule>
    <cfRule type="expression" rank="0" priority="881" equalAverage="0" aboveAverage="0" dxfId="2" text="" percent="0" bottom="0">
      <formula>AND(M220&gt;=5,M220&lt;10)</formula>
    </cfRule>
    <cfRule type="expression" rank="0" priority="882" equalAverage="0" aboveAverage="0" dxfId="3" text="" percent="0" bottom="0">
      <formula>AND(M220&gt;=1,M220&lt;5)</formula>
    </cfRule>
  </conditionalFormatting>
  <conditionalFormatting sqref="M221">
    <cfRule type="expression" rank="0" priority="883" equalAverage="0" aboveAverage="0" dxfId="0" text="" percent="0" bottom="0">
      <formula>M221&gt;=20</formula>
    </cfRule>
    <cfRule type="expression" rank="0" priority="884" equalAverage="0" aboveAverage="0" dxfId="1" text="" percent="0" bottom="0">
      <formula>AND(M221&gt;=10,M221&lt;20)</formula>
    </cfRule>
    <cfRule type="expression" rank="0" priority="885" equalAverage="0" aboveAverage="0" dxfId="2" text="" percent="0" bottom="0">
      <formula>AND(M221&gt;=5,M221&lt;10)</formula>
    </cfRule>
    <cfRule type="expression" rank="0" priority="886" equalAverage="0" aboveAverage="0" dxfId="3" text="" percent="0" bottom="0">
      <formula>AND(M221&gt;=1,M221&lt;5)</formula>
    </cfRule>
  </conditionalFormatting>
  <conditionalFormatting sqref="M222">
    <cfRule type="expression" rank="0" priority="887" equalAverage="0" aboveAverage="0" dxfId="0" text="" percent="0" bottom="0">
      <formula>M222&gt;=20</formula>
    </cfRule>
    <cfRule type="expression" rank="0" priority="888" equalAverage="0" aboveAverage="0" dxfId="1" text="" percent="0" bottom="0">
      <formula>AND(M222&gt;=10,M222&lt;20)</formula>
    </cfRule>
    <cfRule type="expression" rank="0" priority="889" equalAverage="0" aboveAverage="0" dxfId="2" text="" percent="0" bottom="0">
      <formula>AND(M222&gt;=5,M222&lt;10)</formula>
    </cfRule>
    <cfRule type="expression" rank="0" priority="890" equalAverage="0" aboveAverage="0" dxfId="3" text="" percent="0" bottom="0">
      <formula>AND(M222&gt;=1,M222&lt;5)</formula>
    </cfRule>
  </conditionalFormatting>
  <conditionalFormatting sqref="M223">
    <cfRule type="expression" rank="0" priority="891" equalAverage="0" aboveAverage="0" dxfId="0" text="" percent="0" bottom="0">
      <formula>M223&gt;=20</formula>
    </cfRule>
    <cfRule type="expression" rank="0" priority="892" equalAverage="0" aboveAverage="0" dxfId="1" text="" percent="0" bottom="0">
      <formula>AND(M223&gt;=10,M223&lt;20)</formula>
    </cfRule>
    <cfRule type="expression" rank="0" priority="893" equalAverage="0" aboveAverage="0" dxfId="2" text="" percent="0" bottom="0">
      <formula>AND(M223&gt;=5,M223&lt;10)</formula>
    </cfRule>
    <cfRule type="expression" rank="0" priority="894" equalAverage="0" aboveAverage="0" dxfId="3" text="" percent="0" bottom="0">
      <formula>AND(M223&gt;=1,M223&lt;5)</formula>
    </cfRule>
  </conditionalFormatting>
  <conditionalFormatting sqref="M224">
    <cfRule type="expression" rank="0" priority="895" equalAverage="0" aboveAverage="0" dxfId="0" text="" percent="0" bottom="0">
      <formula>M224&gt;=20</formula>
    </cfRule>
    <cfRule type="expression" rank="0" priority="896" equalAverage="0" aboveAverage="0" dxfId="1" text="" percent="0" bottom="0">
      <formula>AND(M224&gt;=10,M224&lt;20)</formula>
    </cfRule>
    <cfRule type="expression" rank="0" priority="897" equalAverage="0" aboveAverage="0" dxfId="2" text="" percent="0" bottom="0">
      <formula>AND(M224&gt;=5,M224&lt;10)</formula>
    </cfRule>
    <cfRule type="expression" rank="0" priority="898" equalAverage="0" aboveAverage="0" dxfId="3" text="" percent="0" bottom="0">
      <formula>AND(M224&gt;=1,M224&lt;5)</formula>
    </cfRule>
  </conditionalFormatting>
  <conditionalFormatting sqref="M225">
    <cfRule type="expression" rank="0" priority="899" equalAverage="0" aboveAverage="0" dxfId="0" text="" percent="0" bottom="0">
      <formula>M225&gt;=20</formula>
    </cfRule>
    <cfRule type="expression" rank="0" priority="900" equalAverage="0" aboveAverage="0" dxfId="1" text="" percent="0" bottom="0">
      <formula>AND(M225&gt;=10,M225&lt;20)</formula>
    </cfRule>
    <cfRule type="expression" rank="0" priority="901" equalAverage="0" aboveAverage="0" dxfId="2" text="" percent="0" bottom="0">
      <formula>AND(M225&gt;=5,M225&lt;10)</formula>
    </cfRule>
    <cfRule type="expression" rank="0" priority="902" equalAverage="0" aboveAverage="0" dxfId="3" text="" percent="0" bottom="0">
      <formula>AND(M225&gt;=1,M225&lt;5)</formula>
    </cfRule>
  </conditionalFormatting>
  <conditionalFormatting sqref="M226">
    <cfRule type="expression" rank="0" priority="903" equalAverage="0" aboveAverage="0" dxfId="0" text="" percent="0" bottom="0">
      <formula>M226&gt;=20</formula>
    </cfRule>
    <cfRule type="expression" rank="0" priority="904" equalAverage="0" aboveAverage="0" dxfId="1" text="" percent="0" bottom="0">
      <formula>AND(M226&gt;=10,M226&lt;20)</formula>
    </cfRule>
    <cfRule type="expression" rank="0" priority="905" equalAverage="0" aboveAverage="0" dxfId="2" text="" percent="0" bottom="0">
      <formula>AND(M226&gt;=5,M226&lt;10)</formula>
    </cfRule>
    <cfRule type="expression" rank="0" priority="906" equalAverage="0" aboveAverage="0" dxfId="3" text="" percent="0" bottom="0">
      <formula>AND(M226&gt;=1,M226&lt;5)</formula>
    </cfRule>
  </conditionalFormatting>
  <conditionalFormatting sqref="M227">
    <cfRule type="expression" rank="0" priority="907" equalAverage="0" aboveAverage="0" dxfId="0" text="" percent="0" bottom="0">
      <formula>M227&gt;=20</formula>
    </cfRule>
    <cfRule type="expression" rank="0" priority="908" equalAverage="0" aboveAverage="0" dxfId="1" text="" percent="0" bottom="0">
      <formula>AND(M227&gt;=10,M227&lt;20)</formula>
    </cfRule>
    <cfRule type="expression" rank="0" priority="909" equalAverage="0" aboveAverage="0" dxfId="2" text="" percent="0" bottom="0">
      <formula>AND(M227&gt;=5,M227&lt;10)</formula>
    </cfRule>
    <cfRule type="expression" rank="0" priority="910" equalAverage="0" aboveAverage="0" dxfId="3" text="" percent="0" bottom="0">
      <formula>AND(M227&gt;=1,M227&lt;5)</formula>
    </cfRule>
  </conditionalFormatting>
  <conditionalFormatting sqref="M228">
    <cfRule type="expression" rank="0" priority="911" equalAverage="0" aboveAverage="0" dxfId="0" text="" percent="0" bottom="0">
      <formula>M228&gt;=20</formula>
    </cfRule>
    <cfRule type="expression" rank="0" priority="912" equalAverage="0" aboveAverage="0" dxfId="1" text="" percent="0" bottom="0">
      <formula>AND(M228&gt;=10,M228&lt;20)</formula>
    </cfRule>
    <cfRule type="expression" rank="0" priority="913" equalAverage="0" aboveAverage="0" dxfId="2" text="" percent="0" bottom="0">
      <formula>AND(M228&gt;=5,M228&lt;10)</formula>
    </cfRule>
    <cfRule type="expression" rank="0" priority="914" equalAverage="0" aboveAverage="0" dxfId="3" text="" percent="0" bottom="0">
      <formula>AND(M228&gt;=1,M228&lt;5)</formula>
    </cfRule>
  </conditionalFormatting>
  <conditionalFormatting sqref="M229">
    <cfRule type="expression" rank="0" priority="915" equalAverage="0" aboveAverage="0" dxfId="0" text="" percent="0" bottom="0">
      <formula>M229&gt;=20</formula>
    </cfRule>
    <cfRule type="expression" rank="0" priority="916" equalAverage="0" aboveAverage="0" dxfId="1" text="" percent="0" bottom="0">
      <formula>AND(M229&gt;=10,M229&lt;20)</formula>
    </cfRule>
    <cfRule type="expression" rank="0" priority="917" equalAverage="0" aboveAverage="0" dxfId="2" text="" percent="0" bottom="0">
      <formula>AND(M229&gt;=5,M229&lt;10)</formula>
    </cfRule>
    <cfRule type="expression" rank="0" priority="918" equalAverage="0" aboveAverage="0" dxfId="3" text="" percent="0" bottom="0">
      <formula>AND(M229&gt;=1,M229&lt;5)</formula>
    </cfRule>
  </conditionalFormatting>
  <conditionalFormatting sqref="M230">
    <cfRule type="expression" rank="0" priority="919" equalAverage="0" aboveAverage="0" dxfId="0" text="" percent="0" bottom="0">
      <formula>M230&gt;=20</formula>
    </cfRule>
    <cfRule type="expression" rank="0" priority="920" equalAverage="0" aboveAverage="0" dxfId="1" text="" percent="0" bottom="0">
      <formula>AND(M230&gt;=10,M230&lt;20)</formula>
    </cfRule>
    <cfRule type="expression" rank="0" priority="921" equalAverage="0" aboveAverage="0" dxfId="2" text="" percent="0" bottom="0">
      <formula>AND(M230&gt;=5,M230&lt;10)</formula>
    </cfRule>
    <cfRule type="expression" rank="0" priority="922" equalAverage="0" aboveAverage="0" dxfId="3" text="" percent="0" bottom="0">
      <formula>AND(M230&gt;=1,M230&lt;5)</formula>
    </cfRule>
  </conditionalFormatting>
  <conditionalFormatting sqref="M231">
    <cfRule type="expression" rank="0" priority="923" equalAverage="0" aboveAverage="0" dxfId="0" text="" percent="0" bottom="0">
      <formula>M231&gt;=20</formula>
    </cfRule>
    <cfRule type="expression" rank="0" priority="924" equalAverage="0" aboveAverage="0" dxfId="1" text="" percent="0" bottom="0">
      <formula>AND(M231&gt;=10,M231&lt;20)</formula>
    </cfRule>
    <cfRule type="expression" rank="0" priority="925" equalAverage="0" aboveAverage="0" dxfId="2" text="" percent="0" bottom="0">
      <formula>AND(M231&gt;=5,M231&lt;10)</formula>
    </cfRule>
    <cfRule type="expression" rank="0" priority="926" equalAverage="0" aboveAverage="0" dxfId="3" text="" percent="0" bottom="0">
      <formula>AND(M231&gt;=1,M231&lt;5)</formula>
    </cfRule>
  </conditionalFormatting>
  <conditionalFormatting sqref="M232">
    <cfRule type="expression" rank="0" priority="927" equalAverage="0" aboveAverage="0" dxfId="0" text="" percent="0" bottom="0">
      <formula>M232&gt;=20</formula>
    </cfRule>
    <cfRule type="expression" rank="0" priority="928" equalAverage="0" aboveAverage="0" dxfId="1" text="" percent="0" bottom="0">
      <formula>AND(M232&gt;=10,M232&lt;20)</formula>
    </cfRule>
    <cfRule type="expression" rank="0" priority="929" equalAverage="0" aboveAverage="0" dxfId="2" text="" percent="0" bottom="0">
      <formula>AND(M232&gt;=5,M232&lt;10)</formula>
    </cfRule>
    <cfRule type="expression" rank="0" priority="930" equalAverage="0" aboveAverage="0" dxfId="3" text="" percent="0" bottom="0">
      <formula>AND(M232&gt;=1,M232&lt;5)</formula>
    </cfRule>
  </conditionalFormatting>
  <conditionalFormatting sqref="M233">
    <cfRule type="expression" rank="0" priority="931" equalAverage="0" aboveAverage="0" dxfId="0" text="" percent="0" bottom="0">
      <formula>M233&gt;=20</formula>
    </cfRule>
    <cfRule type="expression" rank="0" priority="932" equalAverage="0" aboveAverage="0" dxfId="1" text="" percent="0" bottom="0">
      <formula>AND(M233&gt;=10,M233&lt;20)</formula>
    </cfRule>
    <cfRule type="expression" rank="0" priority="933" equalAverage="0" aboveAverage="0" dxfId="2" text="" percent="0" bottom="0">
      <formula>AND(M233&gt;=5,M233&lt;10)</formula>
    </cfRule>
    <cfRule type="expression" rank="0" priority="934" equalAverage="0" aboveAverage="0" dxfId="3" text="" percent="0" bottom="0">
      <formula>AND(M233&gt;=1,M233&lt;5)</formula>
    </cfRule>
  </conditionalFormatting>
  <conditionalFormatting sqref="M234">
    <cfRule type="expression" rank="0" priority="935" equalAverage="0" aboveAverage="0" dxfId="0" text="" percent="0" bottom="0">
      <formula>M234&gt;=20</formula>
    </cfRule>
    <cfRule type="expression" rank="0" priority="936" equalAverage="0" aboveAverage="0" dxfId="1" text="" percent="0" bottom="0">
      <formula>AND(M234&gt;=10,M234&lt;20)</formula>
    </cfRule>
    <cfRule type="expression" rank="0" priority="937" equalAverage="0" aboveAverage="0" dxfId="2" text="" percent="0" bottom="0">
      <formula>AND(M234&gt;=5,M234&lt;10)</formula>
    </cfRule>
    <cfRule type="expression" rank="0" priority="938" equalAverage="0" aboveAverage="0" dxfId="3" text="" percent="0" bottom="0">
      <formula>AND(M234&gt;=1,M234&lt;5)</formula>
    </cfRule>
  </conditionalFormatting>
  <conditionalFormatting sqref="M235">
    <cfRule type="expression" rank="0" priority="939" equalAverage="0" aboveAverage="0" dxfId="0" text="" percent="0" bottom="0">
      <formula>M235&gt;=20</formula>
    </cfRule>
    <cfRule type="expression" rank="0" priority="940" equalAverage="0" aboveAverage="0" dxfId="1" text="" percent="0" bottom="0">
      <formula>AND(M235&gt;=10,M235&lt;20)</formula>
    </cfRule>
    <cfRule type="expression" rank="0" priority="941" equalAverage="0" aboveAverage="0" dxfId="2" text="" percent="0" bottom="0">
      <formula>AND(M235&gt;=5,M235&lt;10)</formula>
    </cfRule>
    <cfRule type="expression" rank="0" priority="942" equalAverage="0" aboveAverage="0" dxfId="3" text="" percent="0" bottom="0">
      <formula>AND(M235&gt;=1,M235&lt;5)</formula>
    </cfRule>
  </conditionalFormatting>
  <conditionalFormatting sqref="M236">
    <cfRule type="expression" rank="0" priority="943" equalAverage="0" aboveAverage="0" dxfId="0" text="" percent="0" bottom="0">
      <formula>M236&gt;=20</formula>
    </cfRule>
    <cfRule type="expression" rank="0" priority="944" equalAverage="0" aboveAverage="0" dxfId="1" text="" percent="0" bottom="0">
      <formula>AND(M236&gt;=10,M236&lt;20)</formula>
    </cfRule>
    <cfRule type="expression" rank="0" priority="945" equalAverage="0" aboveAverage="0" dxfId="2" text="" percent="0" bottom="0">
      <formula>AND(M236&gt;=5,M236&lt;10)</formula>
    </cfRule>
    <cfRule type="expression" rank="0" priority="946" equalAverage="0" aboveAverage="0" dxfId="3" text="" percent="0" bottom="0">
      <formula>AND(M236&gt;=1,M236&lt;5)</formula>
    </cfRule>
  </conditionalFormatting>
  <conditionalFormatting sqref="M237">
    <cfRule type="expression" rank="0" priority="947" equalAverage="0" aboveAverage="0" dxfId="0" text="" percent="0" bottom="0">
      <formula>M237&gt;=20</formula>
    </cfRule>
    <cfRule type="expression" rank="0" priority="948" equalAverage="0" aboveAverage="0" dxfId="1" text="" percent="0" bottom="0">
      <formula>AND(M237&gt;=10,M237&lt;20)</formula>
    </cfRule>
    <cfRule type="expression" rank="0" priority="949" equalAverage="0" aboveAverage="0" dxfId="2" text="" percent="0" bottom="0">
      <formula>AND(M237&gt;=5,M237&lt;10)</formula>
    </cfRule>
    <cfRule type="expression" rank="0" priority="950" equalAverage="0" aboveAverage="0" dxfId="3" text="" percent="0" bottom="0">
      <formula>AND(M237&gt;=1,M237&lt;5)</formula>
    </cfRule>
  </conditionalFormatting>
  <conditionalFormatting sqref="M238">
    <cfRule type="expression" rank="0" priority="951" equalAverage="0" aboveAverage="0" dxfId="0" text="" percent="0" bottom="0">
      <formula>M238&gt;=20</formula>
    </cfRule>
    <cfRule type="expression" rank="0" priority="952" equalAverage="0" aboveAverage="0" dxfId="1" text="" percent="0" bottom="0">
      <formula>AND(M238&gt;=10,M238&lt;20)</formula>
    </cfRule>
    <cfRule type="expression" rank="0" priority="953" equalAverage="0" aboveAverage="0" dxfId="2" text="" percent="0" bottom="0">
      <formula>AND(M238&gt;=5,M238&lt;10)</formula>
    </cfRule>
    <cfRule type="expression" rank="0" priority="954" equalAverage="0" aboveAverage="0" dxfId="3" text="" percent="0" bottom="0">
      <formula>AND(M238&gt;=1,M238&lt;5)</formula>
    </cfRule>
  </conditionalFormatting>
  <conditionalFormatting sqref="M239">
    <cfRule type="expression" rank="0" priority="955" equalAverage="0" aboveAverage="0" dxfId="0" text="" percent="0" bottom="0">
      <formula>M239&gt;=20</formula>
    </cfRule>
    <cfRule type="expression" rank="0" priority="956" equalAverage="0" aboveAverage="0" dxfId="1" text="" percent="0" bottom="0">
      <formula>AND(M239&gt;=10,M239&lt;20)</formula>
    </cfRule>
    <cfRule type="expression" rank="0" priority="957" equalAverage="0" aboveAverage="0" dxfId="2" text="" percent="0" bottom="0">
      <formula>AND(M239&gt;=5,M239&lt;10)</formula>
    </cfRule>
    <cfRule type="expression" rank="0" priority="958" equalAverage="0" aboveAverage="0" dxfId="3" text="" percent="0" bottom="0">
      <formula>AND(M239&gt;=1,M239&lt;5)</formula>
    </cfRule>
  </conditionalFormatting>
  <conditionalFormatting sqref="M240">
    <cfRule type="expression" rank="0" priority="959" equalAverage="0" aboveAverage="0" dxfId="0" text="" percent="0" bottom="0">
      <formula>M240&gt;=20</formula>
    </cfRule>
    <cfRule type="expression" rank="0" priority="960" equalAverage="0" aboveAverage="0" dxfId="1" text="" percent="0" bottom="0">
      <formula>AND(M240&gt;=10,M240&lt;20)</formula>
    </cfRule>
    <cfRule type="expression" rank="0" priority="961" equalAverage="0" aboveAverage="0" dxfId="2" text="" percent="0" bottom="0">
      <formula>AND(M240&gt;=5,M240&lt;10)</formula>
    </cfRule>
    <cfRule type="expression" rank="0" priority="962" equalAverage="0" aboveAverage="0" dxfId="3" text="" percent="0" bottom="0">
      <formula>AND(M240&gt;=1,M240&lt;5)</formula>
    </cfRule>
  </conditionalFormatting>
  <conditionalFormatting sqref="M241">
    <cfRule type="expression" rank="0" priority="963" equalAverage="0" aboveAverage="0" dxfId="0" text="" percent="0" bottom="0">
      <formula>M241&gt;=20</formula>
    </cfRule>
    <cfRule type="expression" rank="0" priority="964" equalAverage="0" aboveAverage="0" dxfId="1" text="" percent="0" bottom="0">
      <formula>AND(M241&gt;=10,M241&lt;20)</formula>
    </cfRule>
    <cfRule type="expression" rank="0" priority="965" equalAverage="0" aboveAverage="0" dxfId="2" text="" percent="0" bottom="0">
      <formula>AND(M241&gt;=5,M241&lt;10)</formula>
    </cfRule>
    <cfRule type="expression" rank="0" priority="966" equalAverage="0" aboveAverage="0" dxfId="3" text="" percent="0" bottom="0">
      <formula>AND(M241&gt;=1,M241&lt;5)</formula>
    </cfRule>
  </conditionalFormatting>
  <conditionalFormatting sqref="M242">
    <cfRule type="expression" rank="0" priority="967" equalAverage="0" aboveAverage="0" dxfId="0" text="" percent="0" bottom="0">
      <formula>M242&gt;=20</formula>
    </cfRule>
    <cfRule type="expression" rank="0" priority="968" equalAverage="0" aboveAverage="0" dxfId="1" text="" percent="0" bottom="0">
      <formula>AND(M242&gt;=10,M242&lt;20)</formula>
    </cfRule>
    <cfRule type="expression" rank="0" priority="969" equalAverage="0" aboveAverage="0" dxfId="2" text="" percent="0" bottom="0">
      <formula>AND(M242&gt;=5,M242&lt;10)</formula>
    </cfRule>
    <cfRule type="expression" rank="0" priority="970" equalAverage="0" aboveAverage="0" dxfId="3" text="" percent="0" bottom="0">
      <formula>AND(M242&gt;=1,M242&lt;5)</formula>
    </cfRule>
  </conditionalFormatting>
  <conditionalFormatting sqref="M243">
    <cfRule type="expression" rank="0" priority="971" equalAverage="0" aboveAverage="0" dxfId="0" text="" percent="0" bottom="0">
      <formula>M243&gt;=20</formula>
    </cfRule>
    <cfRule type="expression" rank="0" priority="972" equalAverage="0" aboveAverage="0" dxfId="1" text="" percent="0" bottom="0">
      <formula>AND(M243&gt;=10,M243&lt;20)</formula>
    </cfRule>
    <cfRule type="expression" rank="0" priority="973" equalAverage="0" aboveAverage="0" dxfId="2" text="" percent="0" bottom="0">
      <formula>AND(M243&gt;=5,M243&lt;10)</formula>
    </cfRule>
    <cfRule type="expression" rank="0" priority="974" equalAverage="0" aboveAverage="0" dxfId="3" text="" percent="0" bottom="0">
      <formula>AND(M243&gt;=1,M243&lt;5)</formula>
    </cfRule>
  </conditionalFormatting>
  <conditionalFormatting sqref="M244">
    <cfRule type="expression" rank="0" priority="975" equalAverage="0" aboveAverage="0" dxfId="0" text="" percent="0" bottom="0">
      <formula>M244&gt;=20</formula>
    </cfRule>
    <cfRule type="expression" rank="0" priority="976" equalAverage="0" aboveAverage="0" dxfId="1" text="" percent="0" bottom="0">
      <formula>AND(M244&gt;=10,M244&lt;20)</formula>
    </cfRule>
    <cfRule type="expression" rank="0" priority="977" equalAverage="0" aboveAverage="0" dxfId="2" text="" percent="0" bottom="0">
      <formula>AND(M244&gt;=5,M244&lt;10)</formula>
    </cfRule>
    <cfRule type="expression" rank="0" priority="978" equalAverage="0" aboveAverage="0" dxfId="3" text="" percent="0" bottom="0">
      <formula>AND(M244&gt;=1,M244&lt;5)</formula>
    </cfRule>
  </conditionalFormatting>
  <conditionalFormatting sqref="M245">
    <cfRule type="expression" rank="0" priority="979" equalAverage="0" aboveAverage="0" dxfId="0" text="" percent="0" bottom="0">
      <formula>M245&gt;=20</formula>
    </cfRule>
    <cfRule type="expression" rank="0" priority="980" equalAverage="0" aboveAverage="0" dxfId="1" text="" percent="0" bottom="0">
      <formula>AND(M245&gt;=10,M245&lt;20)</formula>
    </cfRule>
    <cfRule type="expression" rank="0" priority="981" equalAverage="0" aboveAverage="0" dxfId="2" text="" percent="0" bottom="0">
      <formula>AND(M245&gt;=5,M245&lt;10)</formula>
    </cfRule>
    <cfRule type="expression" rank="0" priority="982" equalAverage="0" aboveAverage="0" dxfId="3" text="" percent="0" bottom="0">
      <formula>AND(M245&gt;=1,M245&lt;5)</formula>
    </cfRule>
  </conditionalFormatting>
  <conditionalFormatting sqref="M246">
    <cfRule type="expression" rank="0" priority="983" equalAverage="0" aboveAverage="0" dxfId="0" text="" percent="0" bottom="0">
      <formula>M246&gt;=20</formula>
    </cfRule>
    <cfRule type="expression" rank="0" priority="984" equalAverage="0" aboveAverage="0" dxfId="1" text="" percent="0" bottom="0">
      <formula>AND(M246&gt;=10,M246&lt;20)</formula>
    </cfRule>
    <cfRule type="expression" rank="0" priority="985" equalAverage="0" aboveAverage="0" dxfId="2" text="" percent="0" bottom="0">
      <formula>AND(M246&gt;=5,M246&lt;10)</formula>
    </cfRule>
    <cfRule type="expression" rank="0" priority="986" equalAverage="0" aboveAverage="0" dxfId="3" text="" percent="0" bottom="0">
      <formula>AND(M246&gt;=1,M246&lt;5)</formula>
    </cfRule>
  </conditionalFormatting>
  <conditionalFormatting sqref="M247">
    <cfRule type="expression" rank="0" priority="987" equalAverage="0" aboveAverage="0" dxfId="0" text="" percent="0" bottom="0">
      <formula>M247&gt;=20</formula>
    </cfRule>
    <cfRule type="expression" rank="0" priority="988" equalAverage="0" aboveAverage="0" dxfId="1" text="" percent="0" bottom="0">
      <formula>AND(M247&gt;=10,M247&lt;20)</formula>
    </cfRule>
    <cfRule type="expression" rank="0" priority="989" equalAverage="0" aboveAverage="0" dxfId="2" text="" percent="0" bottom="0">
      <formula>AND(M247&gt;=5,M247&lt;10)</formula>
    </cfRule>
    <cfRule type="expression" rank="0" priority="990" equalAverage="0" aboveAverage="0" dxfId="3" text="" percent="0" bottom="0">
      <formula>AND(M247&gt;=1,M247&lt;5)</formula>
    </cfRule>
  </conditionalFormatting>
  <conditionalFormatting sqref="M248">
    <cfRule type="expression" rank="0" priority="991" equalAverage="0" aboveAverage="0" dxfId="0" text="" percent="0" bottom="0">
      <formula>M248&gt;=20</formula>
    </cfRule>
    <cfRule type="expression" rank="0" priority="992" equalAverage="0" aboveAverage="0" dxfId="1" text="" percent="0" bottom="0">
      <formula>AND(M248&gt;=10,M248&lt;20)</formula>
    </cfRule>
    <cfRule type="expression" rank="0" priority="993" equalAverage="0" aboveAverage="0" dxfId="2" text="" percent="0" bottom="0">
      <formula>AND(M248&gt;=5,M248&lt;10)</formula>
    </cfRule>
    <cfRule type="expression" rank="0" priority="994" equalAverage="0" aboveAverage="0" dxfId="3" text="" percent="0" bottom="0">
      <formula>AND(M248&gt;=1,M248&lt;5)</formula>
    </cfRule>
  </conditionalFormatting>
  <conditionalFormatting sqref="M249">
    <cfRule type="expression" rank="0" priority="995" equalAverage="0" aboveAverage="0" dxfId="0" text="" percent="0" bottom="0">
      <formula>M249&gt;=20</formula>
    </cfRule>
    <cfRule type="expression" rank="0" priority="996" equalAverage="0" aboveAverage="0" dxfId="1" text="" percent="0" bottom="0">
      <formula>AND(M249&gt;=10,M249&lt;20)</formula>
    </cfRule>
    <cfRule type="expression" rank="0" priority="997" equalAverage="0" aboveAverage="0" dxfId="2" text="" percent="0" bottom="0">
      <formula>AND(M249&gt;=5,M249&lt;10)</formula>
    </cfRule>
    <cfRule type="expression" rank="0" priority="998" equalAverage="0" aboveAverage="0" dxfId="3" text="" percent="0" bottom="0">
      <formula>AND(M249&gt;=1,M249&lt;5)</formula>
    </cfRule>
  </conditionalFormatting>
  <conditionalFormatting sqref="M250">
    <cfRule type="expression" rank="0" priority="999" equalAverage="0" aboveAverage="0" dxfId="0" text="" percent="0" bottom="0">
      <formula>M250&gt;=20</formula>
    </cfRule>
    <cfRule type="expression" rank="0" priority="1000" equalAverage="0" aboveAverage="0" dxfId="1" text="" percent="0" bottom="0">
      <formula>AND(M250&gt;=10,M250&lt;20)</formula>
    </cfRule>
    <cfRule type="expression" rank="0" priority="1001" equalAverage="0" aboveAverage="0" dxfId="2" text="" percent="0" bottom="0">
      <formula>AND(M250&gt;=5,M250&lt;10)</formula>
    </cfRule>
    <cfRule type="expression" rank="0" priority="1002" equalAverage="0" aboveAverage="0" dxfId="3" text="" percent="0" bottom="0">
      <formula>AND(M250&gt;=1,M250&lt;5)</formula>
    </cfRule>
  </conditionalFormatting>
  <conditionalFormatting sqref="M251">
    <cfRule type="expression" rank="0" priority="1003" equalAverage="0" aboveAverage="0" dxfId="0" text="" percent="0" bottom="0">
      <formula>M251&gt;=20</formula>
    </cfRule>
    <cfRule type="expression" rank="0" priority="1004" equalAverage="0" aboveAverage="0" dxfId="1" text="" percent="0" bottom="0">
      <formula>AND(M251&gt;=10,M251&lt;20)</formula>
    </cfRule>
    <cfRule type="expression" rank="0" priority="1005" equalAverage="0" aboveAverage="0" dxfId="2" text="" percent="0" bottom="0">
      <formula>AND(M251&gt;=5,M251&lt;10)</formula>
    </cfRule>
    <cfRule type="expression" rank="0" priority="1006" equalAverage="0" aboveAverage="0" dxfId="3" text="" percent="0" bottom="0">
      <formula>AND(M251&gt;=1,M251&lt;5)</formula>
    </cfRule>
  </conditionalFormatting>
  <conditionalFormatting sqref="M252">
    <cfRule type="expression" rank="0" priority="1007" equalAverage="0" aboveAverage="0" dxfId="0" text="" percent="0" bottom="0">
      <formula>M252&gt;=20</formula>
    </cfRule>
    <cfRule type="expression" rank="0" priority="1008" equalAverage="0" aboveAverage="0" dxfId="1" text="" percent="0" bottom="0">
      <formula>AND(M252&gt;=10,M252&lt;20)</formula>
    </cfRule>
    <cfRule type="expression" rank="0" priority="1009" equalAverage="0" aboveAverage="0" dxfId="2" text="" percent="0" bottom="0">
      <formula>AND(M252&gt;=5,M252&lt;10)</formula>
    </cfRule>
    <cfRule type="expression" rank="0" priority="1010" equalAverage="0" aboveAverage="0" dxfId="3" text="" percent="0" bottom="0">
      <formula>AND(M252&gt;=1,M252&lt;5)</formula>
    </cfRule>
  </conditionalFormatting>
  <conditionalFormatting sqref="M253">
    <cfRule type="expression" rank="0" priority="1011" equalAverage="0" aboveAverage="0" dxfId="0" text="" percent="0" bottom="0">
      <formula>M253&gt;=20</formula>
    </cfRule>
    <cfRule type="expression" rank="0" priority="1012" equalAverage="0" aboveAverage="0" dxfId="1" text="" percent="0" bottom="0">
      <formula>AND(M253&gt;=10,M253&lt;20)</formula>
    </cfRule>
    <cfRule type="expression" rank="0" priority="1013" equalAverage="0" aboveAverage="0" dxfId="2" text="" percent="0" bottom="0">
      <formula>AND(M253&gt;=5,M253&lt;10)</formula>
    </cfRule>
    <cfRule type="expression" rank="0" priority="1014" equalAverage="0" aboveAverage="0" dxfId="3" text="" percent="0" bottom="0">
      <formula>AND(M253&gt;=1,M253&lt;5)</formula>
    </cfRule>
  </conditionalFormatting>
  <conditionalFormatting sqref="M254">
    <cfRule type="expression" rank="0" priority="1015" equalAverage="0" aboveAverage="0" dxfId="0" text="" percent="0" bottom="0">
      <formula>M254&gt;=20</formula>
    </cfRule>
    <cfRule type="expression" rank="0" priority="1016" equalAverage="0" aboveAverage="0" dxfId="1" text="" percent="0" bottom="0">
      <formula>AND(M254&gt;=10,M254&lt;20)</formula>
    </cfRule>
    <cfRule type="expression" rank="0" priority="1017" equalAverage="0" aboveAverage="0" dxfId="2" text="" percent="0" bottom="0">
      <formula>AND(M254&gt;=5,M254&lt;10)</formula>
    </cfRule>
    <cfRule type="expression" rank="0" priority="1018" equalAverage="0" aboveAverage="0" dxfId="3" text="" percent="0" bottom="0">
      <formula>AND(M254&gt;=1,M254&lt;5)</formula>
    </cfRule>
  </conditionalFormatting>
  <conditionalFormatting sqref="M255">
    <cfRule type="expression" rank="0" priority="1019" equalAverage="0" aboveAverage="0" dxfId="0" text="" percent="0" bottom="0">
      <formula>M255&gt;=20</formula>
    </cfRule>
    <cfRule type="expression" rank="0" priority="1020" equalAverage="0" aboveAverage="0" dxfId="1" text="" percent="0" bottom="0">
      <formula>AND(M255&gt;=10,M255&lt;20)</formula>
    </cfRule>
    <cfRule type="expression" rank="0" priority="1021" equalAverage="0" aboveAverage="0" dxfId="2" text="" percent="0" bottom="0">
      <formula>AND(M255&gt;=5,M255&lt;10)</formula>
    </cfRule>
    <cfRule type="expression" rank="0" priority="1022" equalAverage="0" aboveAverage="0" dxfId="3" text="" percent="0" bottom="0">
      <formula>AND(M255&gt;=1,M255&lt;5)</formula>
    </cfRule>
  </conditionalFormatting>
  <conditionalFormatting sqref="M256">
    <cfRule type="expression" rank="0" priority="1023" equalAverage="0" aboveAverage="0" dxfId="0" text="" percent="0" bottom="0">
      <formula>M256&gt;=20</formula>
    </cfRule>
    <cfRule type="expression" rank="0" priority="1024" equalAverage="0" aboveAverage="0" dxfId="1" text="" percent="0" bottom="0">
      <formula>AND(M256&gt;=10,M256&lt;20)</formula>
    </cfRule>
    <cfRule type="expression" rank="0" priority="1025" equalAverage="0" aboveAverage="0" dxfId="2" text="" percent="0" bottom="0">
      <formula>AND(M256&gt;=5,M256&lt;10)</formula>
    </cfRule>
    <cfRule type="expression" rank="0" priority="1026" equalAverage="0" aboveAverage="0" dxfId="3" text="" percent="0" bottom="0">
      <formula>AND(M256&gt;=1,M256&lt;5)</formula>
    </cfRule>
  </conditionalFormatting>
  <conditionalFormatting sqref="M257">
    <cfRule type="expression" rank="0" priority="1027" equalAverage="0" aboveAverage="0" dxfId="0" text="" percent="0" bottom="0">
      <formula>M257&gt;=20</formula>
    </cfRule>
    <cfRule type="expression" rank="0" priority="1028" equalAverage="0" aboveAverage="0" dxfId="1" text="" percent="0" bottom="0">
      <formula>AND(M257&gt;=10,M257&lt;20)</formula>
    </cfRule>
    <cfRule type="expression" rank="0" priority="1029" equalAverage="0" aboveAverage="0" dxfId="2" text="" percent="0" bottom="0">
      <formula>AND(M257&gt;=5,M257&lt;10)</formula>
    </cfRule>
    <cfRule type="expression" rank="0" priority="1030" equalAverage="0" aboveAverage="0" dxfId="3" text="" percent="0" bottom="0">
      <formula>AND(M257&gt;=1,M257&lt;5)</formula>
    </cfRule>
  </conditionalFormatting>
  <conditionalFormatting sqref="M258">
    <cfRule type="expression" rank="0" priority="1031" equalAverage="0" aboveAverage="0" dxfId="0" text="" percent="0" bottom="0">
      <formula>M258&gt;=20</formula>
    </cfRule>
    <cfRule type="expression" rank="0" priority="1032" equalAverage="0" aboveAverage="0" dxfId="1" text="" percent="0" bottom="0">
      <formula>AND(M258&gt;=10,M258&lt;20)</formula>
    </cfRule>
    <cfRule type="expression" rank="0" priority="1033" equalAverage="0" aboveAverage="0" dxfId="2" text="" percent="0" bottom="0">
      <formula>AND(M258&gt;=5,M258&lt;10)</formula>
    </cfRule>
    <cfRule type="expression" rank="0" priority="1034" equalAverage="0" aboveAverage="0" dxfId="3" text="" percent="0" bottom="0">
      <formula>AND(M258&gt;=1,M258&lt;5)</formula>
    </cfRule>
  </conditionalFormatting>
  <conditionalFormatting sqref="M259">
    <cfRule type="expression" rank="0" priority="1035" equalAverage="0" aboveAverage="0" dxfId="0" text="" percent="0" bottom="0">
      <formula>M259&gt;=20</formula>
    </cfRule>
    <cfRule type="expression" rank="0" priority="1036" equalAverage="0" aboveAverage="0" dxfId="1" text="" percent="0" bottom="0">
      <formula>AND(M259&gt;=10,M259&lt;20)</formula>
    </cfRule>
    <cfRule type="expression" rank="0" priority="1037" equalAverage="0" aboveAverage="0" dxfId="2" text="" percent="0" bottom="0">
      <formula>AND(M259&gt;=5,M259&lt;10)</formula>
    </cfRule>
    <cfRule type="expression" rank="0" priority="1038" equalAverage="0" aboveAverage="0" dxfId="3" text="" percent="0" bottom="0">
      <formula>AND(M259&gt;=1,M259&lt;5)</formula>
    </cfRule>
  </conditionalFormatting>
  <conditionalFormatting sqref="M260">
    <cfRule type="expression" rank="0" priority="1039" equalAverage="0" aboveAverage="0" dxfId="0" text="" percent="0" bottom="0">
      <formula>M260&gt;=20</formula>
    </cfRule>
    <cfRule type="expression" rank="0" priority="1040" equalAverage="0" aboveAverage="0" dxfId="1" text="" percent="0" bottom="0">
      <formula>AND(M260&gt;=10,M260&lt;20)</formula>
    </cfRule>
    <cfRule type="expression" rank="0" priority="1041" equalAverage="0" aboveAverage="0" dxfId="2" text="" percent="0" bottom="0">
      <formula>AND(M260&gt;=5,M260&lt;10)</formula>
    </cfRule>
    <cfRule type="expression" rank="0" priority="1042" equalAverage="0" aboveAverage="0" dxfId="3" text="" percent="0" bottom="0">
      <formula>AND(M260&gt;=1,M260&lt;5)</formula>
    </cfRule>
  </conditionalFormatting>
  <conditionalFormatting sqref="M261">
    <cfRule type="expression" rank="0" priority="1043" equalAverage="0" aboveAverage="0" dxfId="0" text="" percent="0" bottom="0">
      <formula>M261&gt;=20</formula>
    </cfRule>
    <cfRule type="expression" rank="0" priority="1044" equalAverage="0" aboveAverage="0" dxfId="1" text="" percent="0" bottom="0">
      <formula>AND(M261&gt;=10,M261&lt;20)</formula>
    </cfRule>
    <cfRule type="expression" rank="0" priority="1045" equalAverage="0" aboveAverage="0" dxfId="2" text="" percent="0" bottom="0">
      <formula>AND(M261&gt;=5,M261&lt;10)</formula>
    </cfRule>
    <cfRule type="expression" rank="0" priority="1046" equalAverage="0" aboveAverage="0" dxfId="3" text="" percent="0" bottom="0">
      <formula>AND(M261&gt;=1,M261&lt;5)</formula>
    </cfRule>
  </conditionalFormatting>
  <conditionalFormatting sqref="M262">
    <cfRule type="expression" rank="0" priority="1047" equalAverage="0" aboveAverage="0" dxfId="0" text="" percent="0" bottom="0">
      <formula>M262&gt;=20</formula>
    </cfRule>
    <cfRule type="expression" rank="0" priority="1048" equalAverage="0" aboveAverage="0" dxfId="1" text="" percent="0" bottom="0">
      <formula>AND(M262&gt;=10,M262&lt;20)</formula>
    </cfRule>
    <cfRule type="expression" rank="0" priority="1049" equalAverage="0" aboveAverage="0" dxfId="2" text="" percent="0" bottom="0">
      <formula>AND(M262&gt;=5,M262&lt;10)</formula>
    </cfRule>
    <cfRule type="expression" rank="0" priority="1050" equalAverage="0" aboveAverage="0" dxfId="3" text="" percent="0" bottom="0">
      <formula>AND(M262&gt;=1,M262&lt;5)</formula>
    </cfRule>
  </conditionalFormatting>
  <conditionalFormatting sqref="M263">
    <cfRule type="expression" rank="0" priority="1051" equalAverage="0" aboveAverage="0" dxfId="0" text="" percent="0" bottom="0">
      <formula>M263&gt;=20</formula>
    </cfRule>
    <cfRule type="expression" rank="0" priority="1052" equalAverage="0" aboveAverage="0" dxfId="1" text="" percent="0" bottom="0">
      <formula>AND(M263&gt;=10,M263&lt;20)</formula>
    </cfRule>
    <cfRule type="expression" rank="0" priority="1053" equalAverage="0" aboveAverage="0" dxfId="2" text="" percent="0" bottom="0">
      <formula>AND(M263&gt;=5,M263&lt;10)</formula>
    </cfRule>
    <cfRule type="expression" rank="0" priority="1054" equalAverage="0" aboveAverage="0" dxfId="3" text="" percent="0" bottom="0">
      <formula>AND(M263&gt;=1,M263&lt;5)</formula>
    </cfRule>
  </conditionalFormatting>
  <conditionalFormatting sqref="M264">
    <cfRule type="expression" rank="0" priority="1055" equalAverage="0" aboveAverage="0" dxfId="0" text="" percent="0" bottom="0">
      <formula>M264&gt;=20</formula>
    </cfRule>
    <cfRule type="expression" rank="0" priority="1056" equalAverage="0" aboveAverage="0" dxfId="1" text="" percent="0" bottom="0">
      <formula>AND(M264&gt;=10,M264&lt;20)</formula>
    </cfRule>
    <cfRule type="expression" rank="0" priority="1057" equalAverage="0" aboveAverage="0" dxfId="2" text="" percent="0" bottom="0">
      <formula>AND(M264&gt;=5,M264&lt;10)</formula>
    </cfRule>
    <cfRule type="expression" rank="0" priority="1058" equalAverage="0" aboveAverage="0" dxfId="3" text="" percent="0" bottom="0">
      <formula>AND(M264&gt;=1,M264&lt;5)</formula>
    </cfRule>
  </conditionalFormatting>
  <conditionalFormatting sqref="M265">
    <cfRule type="expression" rank="0" priority="1059" equalAverage="0" aboveAverage="0" dxfId="0" text="" percent="0" bottom="0">
      <formula>M265&gt;=20</formula>
    </cfRule>
    <cfRule type="expression" rank="0" priority="1060" equalAverage="0" aboveAverage="0" dxfId="1" text="" percent="0" bottom="0">
      <formula>AND(M265&gt;=10,M265&lt;20)</formula>
    </cfRule>
    <cfRule type="expression" rank="0" priority="1061" equalAverage="0" aboveAverage="0" dxfId="2" text="" percent="0" bottom="0">
      <formula>AND(M265&gt;=5,M265&lt;10)</formula>
    </cfRule>
    <cfRule type="expression" rank="0" priority="1062" equalAverage="0" aboveAverage="0" dxfId="3" text="" percent="0" bottom="0">
      <formula>AND(M265&gt;=1,M265&lt;5)</formula>
    </cfRule>
  </conditionalFormatting>
  <conditionalFormatting sqref="M266">
    <cfRule type="expression" rank="0" priority="1063" equalAverage="0" aboveAverage="0" dxfId="0" text="" percent="0" bottom="0">
      <formula>M266&gt;=20</formula>
    </cfRule>
    <cfRule type="expression" rank="0" priority="1064" equalAverage="0" aboveAverage="0" dxfId="1" text="" percent="0" bottom="0">
      <formula>AND(M266&gt;=10,M266&lt;20)</formula>
    </cfRule>
    <cfRule type="expression" rank="0" priority="1065" equalAverage="0" aboveAverage="0" dxfId="2" text="" percent="0" bottom="0">
      <formula>AND(M266&gt;=5,M266&lt;10)</formula>
    </cfRule>
    <cfRule type="expression" rank="0" priority="1066" equalAverage="0" aboveAverage="0" dxfId="3" text="" percent="0" bottom="0">
      <formula>AND(M266&gt;=1,M266&lt;5)</formula>
    </cfRule>
  </conditionalFormatting>
  <conditionalFormatting sqref="M267">
    <cfRule type="expression" rank="0" priority="1067" equalAverage="0" aboveAverage="0" dxfId="0" text="" percent="0" bottom="0">
      <formula>M267&gt;=20</formula>
    </cfRule>
    <cfRule type="expression" rank="0" priority="1068" equalAverage="0" aboveAverage="0" dxfId="1" text="" percent="0" bottom="0">
      <formula>AND(M267&gt;=10,M267&lt;20)</formula>
    </cfRule>
    <cfRule type="expression" rank="0" priority="1069" equalAverage="0" aboveAverage="0" dxfId="2" text="" percent="0" bottom="0">
      <formula>AND(M267&gt;=5,M267&lt;10)</formula>
    </cfRule>
    <cfRule type="expression" rank="0" priority="1070" equalAverage="0" aboveAverage="0" dxfId="3" text="" percent="0" bottom="0">
      <formula>AND(M267&gt;=1,M267&lt;5)</formula>
    </cfRule>
  </conditionalFormatting>
  <conditionalFormatting sqref="M268">
    <cfRule type="expression" rank="0" priority="1071" equalAverage="0" aboveAverage="0" dxfId="0" text="" percent="0" bottom="0">
      <formula>M268&gt;=20</formula>
    </cfRule>
    <cfRule type="expression" rank="0" priority="1072" equalAverage="0" aboveAverage="0" dxfId="1" text="" percent="0" bottom="0">
      <formula>AND(M268&gt;=10,M268&lt;20)</formula>
    </cfRule>
    <cfRule type="expression" rank="0" priority="1073" equalAverage="0" aboveAverage="0" dxfId="2" text="" percent="0" bottom="0">
      <formula>AND(M268&gt;=5,M268&lt;10)</formula>
    </cfRule>
    <cfRule type="expression" rank="0" priority="1074" equalAverage="0" aboveAverage="0" dxfId="3" text="" percent="0" bottom="0">
      <formula>AND(M268&gt;=1,M268&lt;5)</formula>
    </cfRule>
  </conditionalFormatting>
  <conditionalFormatting sqref="M269">
    <cfRule type="expression" rank="0" priority="1075" equalAverage="0" aboveAverage="0" dxfId="0" text="" percent="0" bottom="0">
      <formula>M269&gt;=20</formula>
    </cfRule>
    <cfRule type="expression" rank="0" priority="1076" equalAverage="0" aboveAverage="0" dxfId="1" text="" percent="0" bottom="0">
      <formula>AND(M269&gt;=10,M269&lt;20)</formula>
    </cfRule>
    <cfRule type="expression" rank="0" priority="1077" equalAverage="0" aboveAverage="0" dxfId="2" text="" percent="0" bottom="0">
      <formula>AND(M269&gt;=5,M269&lt;10)</formula>
    </cfRule>
    <cfRule type="expression" rank="0" priority="1078" equalAverage="0" aboveAverage="0" dxfId="3" text="" percent="0" bottom="0">
      <formula>AND(M269&gt;=1,M269&lt;5)</formula>
    </cfRule>
  </conditionalFormatting>
  <conditionalFormatting sqref="M270">
    <cfRule type="expression" rank="0" priority="1079" equalAverage="0" aboveAverage="0" dxfId="0" text="" percent="0" bottom="0">
      <formula>M270&gt;=20</formula>
    </cfRule>
    <cfRule type="expression" rank="0" priority="1080" equalAverage="0" aboveAverage="0" dxfId="1" text="" percent="0" bottom="0">
      <formula>AND(M270&gt;=10,M270&lt;20)</formula>
    </cfRule>
    <cfRule type="expression" rank="0" priority="1081" equalAverage="0" aboveAverage="0" dxfId="2" text="" percent="0" bottom="0">
      <formula>AND(M270&gt;=5,M270&lt;10)</formula>
    </cfRule>
    <cfRule type="expression" rank="0" priority="1082" equalAverage="0" aboveAverage="0" dxfId="3" text="" percent="0" bottom="0">
      <formula>AND(M270&gt;=1,M270&lt;5)</formula>
    </cfRule>
  </conditionalFormatting>
  <conditionalFormatting sqref="M271">
    <cfRule type="expression" rank="0" priority="1083" equalAverage="0" aboveAverage="0" dxfId="0" text="" percent="0" bottom="0">
      <formula>M271&gt;=20</formula>
    </cfRule>
    <cfRule type="expression" rank="0" priority="1084" equalAverage="0" aboveAverage="0" dxfId="1" text="" percent="0" bottom="0">
      <formula>AND(M271&gt;=10,M271&lt;20)</formula>
    </cfRule>
    <cfRule type="expression" rank="0" priority="1085" equalAverage="0" aboveAverage="0" dxfId="2" text="" percent="0" bottom="0">
      <formula>AND(M271&gt;=5,M271&lt;10)</formula>
    </cfRule>
    <cfRule type="expression" rank="0" priority="1086" equalAverage="0" aboveAverage="0" dxfId="3" text="" percent="0" bottom="0">
      <formula>AND(M271&gt;=1,M271&lt;5)</formula>
    </cfRule>
  </conditionalFormatting>
  <conditionalFormatting sqref="M272">
    <cfRule type="expression" rank="0" priority="1087" equalAverage="0" aboveAverage="0" dxfId="0" text="" percent="0" bottom="0">
      <formula>M272&gt;=20</formula>
    </cfRule>
    <cfRule type="expression" rank="0" priority="1088" equalAverage="0" aboveAverage="0" dxfId="1" text="" percent="0" bottom="0">
      <formula>AND(M272&gt;=10,M272&lt;20)</formula>
    </cfRule>
    <cfRule type="expression" rank="0" priority="1089" equalAverage="0" aboveAverage="0" dxfId="2" text="" percent="0" bottom="0">
      <formula>AND(M272&gt;=5,M272&lt;10)</formula>
    </cfRule>
    <cfRule type="expression" rank="0" priority="1090" equalAverage="0" aboveAverage="0" dxfId="3" text="" percent="0" bottom="0">
      <formula>AND(M272&gt;=1,M272&lt;5)</formula>
    </cfRule>
  </conditionalFormatting>
  <conditionalFormatting sqref="M273">
    <cfRule type="expression" rank="0" priority="1091" equalAverage="0" aboveAverage="0" dxfId="0" text="" percent="0" bottom="0">
      <formula>M273&gt;=20</formula>
    </cfRule>
    <cfRule type="expression" rank="0" priority="1092" equalAverage="0" aboveAverage="0" dxfId="1" text="" percent="0" bottom="0">
      <formula>AND(M273&gt;=10,M273&lt;20)</formula>
    </cfRule>
    <cfRule type="expression" rank="0" priority="1093" equalAverage="0" aboveAverage="0" dxfId="2" text="" percent="0" bottom="0">
      <formula>AND(M273&gt;=5,M273&lt;10)</formula>
    </cfRule>
    <cfRule type="expression" rank="0" priority="1094" equalAverage="0" aboveAverage="0" dxfId="3" text="" percent="0" bottom="0">
      <formula>AND(M273&gt;=1,M273&lt;5)</formula>
    </cfRule>
  </conditionalFormatting>
  <conditionalFormatting sqref="M274">
    <cfRule type="expression" rank="0" priority="1095" equalAverage="0" aboveAverage="0" dxfId="0" text="" percent="0" bottom="0">
      <formula>M274&gt;=20</formula>
    </cfRule>
    <cfRule type="expression" rank="0" priority="1096" equalAverage="0" aboveAverage="0" dxfId="1" text="" percent="0" bottom="0">
      <formula>AND(M274&gt;=10,M274&lt;20)</formula>
    </cfRule>
    <cfRule type="expression" rank="0" priority="1097" equalAverage="0" aboveAverage="0" dxfId="2" text="" percent="0" bottom="0">
      <formula>AND(M274&gt;=5,M274&lt;10)</formula>
    </cfRule>
    <cfRule type="expression" rank="0" priority="1098" equalAverage="0" aboveAverage="0" dxfId="3" text="" percent="0" bottom="0">
      <formula>AND(M274&gt;=1,M274&lt;5)</formula>
    </cfRule>
  </conditionalFormatting>
  <conditionalFormatting sqref="M275">
    <cfRule type="expression" rank="0" priority="1099" equalAverage="0" aboveAverage="0" dxfId="0" text="" percent="0" bottom="0">
      <formula>M275&gt;=20</formula>
    </cfRule>
    <cfRule type="expression" rank="0" priority="1100" equalAverage="0" aboveAverage="0" dxfId="1" text="" percent="0" bottom="0">
      <formula>AND(M275&gt;=10,M275&lt;20)</formula>
    </cfRule>
    <cfRule type="expression" rank="0" priority="1101" equalAverage="0" aboveAverage="0" dxfId="2" text="" percent="0" bottom="0">
      <formula>AND(M275&gt;=5,M275&lt;10)</formula>
    </cfRule>
    <cfRule type="expression" rank="0" priority="1102" equalAverage="0" aboveAverage="0" dxfId="3" text="" percent="0" bottom="0">
      <formula>AND(M275&gt;=1,M275&lt;5)</formula>
    </cfRule>
  </conditionalFormatting>
  <conditionalFormatting sqref="M276">
    <cfRule type="expression" rank="0" priority="1103" equalAverage="0" aboveAverage="0" dxfId="0" text="" percent="0" bottom="0">
      <formula>M276&gt;=20</formula>
    </cfRule>
    <cfRule type="expression" rank="0" priority="1104" equalAverage="0" aboveAverage="0" dxfId="1" text="" percent="0" bottom="0">
      <formula>AND(M276&gt;=10,M276&lt;20)</formula>
    </cfRule>
    <cfRule type="expression" rank="0" priority="1105" equalAverage="0" aboveAverage="0" dxfId="2" text="" percent="0" bottom="0">
      <formula>AND(M276&gt;=5,M276&lt;10)</formula>
    </cfRule>
    <cfRule type="expression" rank="0" priority="1106" equalAverage="0" aboveAverage="0" dxfId="3" text="" percent="0" bottom="0">
      <formula>AND(M276&gt;=1,M276&lt;5)</formula>
    </cfRule>
  </conditionalFormatting>
  <conditionalFormatting sqref="M277">
    <cfRule type="expression" rank="0" priority="1107" equalAverage="0" aboveAverage="0" dxfId="0" text="" percent="0" bottom="0">
      <formula>M277&gt;=20</formula>
    </cfRule>
    <cfRule type="expression" rank="0" priority="1108" equalAverage="0" aboveAverage="0" dxfId="1" text="" percent="0" bottom="0">
      <formula>AND(M277&gt;=10,M277&lt;20)</formula>
    </cfRule>
    <cfRule type="expression" rank="0" priority="1109" equalAverage="0" aboveAverage="0" dxfId="2" text="" percent="0" bottom="0">
      <formula>AND(M277&gt;=5,M277&lt;10)</formula>
    </cfRule>
    <cfRule type="expression" rank="0" priority="1110" equalAverage="0" aboveAverage="0" dxfId="3" text="" percent="0" bottom="0">
      <formula>AND(M277&gt;=1,M277&lt;5)</formula>
    </cfRule>
  </conditionalFormatting>
  <conditionalFormatting sqref="M278">
    <cfRule type="expression" rank="0" priority="1111" equalAverage="0" aboveAverage="0" dxfId="0" text="" percent="0" bottom="0">
      <formula>M278&gt;=20</formula>
    </cfRule>
    <cfRule type="expression" rank="0" priority="1112" equalAverage="0" aboveAverage="0" dxfId="1" text="" percent="0" bottom="0">
      <formula>AND(M278&gt;=10,M278&lt;20)</formula>
    </cfRule>
    <cfRule type="expression" rank="0" priority="1113" equalAverage="0" aboveAverage="0" dxfId="2" text="" percent="0" bottom="0">
      <formula>AND(M278&gt;=5,M278&lt;10)</formula>
    </cfRule>
    <cfRule type="expression" rank="0" priority="1114" equalAverage="0" aboveAverage="0" dxfId="3" text="" percent="0" bottom="0">
      <formula>AND(M278&gt;=1,M278&lt;5)</formula>
    </cfRule>
  </conditionalFormatting>
  <conditionalFormatting sqref="M279">
    <cfRule type="expression" rank="0" priority="1115" equalAverage="0" aboveAverage="0" dxfId="0" text="" percent="0" bottom="0">
      <formula>M279&gt;=20</formula>
    </cfRule>
    <cfRule type="expression" rank="0" priority="1116" equalAverage="0" aboveAverage="0" dxfId="1" text="" percent="0" bottom="0">
      <formula>AND(M279&gt;=10,M279&lt;20)</formula>
    </cfRule>
    <cfRule type="expression" rank="0" priority="1117" equalAverage="0" aboveAverage="0" dxfId="2" text="" percent="0" bottom="0">
      <formula>AND(M279&gt;=5,M279&lt;10)</formula>
    </cfRule>
    <cfRule type="expression" rank="0" priority="1118" equalAverage="0" aboveAverage="0" dxfId="3" text="" percent="0" bottom="0">
      <formula>AND(M279&gt;=1,M279&lt;5)</formula>
    </cfRule>
  </conditionalFormatting>
  <conditionalFormatting sqref="M280">
    <cfRule type="expression" rank="0" priority="1119" equalAverage="0" aboveAverage="0" dxfId="0" text="" percent="0" bottom="0">
      <formula>M280&gt;=20</formula>
    </cfRule>
    <cfRule type="expression" rank="0" priority="1120" equalAverage="0" aboveAverage="0" dxfId="1" text="" percent="0" bottom="0">
      <formula>AND(M280&gt;=10,M280&lt;20)</formula>
    </cfRule>
    <cfRule type="expression" rank="0" priority="1121" equalAverage="0" aboveAverage="0" dxfId="2" text="" percent="0" bottom="0">
      <formula>AND(M280&gt;=5,M280&lt;10)</formula>
    </cfRule>
    <cfRule type="expression" rank="0" priority="1122" equalAverage="0" aboveAverage="0" dxfId="3" text="" percent="0" bottom="0">
      <formula>AND(M280&gt;=1,M280&lt;5)</formula>
    </cfRule>
  </conditionalFormatting>
  <conditionalFormatting sqref="M281">
    <cfRule type="expression" rank="0" priority="1123" equalAverage="0" aboveAverage="0" dxfId="0" text="" percent="0" bottom="0">
      <formula>M281&gt;=20</formula>
    </cfRule>
    <cfRule type="expression" rank="0" priority="1124" equalAverage="0" aboveAverage="0" dxfId="1" text="" percent="0" bottom="0">
      <formula>AND(M281&gt;=10,M281&lt;20)</formula>
    </cfRule>
    <cfRule type="expression" rank="0" priority="1125" equalAverage="0" aboveAverage="0" dxfId="2" text="" percent="0" bottom="0">
      <formula>AND(M281&gt;=5,M281&lt;10)</formula>
    </cfRule>
    <cfRule type="expression" rank="0" priority="1126" equalAverage="0" aboveAverage="0" dxfId="3" text="" percent="0" bottom="0">
      <formula>AND(M281&gt;=1,M281&lt;5)</formula>
    </cfRule>
  </conditionalFormatting>
  <conditionalFormatting sqref="M282">
    <cfRule type="expression" rank="0" priority="1127" equalAverage="0" aboveAverage="0" dxfId="0" text="" percent="0" bottom="0">
      <formula>M282&gt;=20</formula>
    </cfRule>
    <cfRule type="expression" rank="0" priority="1128" equalAverage="0" aboveAverage="0" dxfId="1" text="" percent="0" bottom="0">
      <formula>AND(M282&gt;=10,M282&lt;20)</formula>
    </cfRule>
    <cfRule type="expression" rank="0" priority="1129" equalAverage="0" aboveAverage="0" dxfId="2" text="" percent="0" bottom="0">
      <formula>AND(M282&gt;=5,M282&lt;10)</formula>
    </cfRule>
    <cfRule type="expression" rank="0" priority="1130" equalAverage="0" aboveAverage="0" dxfId="3" text="" percent="0" bottom="0">
      <formula>AND(M282&gt;=1,M282&lt;5)</formula>
    </cfRule>
  </conditionalFormatting>
  <conditionalFormatting sqref="M283">
    <cfRule type="expression" rank="0" priority="1131" equalAverage="0" aboveAverage="0" dxfId="0" text="" percent="0" bottom="0">
      <formula>M283&gt;=20</formula>
    </cfRule>
    <cfRule type="expression" rank="0" priority="1132" equalAverage="0" aboveAverage="0" dxfId="1" text="" percent="0" bottom="0">
      <formula>AND(M283&gt;=10,M283&lt;20)</formula>
    </cfRule>
    <cfRule type="expression" rank="0" priority="1133" equalAverage="0" aboveAverage="0" dxfId="2" text="" percent="0" bottom="0">
      <formula>AND(M283&gt;=5,M283&lt;10)</formula>
    </cfRule>
    <cfRule type="expression" rank="0" priority="1134" equalAverage="0" aboveAverage="0" dxfId="3" text="" percent="0" bottom="0">
      <formula>AND(M283&gt;=1,M283&lt;5)</formula>
    </cfRule>
  </conditionalFormatting>
  <conditionalFormatting sqref="M284">
    <cfRule type="expression" rank="0" priority="1135" equalAverage="0" aboveAverage="0" dxfId="0" text="" percent="0" bottom="0">
      <formula>M284&gt;=20</formula>
    </cfRule>
    <cfRule type="expression" rank="0" priority="1136" equalAverage="0" aboveAverage="0" dxfId="1" text="" percent="0" bottom="0">
      <formula>AND(M284&gt;=10,M284&lt;20)</formula>
    </cfRule>
    <cfRule type="expression" rank="0" priority="1137" equalAverage="0" aboveAverage="0" dxfId="2" text="" percent="0" bottom="0">
      <formula>AND(M284&gt;=5,M284&lt;10)</formula>
    </cfRule>
    <cfRule type="expression" rank="0" priority="1138" equalAverage="0" aboveAverage="0" dxfId="3" text="" percent="0" bottom="0">
      <formula>AND(M284&gt;=1,M284&lt;5)</formula>
    </cfRule>
  </conditionalFormatting>
  <conditionalFormatting sqref="M285">
    <cfRule type="expression" rank="0" priority="1139" equalAverage="0" aboveAverage="0" dxfId="0" text="" percent="0" bottom="0">
      <formula>M285&gt;=20</formula>
    </cfRule>
    <cfRule type="expression" rank="0" priority="1140" equalAverage="0" aboveAverage="0" dxfId="1" text="" percent="0" bottom="0">
      <formula>AND(M285&gt;=10,M285&lt;20)</formula>
    </cfRule>
    <cfRule type="expression" rank="0" priority="1141" equalAverage="0" aboveAverage="0" dxfId="2" text="" percent="0" bottom="0">
      <formula>AND(M285&gt;=5,M285&lt;10)</formula>
    </cfRule>
    <cfRule type="expression" rank="0" priority="1142" equalAverage="0" aboveAverage="0" dxfId="3" text="" percent="0" bottom="0">
      <formula>AND(M285&gt;=1,M285&lt;5)</formula>
    </cfRule>
  </conditionalFormatting>
  <conditionalFormatting sqref="M286">
    <cfRule type="expression" rank="0" priority="1143" equalAverage="0" aboveAverage="0" dxfId="0" text="" percent="0" bottom="0">
      <formula>M286&gt;=20</formula>
    </cfRule>
    <cfRule type="expression" rank="0" priority="1144" equalAverage="0" aboveAverage="0" dxfId="1" text="" percent="0" bottom="0">
      <formula>AND(M286&gt;=10,M286&lt;20)</formula>
    </cfRule>
    <cfRule type="expression" rank="0" priority="1145" equalAverage="0" aboveAverage="0" dxfId="2" text="" percent="0" bottom="0">
      <formula>AND(M286&gt;=5,M286&lt;10)</formula>
    </cfRule>
    <cfRule type="expression" rank="0" priority="1146" equalAverage="0" aboveAverage="0" dxfId="3" text="" percent="0" bottom="0">
      <formula>AND(M286&gt;=1,M286&lt;5)</formula>
    </cfRule>
  </conditionalFormatting>
  <conditionalFormatting sqref="M287">
    <cfRule type="expression" rank="0" priority="1147" equalAverage="0" aboveAverage="0" dxfId="0" text="" percent="0" bottom="0">
      <formula>M287&gt;=20</formula>
    </cfRule>
    <cfRule type="expression" rank="0" priority="1148" equalAverage="0" aboveAverage="0" dxfId="1" text="" percent="0" bottom="0">
      <formula>AND(M287&gt;=10,M287&lt;20)</formula>
    </cfRule>
    <cfRule type="expression" rank="0" priority="1149" equalAverage="0" aboveAverage="0" dxfId="2" text="" percent="0" bottom="0">
      <formula>AND(M287&gt;=5,M287&lt;10)</formula>
    </cfRule>
    <cfRule type="expression" rank="0" priority="1150" equalAverage="0" aboveAverage="0" dxfId="3" text="" percent="0" bottom="0">
      <formula>AND(M287&gt;=1,M287&lt;5)</formula>
    </cfRule>
  </conditionalFormatting>
  <conditionalFormatting sqref="M288">
    <cfRule type="expression" rank="0" priority="1151" equalAverage="0" aboveAverage="0" dxfId="0" text="" percent="0" bottom="0">
      <formula>M288&gt;=20</formula>
    </cfRule>
    <cfRule type="expression" rank="0" priority="1152" equalAverage="0" aboveAverage="0" dxfId="1" text="" percent="0" bottom="0">
      <formula>AND(M288&gt;=10,M288&lt;20)</formula>
    </cfRule>
    <cfRule type="expression" rank="0" priority="1153" equalAverage="0" aboveAverage="0" dxfId="2" text="" percent="0" bottom="0">
      <formula>AND(M288&gt;=5,M288&lt;10)</formula>
    </cfRule>
    <cfRule type="expression" rank="0" priority="1154" equalAverage="0" aboveAverage="0" dxfId="3" text="" percent="0" bottom="0">
      <formula>AND(M288&gt;=1,M288&lt;5)</formula>
    </cfRule>
  </conditionalFormatting>
  <conditionalFormatting sqref="M289">
    <cfRule type="expression" rank="0" priority="1155" equalAverage="0" aboveAverage="0" dxfId="0" text="" percent="0" bottom="0">
      <formula>M289&gt;=20</formula>
    </cfRule>
    <cfRule type="expression" rank="0" priority="1156" equalAverage="0" aboveAverage="0" dxfId="1" text="" percent="0" bottom="0">
      <formula>AND(M289&gt;=10,M289&lt;20)</formula>
    </cfRule>
    <cfRule type="expression" rank="0" priority="1157" equalAverage="0" aboveAverage="0" dxfId="2" text="" percent="0" bottom="0">
      <formula>AND(M289&gt;=5,M289&lt;10)</formula>
    </cfRule>
    <cfRule type="expression" rank="0" priority="1158" equalAverage="0" aboveAverage="0" dxfId="3" text="" percent="0" bottom="0">
      <formula>AND(M289&gt;=1,M289&lt;5)</formula>
    </cfRule>
  </conditionalFormatting>
  <conditionalFormatting sqref="M290">
    <cfRule type="expression" rank="0" priority="1159" equalAverage="0" aboveAverage="0" dxfId="0" text="" percent="0" bottom="0">
      <formula>M290&gt;=20</formula>
    </cfRule>
    <cfRule type="expression" rank="0" priority="1160" equalAverage="0" aboveAverage="0" dxfId="1" text="" percent="0" bottom="0">
      <formula>AND(M290&gt;=10,M290&lt;20)</formula>
    </cfRule>
    <cfRule type="expression" rank="0" priority="1161" equalAverage="0" aboveAverage="0" dxfId="2" text="" percent="0" bottom="0">
      <formula>AND(M290&gt;=5,M290&lt;10)</formula>
    </cfRule>
    <cfRule type="expression" rank="0" priority="1162" equalAverage="0" aboveAverage="0" dxfId="3" text="" percent="0" bottom="0">
      <formula>AND(M290&gt;=1,M290&lt;5)</formula>
    </cfRule>
  </conditionalFormatting>
  <conditionalFormatting sqref="M291">
    <cfRule type="expression" rank="0" priority="1163" equalAverage="0" aboveAverage="0" dxfId="0" text="" percent="0" bottom="0">
      <formula>M291&gt;=20</formula>
    </cfRule>
    <cfRule type="expression" rank="0" priority="1164" equalAverage="0" aboveAverage="0" dxfId="1" text="" percent="0" bottom="0">
      <formula>AND(M291&gt;=10,M291&lt;20)</formula>
    </cfRule>
    <cfRule type="expression" rank="0" priority="1165" equalAverage="0" aboveAverage="0" dxfId="2" text="" percent="0" bottom="0">
      <formula>AND(M291&gt;=5,M291&lt;10)</formula>
    </cfRule>
    <cfRule type="expression" rank="0" priority="1166" equalAverage="0" aboveAverage="0" dxfId="3" text="" percent="0" bottom="0">
      <formula>AND(M291&gt;=1,M291&lt;5)</formula>
    </cfRule>
  </conditionalFormatting>
  <conditionalFormatting sqref="M292">
    <cfRule type="expression" rank="0" priority="1167" equalAverage="0" aboveAverage="0" dxfId="0" text="" percent="0" bottom="0">
      <formula>M292&gt;=20</formula>
    </cfRule>
    <cfRule type="expression" rank="0" priority="1168" equalAverage="0" aboveAverage="0" dxfId="1" text="" percent="0" bottom="0">
      <formula>AND(M292&gt;=10,M292&lt;20)</formula>
    </cfRule>
    <cfRule type="expression" rank="0" priority="1169" equalAverage="0" aboveAverage="0" dxfId="2" text="" percent="0" bottom="0">
      <formula>AND(M292&gt;=5,M292&lt;10)</formula>
    </cfRule>
    <cfRule type="expression" rank="0" priority="1170" equalAverage="0" aboveAverage="0" dxfId="3" text="" percent="0" bottom="0">
      <formula>AND(M292&gt;=1,M292&lt;5)</formula>
    </cfRule>
  </conditionalFormatting>
  <conditionalFormatting sqref="M293">
    <cfRule type="expression" rank="0" priority="1171" equalAverage="0" aboveAverage="0" dxfId="0" text="" percent="0" bottom="0">
      <formula>M293&gt;=20</formula>
    </cfRule>
    <cfRule type="expression" rank="0" priority="1172" equalAverage="0" aboveAverage="0" dxfId="1" text="" percent="0" bottom="0">
      <formula>AND(M293&gt;=10,M293&lt;20)</formula>
    </cfRule>
    <cfRule type="expression" rank="0" priority="1173" equalAverage="0" aboveAverage="0" dxfId="2" text="" percent="0" bottom="0">
      <formula>AND(M293&gt;=5,M293&lt;10)</formula>
    </cfRule>
    <cfRule type="expression" rank="0" priority="1174" equalAverage="0" aboveAverage="0" dxfId="3" text="" percent="0" bottom="0">
      <formula>AND(M293&gt;=1,M293&lt;5)</formula>
    </cfRule>
  </conditionalFormatting>
  <conditionalFormatting sqref="M294">
    <cfRule type="expression" rank="0" priority="1175" equalAverage="0" aboveAverage="0" dxfId="0" text="" percent="0" bottom="0">
      <formula>M294&gt;=20</formula>
    </cfRule>
    <cfRule type="expression" rank="0" priority="1176" equalAverage="0" aboveAverage="0" dxfId="1" text="" percent="0" bottom="0">
      <formula>AND(M294&gt;=10,M294&lt;20)</formula>
    </cfRule>
    <cfRule type="expression" rank="0" priority="1177" equalAverage="0" aboveAverage="0" dxfId="2" text="" percent="0" bottom="0">
      <formula>AND(M294&gt;=5,M294&lt;10)</formula>
    </cfRule>
    <cfRule type="expression" rank="0" priority="1178" equalAverage="0" aboveAverage="0" dxfId="3" text="" percent="0" bottom="0">
      <formula>AND(M294&gt;=1,M294&lt;5)</formula>
    </cfRule>
  </conditionalFormatting>
  <conditionalFormatting sqref="M295">
    <cfRule type="expression" rank="0" priority="1179" equalAverage="0" aboveAverage="0" dxfId="0" text="" percent="0" bottom="0">
      <formula>M295&gt;=20</formula>
    </cfRule>
    <cfRule type="expression" rank="0" priority="1180" equalAverage="0" aboveAverage="0" dxfId="1" text="" percent="0" bottom="0">
      <formula>AND(M295&gt;=10,M295&lt;20)</formula>
    </cfRule>
    <cfRule type="expression" rank="0" priority="1181" equalAverage="0" aboveAverage="0" dxfId="2" text="" percent="0" bottom="0">
      <formula>AND(M295&gt;=5,M295&lt;10)</formula>
    </cfRule>
    <cfRule type="expression" rank="0" priority="1182" equalAverage="0" aboveAverage="0" dxfId="3" text="" percent="0" bottom="0">
      <formula>AND(M295&gt;=1,M295&lt;5)</formula>
    </cfRule>
  </conditionalFormatting>
  <conditionalFormatting sqref="M296">
    <cfRule type="expression" rank="0" priority="1183" equalAverage="0" aboveAverage="0" dxfId="0" text="" percent="0" bottom="0">
      <formula>M296&gt;=20</formula>
    </cfRule>
    <cfRule type="expression" rank="0" priority="1184" equalAverage="0" aboveAverage="0" dxfId="1" text="" percent="0" bottom="0">
      <formula>AND(M296&gt;=10,M296&lt;20)</formula>
    </cfRule>
    <cfRule type="expression" rank="0" priority="1185" equalAverage="0" aboveAverage="0" dxfId="2" text="" percent="0" bottom="0">
      <formula>AND(M296&gt;=5,M296&lt;10)</formula>
    </cfRule>
    <cfRule type="expression" rank="0" priority="1186" equalAverage="0" aboveAverage="0" dxfId="3" text="" percent="0" bottom="0">
      <formula>AND(M296&gt;=1,M296&lt;5)</formula>
    </cfRule>
  </conditionalFormatting>
  <conditionalFormatting sqref="M297">
    <cfRule type="expression" rank="0" priority="1187" equalAverage="0" aboveAverage="0" dxfId="0" text="" percent="0" bottom="0">
      <formula>M297&gt;=20</formula>
    </cfRule>
    <cfRule type="expression" rank="0" priority="1188" equalAverage="0" aboveAverage="0" dxfId="1" text="" percent="0" bottom="0">
      <formula>AND(M297&gt;=10,M297&lt;20)</formula>
    </cfRule>
    <cfRule type="expression" rank="0" priority="1189" equalAverage="0" aboveAverage="0" dxfId="2" text="" percent="0" bottom="0">
      <formula>AND(M297&gt;=5,M297&lt;10)</formula>
    </cfRule>
    <cfRule type="expression" rank="0" priority="1190" equalAverage="0" aboveAverage="0" dxfId="3" text="" percent="0" bottom="0">
      <formula>AND(M297&gt;=1,M297&lt;5)</formula>
    </cfRule>
  </conditionalFormatting>
  <conditionalFormatting sqref="M298">
    <cfRule type="expression" rank="0" priority="1191" equalAverage="0" aboveAverage="0" dxfId="0" text="" percent="0" bottom="0">
      <formula>M298&gt;=20</formula>
    </cfRule>
    <cfRule type="expression" rank="0" priority="1192" equalAverage="0" aboveAverage="0" dxfId="1" text="" percent="0" bottom="0">
      <formula>AND(M298&gt;=10,M298&lt;20)</formula>
    </cfRule>
    <cfRule type="expression" rank="0" priority="1193" equalAverage="0" aboveAverage="0" dxfId="2" text="" percent="0" bottom="0">
      <formula>AND(M298&gt;=5,M298&lt;10)</formula>
    </cfRule>
    <cfRule type="expression" rank="0" priority="1194" equalAverage="0" aboveAverage="0" dxfId="3" text="" percent="0" bottom="0">
      <formula>AND(M298&gt;=1,M298&lt;5)</formula>
    </cfRule>
  </conditionalFormatting>
  <conditionalFormatting sqref="M299">
    <cfRule type="expression" rank="0" priority="1195" equalAverage="0" aboveAverage="0" dxfId="0" text="" percent="0" bottom="0">
      <formula>M299&gt;=20</formula>
    </cfRule>
    <cfRule type="expression" rank="0" priority="1196" equalAverage="0" aboveAverage="0" dxfId="1" text="" percent="0" bottom="0">
      <formula>AND(M299&gt;=10,M299&lt;20)</formula>
    </cfRule>
    <cfRule type="expression" rank="0" priority="1197" equalAverage="0" aboveAverage="0" dxfId="2" text="" percent="0" bottom="0">
      <formula>AND(M299&gt;=5,M299&lt;10)</formula>
    </cfRule>
    <cfRule type="expression" rank="0" priority="1198" equalAverage="0" aboveAverage="0" dxfId="3" text="" percent="0" bottom="0">
      <formula>AND(M299&gt;=1,M299&lt;5)</formula>
    </cfRule>
  </conditionalFormatting>
  <conditionalFormatting sqref="M300">
    <cfRule type="expression" rank="0" priority="1199" equalAverage="0" aboveAverage="0" dxfId="0" text="" percent="0" bottom="0">
      <formula>M300&gt;=20</formula>
    </cfRule>
    <cfRule type="expression" rank="0" priority="1200" equalAverage="0" aboveAverage="0" dxfId="1" text="" percent="0" bottom="0">
      <formula>AND(M300&gt;=10,M300&lt;20)</formula>
    </cfRule>
    <cfRule type="expression" rank="0" priority="1201" equalAverage="0" aboveAverage="0" dxfId="2" text="" percent="0" bottom="0">
      <formula>AND(M300&gt;=5,M300&lt;10)</formula>
    </cfRule>
    <cfRule type="expression" rank="0" priority="1202" equalAverage="0" aboveAverage="0" dxfId="3" text="" percent="0" bottom="0">
      <formula>AND(M300&gt;=1,M300&lt;5)</formula>
    </cfRule>
  </conditionalFormatting>
  <conditionalFormatting sqref="M301">
    <cfRule type="expression" rank="0" priority="1203" equalAverage="0" aboveAverage="0" dxfId="0" text="" percent="0" bottom="0">
      <formula>M301&gt;=20</formula>
    </cfRule>
    <cfRule type="expression" rank="0" priority="1204" equalAverage="0" aboveAverage="0" dxfId="1" text="" percent="0" bottom="0">
      <formula>AND(M301&gt;=10,M301&lt;20)</formula>
    </cfRule>
    <cfRule type="expression" rank="0" priority="1205" equalAverage="0" aboveAverage="0" dxfId="2" text="" percent="0" bottom="0">
      <formula>AND(M301&gt;=5,M301&lt;10)</formula>
    </cfRule>
    <cfRule type="expression" rank="0" priority="1206" equalAverage="0" aboveAverage="0" dxfId="3" text="" percent="0" bottom="0">
      <formula>AND(M301&gt;=1,M301&lt;5)</formula>
    </cfRule>
  </conditionalFormatting>
  <conditionalFormatting sqref="M302">
    <cfRule type="expression" rank="0" priority="1207" equalAverage="0" aboveAverage="0" dxfId="0" text="" percent="0" bottom="0">
      <formula>M302&gt;=20</formula>
    </cfRule>
    <cfRule type="expression" rank="0" priority="1208" equalAverage="0" aboveAverage="0" dxfId="1" text="" percent="0" bottom="0">
      <formula>AND(M302&gt;=10,M302&lt;20)</formula>
    </cfRule>
    <cfRule type="expression" rank="0" priority="1209" equalAverage="0" aboveAverage="0" dxfId="2" text="" percent="0" bottom="0">
      <formula>AND(M302&gt;=5,M302&lt;10)</formula>
    </cfRule>
    <cfRule type="expression" rank="0" priority="1210" equalAverage="0" aboveAverage="0" dxfId="3" text="" percent="0" bottom="0">
      <formula>AND(M302&gt;=1,M302&lt;5)</formula>
    </cfRule>
  </conditionalFormatting>
  <conditionalFormatting sqref="M303">
    <cfRule type="expression" rank="0" priority="1211" equalAverage="0" aboveAverage="0" dxfId="0" text="" percent="0" bottom="0">
      <formula>M303&gt;=20</formula>
    </cfRule>
    <cfRule type="expression" rank="0" priority="1212" equalAverage="0" aboveAverage="0" dxfId="1" text="" percent="0" bottom="0">
      <formula>AND(M303&gt;=10,M303&lt;20)</formula>
    </cfRule>
    <cfRule type="expression" rank="0" priority="1213" equalAverage="0" aboveAverage="0" dxfId="2" text="" percent="0" bottom="0">
      <formula>AND(M303&gt;=5,M303&lt;10)</formula>
    </cfRule>
    <cfRule type="expression" rank="0" priority="1214" equalAverage="0" aboveAverage="0" dxfId="3" text="" percent="0" bottom="0">
      <formula>AND(M303&gt;=1,M303&lt;5)</formula>
    </cfRule>
  </conditionalFormatting>
  <conditionalFormatting sqref="M304">
    <cfRule type="expression" rank="0" priority="1215" equalAverage="0" aboveAverage="0" dxfId="0" text="" percent="0" bottom="0">
      <formula>M304&gt;=20</formula>
    </cfRule>
    <cfRule type="expression" rank="0" priority="1216" equalAverage="0" aboveAverage="0" dxfId="1" text="" percent="0" bottom="0">
      <formula>AND(M304&gt;=10,M304&lt;20)</formula>
    </cfRule>
    <cfRule type="expression" rank="0" priority="1217" equalAverage="0" aboveAverage="0" dxfId="2" text="" percent="0" bottom="0">
      <formula>AND(M304&gt;=5,M304&lt;10)</formula>
    </cfRule>
    <cfRule type="expression" rank="0" priority="1218" equalAverage="0" aboveAverage="0" dxfId="3" text="" percent="0" bottom="0">
      <formula>AND(M304&gt;=1,M304&lt;5)</formula>
    </cfRule>
  </conditionalFormatting>
  <conditionalFormatting sqref="M305">
    <cfRule type="expression" rank="0" priority="1219" equalAverage="0" aboveAverage="0" dxfId="0" text="" percent="0" bottom="0">
      <formula>M305&gt;=20</formula>
    </cfRule>
    <cfRule type="expression" rank="0" priority="1220" equalAverage="0" aboveAverage="0" dxfId="1" text="" percent="0" bottom="0">
      <formula>AND(M305&gt;=10,M305&lt;20)</formula>
    </cfRule>
    <cfRule type="expression" rank="0" priority="1221" equalAverage="0" aboveAverage="0" dxfId="2" text="" percent="0" bottom="0">
      <formula>AND(M305&gt;=5,M305&lt;10)</formula>
    </cfRule>
    <cfRule type="expression" rank="0" priority="1222" equalAverage="0" aboveAverage="0" dxfId="3" text="" percent="0" bottom="0">
      <formula>AND(M305&gt;=1,M305&lt;5)</formula>
    </cfRule>
  </conditionalFormatting>
  <conditionalFormatting sqref="M306">
    <cfRule type="expression" rank="0" priority="1223" equalAverage="0" aboveAverage="0" dxfId="0" text="" percent="0" bottom="0">
      <formula>M306&gt;=20</formula>
    </cfRule>
    <cfRule type="expression" rank="0" priority="1224" equalAverage="0" aboveAverage="0" dxfId="1" text="" percent="0" bottom="0">
      <formula>AND(M306&gt;=10,M306&lt;20)</formula>
    </cfRule>
    <cfRule type="expression" rank="0" priority="1225" equalAverage="0" aboveAverage="0" dxfId="2" text="" percent="0" bottom="0">
      <formula>AND(M306&gt;=5,M306&lt;10)</formula>
    </cfRule>
    <cfRule type="expression" rank="0" priority="1226" equalAverage="0" aboveAverage="0" dxfId="3" text="" percent="0" bottom="0">
      <formula>AND(M306&gt;=1,M306&lt;5)</formula>
    </cfRule>
  </conditionalFormatting>
  <conditionalFormatting sqref="M307">
    <cfRule type="expression" rank="0" priority="1227" equalAverage="0" aboveAverage="0" dxfId="0" text="" percent="0" bottom="0">
      <formula>M307&gt;=20</formula>
    </cfRule>
    <cfRule type="expression" rank="0" priority="1228" equalAverage="0" aboveAverage="0" dxfId="1" text="" percent="0" bottom="0">
      <formula>AND(M307&gt;=10,M307&lt;20)</formula>
    </cfRule>
    <cfRule type="expression" rank="0" priority="1229" equalAverage="0" aboveAverage="0" dxfId="2" text="" percent="0" bottom="0">
      <formula>AND(M307&gt;=5,M307&lt;10)</formula>
    </cfRule>
    <cfRule type="expression" rank="0" priority="1230" equalAverage="0" aboveAverage="0" dxfId="3" text="" percent="0" bottom="0">
      <formula>AND(M307&gt;=1,M307&lt;5)</formula>
    </cfRule>
  </conditionalFormatting>
  <conditionalFormatting sqref="M308">
    <cfRule type="expression" rank="0" priority="1231" equalAverage="0" aboveAverage="0" dxfId="0" text="" percent="0" bottom="0">
      <formula>M308&gt;=20</formula>
    </cfRule>
    <cfRule type="expression" rank="0" priority="1232" equalAverage="0" aboveAverage="0" dxfId="1" text="" percent="0" bottom="0">
      <formula>AND(M308&gt;=10,M308&lt;20)</formula>
    </cfRule>
    <cfRule type="expression" rank="0" priority="1233" equalAverage="0" aboveAverage="0" dxfId="2" text="" percent="0" bottom="0">
      <formula>AND(M308&gt;=5,M308&lt;10)</formula>
    </cfRule>
    <cfRule type="expression" rank="0" priority="1234" equalAverage="0" aboveAverage="0" dxfId="3" text="" percent="0" bottom="0">
      <formula>AND(M308&gt;=1,M308&lt;5)</formula>
    </cfRule>
  </conditionalFormatting>
  <conditionalFormatting sqref="M309">
    <cfRule type="expression" rank="0" priority="1235" equalAverage="0" aboveAverage="0" dxfId="0" text="" percent="0" bottom="0">
      <formula>M309&gt;=20</formula>
    </cfRule>
    <cfRule type="expression" rank="0" priority="1236" equalAverage="0" aboveAverage="0" dxfId="1" text="" percent="0" bottom="0">
      <formula>AND(M309&gt;=10,M309&lt;20)</formula>
    </cfRule>
    <cfRule type="expression" rank="0" priority="1237" equalAverage="0" aboveAverage="0" dxfId="2" text="" percent="0" bottom="0">
      <formula>AND(M309&gt;=5,M309&lt;10)</formula>
    </cfRule>
    <cfRule type="expression" rank="0" priority="1238" equalAverage="0" aboveAverage="0" dxfId="3" text="" percent="0" bottom="0">
      <formula>AND(M309&gt;=1,M309&lt;5)</formula>
    </cfRule>
  </conditionalFormatting>
  <conditionalFormatting sqref="M310">
    <cfRule type="expression" rank="0" priority="1239" equalAverage="0" aboveAverage="0" dxfId="0" text="" percent="0" bottom="0">
      <formula>M310&gt;=20</formula>
    </cfRule>
    <cfRule type="expression" rank="0" priority="1240" equalAverage="0" aboveAverage="0" dxfId="1" text="" percent="0" bottom="0">
      <formula>AND(M310&gt;=10,M310&lt;20)</formula>
    </cfRule>
    <cfRule type="expression" rank="0" priority="1241" equalAverage="0" aboveAverage="0" dxfId="2" text="" percent="0" bottom="0">
      <formula>AND(M310&gt;=5,M310&lt;10)</formula>
    </cfRule>
    <cfRule type="expression" rank="0" priority="1242" equalAverage="0" aboveAverage="0" dxfId="3" text="" percent="0" bottom="0">
      <formula>AND(M310&gt;=1,M310&lt;5)</formula>
    </cfRule>
  </conditionalFormatting>
  <conditionalFormatting sqref="M311">
    <cfRule type="expression" rank="0" priority="1243" equalAverage="0" aboveAverage="0" dxfId="0" text="" percent="0" bottom="0">
      <formula>M311&gt;=20</formula>
    </cfRule>
    <cfRule type="expression" rank="0" priority="1244" equalAverage="0" aboveAverage="0" dxfId="1" text="" percent="0" bottom="0">
      <formula>AND(M311&gt;=10,M311&lt;20)</formula>
    </cfRule>
    <cfRule type="expression" rank="0" priority="1245" equalAverage="0" aboveAverage="0" dxfId="2" text="" percent="0" bottom="0">
      <formula>AND(M311&gt;=5,M311&lt;10)</formula>
    </cfRule>
    <cfRule type="expression" rank="0" priority="1246" equalAverage="0" aboveAverage="0" dxfId="3" text="" percent="0" bottom="0">
      <formula>AND(M311&gt;=1,M311&lt;5)</formula>
    </cfRule>
  </conditionalFormatting>
  <conditionalFormatting sqref="M312">
    <cfRule type="expression" rank="0" priority="1247" equalAverage="0" aboveAverage="0" dxfId="0" text="" percent="0" bottom="0">
      <formula>M312&gt;=20</formula>
    </cfRule>
    <cfRule type="expression" rank="0" priority="1248" equalAverage="0" aboveAverage="0" dxfId="1" text="" percent="0" bottom="0">
      <formula>AND(M312&gt;=10,M312&lt;20)</formula>
    </cfRule>
    <cfRule type="expression" rank="0" priority="1249" equalAverage="0" aboveAverage="0" dxfId="2" text="" percent="0" bottom="0">
      <formula>AND(M312&gt;=5,M312&lt;10)</formula>
    </cfRule>
    <cfRule type="expression" rank="0" priority="1250" equalAverage="0" aboveAverage="0" dxfId="3" text="" percent="0" bottom="0">
      <formula>AND(M312&gt;=1,M312&lt;5)</formula>
    </cfRule>
  </conditionalFormatting>
  <conditionalFormatting sqref="M313">
    <cfRule type="expression" rank="0" priority="1251" equalAverage="0" aboveAverage="0" dxfId="0" text="" percent="0" bottom="0">
      <formula>M313&gt;=20</formula>
    </cfRule>
    <cfRule type="expression" rank="0" priority="1252" equalAverage="0" aboveAverage="0" dxfId="1" text="" percent="0" bottom="0">
      <formula>AND(M313&gt;=10,M313&lt;20)</formula>
    </cfRule>
    <cfRule type="expression" rank="0" priority="1253" equalAverage="0" aboveAverage="0" dxfId="2" text="" percent="0" bottom="0">
      <formula>AND(M313&gt;=5,M313&lt;10)</formula>
    </cfRule>
    <cfRule type="expression" rank="0" priority="1254" equalAverage="0" aboveAverage="0" dxfId="3" text="" percent="0" bottom="0">
      <formula>AND(M313&gt;=1,M313&lt;5)</formula>
    </cfRule>
  </conditionalFormatting>
  <conditionalFormatting sqref="M314">
    <cfRule type="expression" rank="0" priority="1255" equalAverage="0" aboveAverage="0" dxfId="0" text="" percent="0" bottom="0">
      <formula>M314&gt;=20</formula>
    </cfRule>
    <cfRule type="expression" rank="0" priority="1256" equalAverage="0" aboveAverage="0" dxfId="1" text="" percent="0" bottom="0">
      <formula>AND(M314&gt;=10,M314&lt;20)</formula>
    </cfRule>
    <cfRule type="expression" rank="0" priority="1257" equalAverage="0" aboveAverage="0" dxfId="2" text="" percent="0" bottom="0">
      <formula>AND(M314&gt;=5,M314&lt;10)</formula>
    </cfRule>
    <cfRule type="expression" rank="0" priority="1258" equalAverage="0" aboveAverage="0" dxfId="3" text="" percent="0" bottom="0">
      <formula>AND(M314&gt;=1,M314&lt;5)</formula>
    </cfRule>
  </conditionalFormatting>
  <conditionalFormatting sqref="M315">
    <cfRule type="expression" rank="0" priority="1259" equalAverage="0" aboveAverage="0" dxfId="0" text="" percent="0" bottom="0">
      <formula>M315&gt;=20</formula>
    </cfRule>
    <cfRule type="expression" rank="0" priority="1260" equalAverage="0" aboveAverage="0" dxfId="1" text="" percent="0" bottom="0">
      <formula>AND(M315&gt;=10,M315&lt;20)</formula>
    </cfRule>
    <cfRule type="expression" rank="0" priority="1261" equalAverage="0" aboveAverage="0" dxfId="2" text="" percent="0" bottom="0">
      <formula>AND(M315&gt;=5,M315&lt;10)</formula>
    </cfRule>
    <cfRule type="expression" rank="0" priority="1262" equalAverage="0" aboveAverage="0" dxfId="3" text="" percent="0" bottom="0">
      <formula>AND(M315&gt;=1,M315&lt;5)</formula>
    </cfRule>
  </conditionalFormatting>
  <conditionalFormatting sqref="M316">
    <cfRule type="expression" rank="0" priority="1263" equalAverage="0" aboveAverage="0" dxfId="0" text="" percent="0" bottom="0">
      <formula>M316&gt;=20</formula>
    </cfRule>
    <cfRule type="expression" rank="0" priority="1264" equalAverage="0" aboveAverage="0" dxfId="1" text="" percent="0" bottom="0">
      <formula>AND(M316&gt;=10,M316&lt;20)</formula>
    </cfRule>
    <cfRule type="expression" rank="0" priority="1265" equalAverage="0" aboveAverage="0" dxfId="2" text="" percent="0" bottom="0">
      <formula>AND(M316&gt;=5,M316&lt;10)</formula>
    </cfRule>
    <cfRule type="expression" rank="0" priority="1266" equalAverage="0" aboveAverage="0" dxfId="3" text="" percent="0" bottom="0">
      <formula>AND(M316&gt;=1,M316&lt;5)</formula>
    </cfRule>
  </conditionalFormatting>
  <conditionalFormatting sqref="M317">
    <cfRule type="expression" rank="0" priority="1267" equalAverage="0" aboveAverage="0" dxfId="0" text="" percent="0" bottom="0">
      <formula>M317&gt;=20</formula>
    </cfRule>
    <cfRule type="expression" rank="0" priority="1268" equalAverage="0" aboveAverage="0" dxfId="1" text="" percent="0" bottom="0">
      <formula>AND(M317&gt;=10,M317&lt;20)</formula>
    </cfRule>
    <cfRule type="expression" rank="0" priority="1269" equalAverage="0" aboveAverage="0" dxfId="2" text="" percent="0" bottom="0">
      <formula>AND(M317&gt;=5,M317&lt;10)</formula>
    </cfRule>
    <cfRule type="expression" rank="0" priority="1270" equalAverage="0" aboveAverage="0" dxfId="3" text="" percent="0" bottom="0">
      <formula>AND(M317&gt;=1,M317&lt;5)</formula>
    </cfRule>
  </conditionalFormatting>
  <conditionalFormatting sqref="M318">
    <cfRule type="expression" rank="0" priority="1271" equalAverage="0" aboveAverage="0" dxfId="0" text="" percent="0" bottom="0">
      <formula>M318&gt;=20</formula>
    </cfRule>
    <cfRule type="expression" rank="0" priority="1272" equalAverage="0" aboveAverage="0" dxfId="1" text="" percent="0" bottom="0">
      <formula>AND(M318&gt;=10,M318&lt;20)</formula>
    </cfRule>
    <cfRule type="expression" rank="0" priority="1273" equalAverage="0" aboveAverage="0" dxfId="2" text="" percent="0" bottom="0">
      <formula>AND(M318&gt;=5,M318&lt;10)</formula>
    </cfRule>
    <cfRule type="expression" rank="0" priority="1274" equalAverage="0" aboveAverage="0" dxfId="3" text="" percent="0" bottom="0">
      <formula>AND(M318&gt;=1,M318&lt;5)</formula>
    </cfRule>
  </conditionalFormatting>
  <conditionalFormatting sqref="M319">
    <cfRule type="expression" rank="0" priority="1275" equalAverage="0" aboveAverage="0" dxfId="0" text="" percent="0" bottom="0">
      <formula>M319&gt;=20</formula>
    </cfRule>
    <cfRule type="expression" rank="0" priority="1276" equalAverage="0" aboveAverage="0" dxfId="1" text="" percent="0" bottom="0">
      <formula>AND(M319&gt;=10,M319&lt;20)</formula>
    </cfRule>
    <cfRule type="expression" rank="0" priority="1277" equalAverage="0" aboveAverage="0" dxfId="2" text="" percent="0" bottom="0">
      <formula>AND(M319&gt;=5,M319&lt;10)</formula>
    </cfRule>
    <cfRule type="expression" rank="0" priority="1278" equalAverage="0" aboveAverage="0" dxfId="3" text="" percent="0" bottom="0">
      <formula>AND(M319&gt;=1,M319&lt;5)</formula>
    </cfRule>
  </conditionalFormatting>
  <conditionalFormatting sqref="M320">
    <cfRule type="expression" rank="0" priority="1279" equalAverage="0" aboveAverage="0" dxfId="0" text="" percent="0" bottom="0">
      <formula>M320&gt;=20</formula>
    </cfRule>
    <cfRule type="expression" rank="0" priority="1280" equalAverage="0" aboveAverage="0" dxfId="1" text="" percent="0" bottom="0">
      <formula>AND(M320&gt;=10,M320&lt;20)</formula>
    </cfRule>
    <cfRule type="expression" rank="0" priority="1281" equalAverage="0" aboveAverage="0" dxfId="2" text="" percent="0" bottom="0">
      <formula>AND(M320&gt;=5,M320&lt;10)</formula>
    </cfRule>
    <cfRule type="expression" rank="0" priority="1282" equalAverage="0" aboveAverage="0" dxfId="3" text="" percent="0" bottom="0">
      <formula>AND(M320&gt;=1,M320&lt;5)</formula>
    </cfRule>
  </conditionalFormatting>
  <conditionalFormatting sqref="M321">
    <cfRule type="expression" rank="0" priority="1283" equalAverage="0" aboveAverage="0" dxfId="0" text="" percent="0" bottom="0">
      <formula>M321&gt;=20</formula>
    </cfRule>
    <cfRule type="expression" rank="0" priority="1284" equalAverage="0" aboveAverage="0" dxfId="1" text="" percent="0" bottom="0">
      <formula>AND(M321&gt;=10,M321&lt;20)</formula>
    </cfRule>
    <cfRule type="expression" rank="0" priority="1285" equalAverage="0" aboveAverage="0" dxfId="2" text="" percent="0" bottom="0">
      <formula>AND(M321&gt;=5,M321&lt;10)</formula>
    </cfRule>
    <cfRule type="expression" rank="0" priority="1286" equalAverage="0" aboveAverage="0" dxfId="3" text="" percent="0" bottom="0">
      <formula>AND(M321&gt;=1,M321&lt;5)</formula>
    </cfRule>
  </conditionalFormatting>
  <conditionalFormatting sqref="M322">
    <cfRule type="expression" rank="0" priority="1287" equalAverage="0" aboveAverage="0" dxfId="0" text="" percent="0" bottom="0">
      <formula>M322&gt;=20</formula>
    </cfRule>
    <cfRule type="expression" rank="0" priority="1288" equalAverage="0" aboveAverage="0" dxfId="1" text="" percent="0" bottom="0">
      <formula>AND(M322&gt;=10,M322&lt;20)</formula>
    </cfRule>
    <cfRule type="expression" rank="0" priority="1289" equalAverage="0" aboveAverage="0" dxfId="2" text="" percent="0" bottom="0">
      <formula>AND(M322&gt;=5,M322&lt;10)</formula>
    </cfRule>
    <cfRule type="expression" rank="0" priority="1290" equalAverage="0" aboveAverage="0" dxfId="3" text="" percent="0" bottom="0">
      <formula>AND(M322&gt;=1,M322&lt;5)</formula>
    </cfRule>
  </conditionalFormatting>
  <conditionalFormatting sqref="M323">
    <cfRule type="expression" rank="0" priority="1291" equalAverage="0" aboveAverage="0" dxfId="0" text="" percent="0" bottom="0">
      <formula>M323&gt;=20</formula>
    </cfRule>
    <cfRule type="expression" rank="0" priority="1292" equalAverage="0" aboveAverage="0" dxfId="1" text="" percent="0" bottom="0">
      <formula>AND(M323&gt;=10,M323&lt;20)</formula>
    </cfRule>
    <cfRule type="expression" rank="0" priority="1293" equalAverage="0" aboveAverage="0" dxfId="2" text="" percent="0" bottom="0">
      <formula>AND(M323&gt;=5,M323&lt;10)</formula>
    </cfRule>
    <cfRule type="expression" rank="0" priority="1294" equalAverage="0" aboveAverage="0" dxfId="3" text="" percent="0" bottom="0">
      <formula>AND(M323&gt;=1,M323&lt;5)</formula>
    </cfRule>
  </conditionalFormatting>
  <conditionalFormatting sqref="M324">
    <cfRule type="expression" rank="0" priority="1295" equalAverage="0" aboveAverage="0" dxfId="0" text="" percent="0" bottom="0">
      <formula>M324&gt;=20</formula>
    </cfRule>
    <cfRule type="expression" rank="0" priority="1296" equalAverage="0" aboveAverage="0" dxfId="1" text="" percent="0" bottom="0">
      <formula>AND(M324&gt;=10,M324&lt;20)</formula>
    </cfRule>
    <cfRule type="expression" rank="0" priority="1297" equalAverage="0" aboveAverage="0" dxfId="2" text="" percent="0" bottom="0">
      <formula>AND(M324&gt;=5,M324&lt;10)</formula>
    </cfRule>
    <cfRule type="expression" rank="0" priority="1298" equalAverage="0" aboveAverage="0" dxfId="3" text="" percent="0" bottom="0">
      <formula>AND(M324&gt;=1,M324&lt;5)</formula>
    </cfRule>
  </conditionalFormatting>
  <conditionalFormatting sqref="M325">
    <cfRule type="expression" rank="0" priority="1299" equalAverage="0" aboveAverage="0" dxfId="0" text="" percent="0" bottom="0">
      <formula>M325&gt;=20</formula>
    </cfRule>
    <cfRule type="expression" rank="0" priority="1300" equalAverage="0" aboveAverage="0" dxfId="1" text="" percent="0" bottom="0">
      <formula>AND(M325&gt;=10,M325&lt;20)</formula>
    </cfRule>
    <cfRule type="expression" rank="0" priority="1301" equalAverage="0" aboveAverage="0" dxfId="2" text="" percent="0" bottom="0">
      <formula>AND(M325&gt;=5,M325&lt;10)</formula>
    </cfRule>
    <cfRule type="expression" rank="0" priority="1302" equalAverage="0" aboveAverage="0" dxfId="3" text="" percent="0" bottom="0">
      <formula>AND(M325&gt;=1,M325&lt;5)</formula>
    </cfRule>
  </conditionalFormatting>
  <conditionalFormatting sqref="M326">
    <cfRule type="expression" rank="0" priority="1303" equalAverage="0" aboveAverage="0" dxfId="0" text="" percent="0" bottom="0">
      <formula>M326&gt;=20</formula>
    </cfRule>
    <cfRule type="expression" rank="0" priority="1304" equalAverage="0" aboveAverage="0" dxfId="1" text="" percent="0" bottom="0">
      <formula>AND(M326&gt;=10,M326&lt;20)</formula>
    </cfRule>
    <cfRule type="expression" rank="0" priority="1305" equalAverage="0" aboveAverage="0" dxfId="2" text="" percent="0" bottom="0">
      <formula>AND(M326&gt;=5,M326&lt;10)</formula>
    </cfRule>
    <cfRule type="expression" rank="0" priority="1306" equalAverage="0" aboveAverage="0" dxfId="3" text="" percent="0" bottom="0">
      <formula>AND(M326&gt;=1,M326&lt;5)</formula>
    </cfRule>
  </conditionalFormatting>
  <conditionalFormatting sqref="M327">
    <cfRule type="expression" rank="0" priority="1307" equalAverage="0" aboveAverage="0" dxfId="0" text="" percent="0" bottom="0">
      <formula>M327&gt;=20</formula>
    </cfRule>
    <cfRule type="expression" rank="0" priority="1308" equalAverage="0" aboveAverage="0" dxfId="1" text="" percent="0" bottom="0">
      <formula>AND(M327&gt;=10,M327&lt;20)</formula>
    </cfRule>
    <cfRule type="expression" rank="0" priority="1309" equalAverage="0" aboveAverage="0" dxfId="2" text="" percent="0" bottom="0">
      <formula>AND(M327&gt;=5,M327&lt;10)</formula>
    </cfRule>
    <cfRule type="expression" rank="0" priority="1310" equalAverage="0" aboveAverage="0" dxfId="3" text="" percent="0" bottom="0">
      <formula>AND(M327&gt;=1,M327&lt;5)</formula>
    </cfRule>
  </conditionalFormatting>
  <conditionalFormatting sqref="M328">
    <cfRule type="expression" rank="0" priority="1311" equalAverage="0" aboveAverage="0" dxfId="0" text="" percent="0" bottom="0">
      <formula>M328&gt;=20</formula>
    </cfRule>
    <cfRule type="expression" rank="0" priority="1312" equalAverage="0" aboveAverage="0" dxfId="1" text="" percent="0" bottom="0">
      <formula>AND(M328&gt;=10,M328&lt;20)</formula>
    </cfRule>
    <cfRule type="expression" rank="0" priority="1313" equalAverage="0" aboveAverage="0" dxfId="2" text="" percent="0" bottom="0">
      <formula>AND(M328&gt;=5,M328&lt;10)</formula>
    </cfRule>
    <cfRule type="expression" rank="0" priority="1314" equalAverage="0" aboveAverage="0" dxfId="3" text="" percent="0" bottom="0">
      <formula>AND(M328&gt;=1,M328&lt;5)</formula>
    </cfRule>
  </conditionalFormatting>
  <conditionalFormatting sqref="M329">
    <cfRule type="expression" rank="0" priority="1315" equalAverage="0" aboveAverage="0" dxfId="0" text="" percent="0" bottom="0">
      <formula>M329&gt;=20</formula>
    </cfRule>
    <cfRule type="expression" rank="0" priority="1316" equalAverage="0" aboveAverage="0" dxfId="1" text="" percent="0" bottom="0">
      <formula>AND(M329&gt;=10,M329&lt;20)</formula>
    </cfRule>
    <cfRule type="expression" rank="0" priority="1317" equalAverage="0" aboveAverage="0" dxfId="2" text="" percent="0" bottom="0">
      <formula>AND(M329&gt;=5,M329&lt;10)</formula>
    </cfRule>
    <cfRule type="expression" rank="0" priority="1318" equalAverage="0" aboveAverage="0" dxfId="3" text="" percent="0" bottom="0">
      <formula>AND(M329&gt;=1,M329&lt;5)</formula>
    </cfRule>
  </conditionalFormatting>
  <conditionalFormatting sqref="M330">
    <cfRule type="expression" rank="0" priority="1319" equalAverage="0" aboveAverage="0" dxfId="0" text="" percent="0" bottom="0">
      <formula>M330&gt;=20</formula>
    </cfRule>
    <cfRule type="expression" rank="0" priority="1320" equalAverage="0" aboveAverage="0" dxfId="1" text="" percent="0" bottom="0">
      <formula>AND(M330&gt;=10,M330&lt;20)</formula>
    </cfRule>
    <cfRule type="expression" rank="0" priority="1321" equalAverage="0" aboveAverage="0" dxfId="2" text="" percent="0" bottom="0">
      <formula>AND(M330&gt;=5,M330&lt;10)</formula>
    </cfRule>
    <cfRule type="expression" rank="0" priority="1322" equalAverage="0" aboveAverage="0" dxfId="3" text="" percent="0" bottom="0">
      <formula>AND(M330&gt;=1,M330&lt;5)</formula>
    </cfRule>
  </conditionalFormatting>
  <conditionalFormatting sqref="M331">
    <cfRule type="expression" rank="0" priority="1323" equalAverage="0" aboveAverage="0" dxfId="0" text="" percent="0" bottom="0">
      <formula>M331&gt;=20</formula>
    </cfRule>
    <cfRule type="expression" rank="0" priority="1324" equalAverage="0" aboveAverage="0" dxfId="1" text="" percent="0" bottom="0">
      <formula>AND(M331&gt;=10,M331&lt;20)</formula>
    </cfRule>
    <cfRule type="expression" rank="0" priority="1325" equalAverage="0" aboveAverage="0" dxfId="2" text="" percent="0" bottom="0">
      <formula>AND(M331&gt;=5,M331&lt;10)</formula>
    </cfRule>
    <cfRule type="expression" rank="0" priority="1326" equalAverage="0" aboveAverage="0" dxfId="3" text="" percent="0" bottom="0">
      <formula>AND(M331&gt;=1,M331&lt;5)</formula>
    </cfRule>
  </conditionalFormatting>
  <conditionalFormatting sqref="M332">
    <cfRule type="expression" rank="0" priority="1327" equalAverage="0" aboveAverage="0" dxfId="0" text="" percent="0" bottom="0">
      <formula>M332&gt;=20</formula>
    </cfRule>
    <cfRule type="expression" rank="0" priority="1328" equalAverage="0" aboveAverage="0" dxfId="1" text="" percent="0" bottom="0">
      <formula>AND(M332&gt;=10,M332&lt;20)</formula>
    </cfRule>
    <cfRule type="expression" rank="0" priority="1329" equalAverage="0" aboveAverage="0" dxfId="2" text="" percent="0" bottom="0">
      <formula>AND(M332&gt;=5,M332&lt;10)</formula>
    </cfRule>
    <cfRule type="expression" rank="0" priority="1330" equalAverage="0" aboveAverage="0" dxfId="3" text="" percent="0" bottom="0">
      <formula>AND(M332&gt;=1,M332&lt;5)</formula>
    </cfRule>
  </conditionalFormatting>
  <conditionalFormatting sqref="M333">
    <cfRule type="expression" rank="0" priority="1331" equalAverage="0" aboveAverage="0" dxfId="0" text="" percent="0" bottom="0">
      <formula>M333&gt;=20</formula>
    </cfRule>
    <cfRule type="expression" rank="0" priority="1332" equalAverage="0" aboveAverage="0" dxfId="1" text="" percent="0" bottom="0">
      <formula>AND(M333&gt;=10,M333&lt;20)</formula>
    </cfRule>
    <cfRule type="expression" rank="0" priority="1333" equalAverage="0" aboveAverage="0" dxfId="2" text="" percent="0" bottom="0">
      <formula>AND(M333&gt;=5,M333&lt;10)</formula>
    </cfRule>
    <cfRule type="expression" rank="0" priority="1334" equalAverage="0" aboveAverage="0" dxfId="3" text="" percent="0" bottom="0">
      <formula>AND(M333&gt;=1,M333&lt;5)</formula>
    </cfRule>
  </conditionalFormatting>
  <conditionalFormatting sqref="M334">
    <cfRule type="expression" rank="0" priority="1335" equalAverage="0" aboveAverage="0" dxfId="0" text="" percent="0" bottom="0">
      <formula>M334&gt;=20</formula>
    </cfRule>
    <cfRule type="expression" rank="0" priority="1336" equalAverage="0" aboveAverage="0" dxfId="1" text="" percent="0" bottom="0">
      <formula>AND(M334&gt;=10,M334&lt;20)</formula>
    </cfRule>
    <cfRule type="expression" rank="0" priority="1337" equalAverage="0" aboveAverage="0" dxfId="2" text="" percent="0" bottom="0">
      <formula>AND(M334&gt;=5,M334&lt;10)</formula>
    </cfRule>
    <cfRule type="expression" rank="0" priority="1338" equalAverage="0" aboveAverage="0" dxfId="3" text="" percent="0" bottom="0">
      <formula>AND(M334&gt;=1,M334&lt;5)</formula>
    </cfRule>
  </conditionalFormatting>
  <conditionalFormatting sqref="M335">
    <cfRule type="expression" rank="0" priority="1339" equalAverage="0" aboveAverage="0" dxfId="0" text="" percent="0" bottom="0">
      <formula>M335&gt;=20</formula>
    </cfRule>
    <cfRule type="expression" rank="0" priority="1340" equalAverage="0" aboveAverage="0" dxfId="1" text="" percent="0" bottom="0">
      <formula>AND(M335&gt;=10,M335&lt;20)</formula>
    </cfRule>
    <cfRule type="expression" rank="0" priority="1341" equalAverage="0" aboveAverage="0" dxfId="2" text="" percent="0" bottom="0">
      <formula>AND(M335&gt;=5,M335&lt;10)</formula>
    </cfRule>
    <cfRule type="expression" rank="0" priority="1342" equalAverage="0" aboveAverage="0" dxfId="3" text="" percent="0" bottom="0">
      <formula>AND(M335&gt;=1,M335&lt;5)</formula>
    </cfRule>
  </conditionalFormatting>
  <conditionalFormatting sqref="M336">
    <cfRule type="expression" rank="0" priority="1343" equalAverage="0" aboveAverage="0" dxfId="0" text="" percent="0" bottom="0">
      <formula>M336&gt;=20</formula>
    </cfRule>
    <cfRule type="expression" rank="0" priority="1344" equalAverage="0" aboveAverage="0" dxfId="1" text="" percent="0" bottom="0">
      <formula>AND(M336&gt;=10,M336&lt;20)</formula>
    </cfRule>
    <cfRule type="expression" rank="0" priority="1345" equalAverage="0" aboveAverage="0" dxfId="2" text="" percent="0" bottom="0">
      <formula>AND(M336&gt;=5,M336&lt;10)</formula>
    </cfRule>
    <cfRule type="expression" rank="0" priority="1346" equalAverage="0" aboveAverage="0" dxfId="3" text="" percent="0" bottom="0">
      <formula>AND(M336&gt;=1,M336&lt;5)</formula>
    </cfRule>
  </conditionalFormatting>
  <conditionalFormatting sqref="M337">
    <cfRule type="expression" rank="0" priority="1347" equalAverage="0" aboveAverage="0" dxfId="0" text="" percent="0" bottom="0">
      <formula>M337&gt;=20</formula>
    </cfRule>
    <cfRule type="expression" rank="0" priority="1348" equalAverage="0" aboveAverage="0" dxfId="1" text="" percent="0" bottom="0">
      <formula>AND(M337&gt;=10,M337&lt;20)</formula>
    </cfRule>
    <cfRule type="expression" rank="0" priority="1349" equalAverage="0" aboveAverage="0" dxfId="2" text="" percent="0" bottom="0">
      <formula>AND(M337&gt;=5,M337&lt;10)</formula>
    </cfRule>
    <cfRule type="expression" rank="0" priority="1350" equalAverage="0" aboveAverage="0" dxfId="3" text="" percent="0" bottom="0">
      <formula>AND(M337&gt;=1,M337&lt;5)</formula>
    </cfRule>
  </conditionalFormatting>
  <conditionalFormatting sqref="M338">
    <cfRule type="expression" rank="0" priority="1351" equalAverage="0" aboveAverage="0" dxfId="0" text="" percent="0" bottom="0">
      <formula>M338&gt;=20</formula>
    </cfRule>
    <cfRule type="expression" rank="0" priority="1352" equalAverage="0" aboveAverage="0" dxfId="1" text="" percent="0" bottom="0">
      <formula>AND(M338&gt;=10,M338&lt;20)</formula>
    </cfRule>
    <cfRule type="expression" rank="0" priority="1353" equalAverage="0" aboveAverage="0" dxfId="2" text="" percent="0" bottom="0">
      <formula>AND(M338&gt;=5,M338&lt;10)</formula>
    </cfRule>
    <cfRule type="expression" rank="0" priority="1354" equalAverage="0" aboveAverage="0" dxfId="3" text="" percent="0" bottom="0">
      <formula>AND(M338&gt;=1,M338&lt;5)</formula>
    </cfRule>
  </conditionalFormatting>
  <conditionalFormatting sqref="M339">
    <cfRule type="expression" rank="0" priority="1355" equalAverage="0" aboveAverage="0" dxfId="0" text="" percent="0" bottom="0">
      <formula>M339&gt;=20</formula>
    </cfRule>
    <cfRule type="expression" rank="0" priority="1356" equalAverage="0" aboveAverage="0" dxfId="1" text="" percent="0" bottom="0">
      <formula>AND(M339&gt;=10,M339&lt;20)</formula>
    </cfRule>
    <cfRule type="expression" rank="0" priority="1357" equalAverage="0" aboveAverage="0" dxfId="2" text="" percent="0" bottom="0">
      <formula>AND(M339&gt;=5,M339&lt;10)</formula>
    </cfRule>
    <cfRule type="expression" rank="0" priority="1358" equalAverage="0" aboveAverage="0" dxfId="3" text="" percent="0" bottom="0">
      <formula>AND(M339&gt;=1,M339&lt;5)</formula>
    </cfRule>
  </conditionalFormatting>
  <conditionalFormatting sqref="M340">
    <cfRule type="expression" rank="0" priority="1359" equalAverage="0" aboveAverage="0" dxfId="0" text="" percent="0" bottom="0">
      <formula>M340&gt;=20</formula>
    </cfRule>
    <cfRule type="expression" rank="0" priority="1360" equalAverage="0" aboveAverage="0" dxfId="1" text="" percent="0" bottom="0">
      <formula>AND(M340&gt;=10,M340&lt;20)</formula>
    </cfRule>
    <cfRule type="expression" rank="0" priority="1361" equalAverage="0" aboveAverage="0" dxfId="2" text="" percent="0" bottom="0">
      <formula>AND(M340&gt;=5,M340&lt;10)</formula>
    </cfRule>
    <cfRule type="expression" rank="0" priority="1362" equalAverage="0" aboveAverage="0" dxfId="3" text="" percent="0" bottom="0">
      <formula>AND(M340&gt;=1,M340&lt;5)</formula>
    </cfRule>
  </conditionalFormatting>
  <conditionalFormatting sqref="M341">
    <cfRule type="expression" rank="0" priority="1363" equalAverage="0" aboveAverage="0" dxfId="0" text="" percent="0" bottom="0">
      <formula>M341&gt;=20</formula>
    </cfRule>
    <cfRule type="expression" rank="0" priority="1364" equalAverage="0" aboveAverage="0" dxfId="1" text="" percent="0" bottom="0">
      <formula>AND(M341&gt;=10,M341&lt;20)</formula>
    </cfRule>
    <cfRule type="expression" rank="0" priority="1365" equalAverage="0" aboveAverage="0" dxfId="2" text="" percent="0" bottom="0">
      <formula>AND(M341&gt;=5,M341&lt;10)</formula>
    </cfRule>
    <cfRule type="expression" rank="0" priority="1366" equalAverage="0" aboveAverage="0" dxfId="3" text="" percent="0" bottom="0">
      <formula>AND(M341&gt;=1,M341&lt;5)</formula>
    </cfRule>
  </conditionalFormatting>
  <conditionalFormatting sqref="M342">
    <cfRule type="expression" rank="0" priority="1367" equalAverage="0" aboveAverage="0" dxfId="0" text="" percent="0" bottom="0">
      <formula>M342&gt;=20</formula>
    </cfRule>
    <cfRule type="expression" rank="0" priority="1368" equalAverage="0" aboveAverage="0" dxfId="1" text="" percent="0" bottom="0">
      <formula>AND(M342&gt;=10,M342&lt;20)</formula>
    </cfRule>
    <cfRule type="expression" rank="0" priority="1369" equalAverage="0" aboveAverage="0" dxfId="2" text="" percent="0" bottom="0">
      <formula>AND(M342&gt;=5,M342&lt;10)</formula>
    </cfRule>
    <cfRule type="expression" rank="0" priority="1370" equalAverage="0" aboveAverage="0" dxfId="3" text="" percent="0" bottom="0">
      <formula>AND(M342&gt;=1,M342&lt;5)</formula>
    </cfRule>
  </conditionalFormatting>
  <conditionalFormatting sqref="M343">
    <cfRule type="expression" rank="0" priority="1371" equalAverage="0" aboveAverage="0" dxfId="0" text="" percent="0" bottom="0">
      <formula>M343&gt;=20</formula>
    </cfRule>
    <cfRule type="expression" rank="0" priority="1372" equalAverage="0" aboveAverage="0" dxfId="1" text="" percent="0" bottom="0">
      <formula>AND(M343&gt;=10,M343&lt;20)</formula>
    </cfRule>
    <cfRule type="expression" rank="0" priority="1373" equalAverage="0" aboveAverage="0" dxfId="2" text="" percent="0" bottom="0">
      <formula>AND(M343&gt;=5,M343&lt;10)</formula>
    </cfRule>
    <cfRule type="expression" rank="0" priority="1374" equalAverage="0" aboveAverage="0" dxfId="3" text="" percent="0" bottom="0">
      <formula>AND(M343&gt;=1,M343&lt;5)</formula>
    </cfRule>
  </conditionalFormatting>
  <conditionalFormatting sqref="M344">
    <cfRule type="expression" rank="0" priority="1375" equalAverage="0" aboveAverage="0" dxfId="0" text="" percent="0" bottom="0">
      <formula>M344&gt;=20</formula>
    </cfRule>
    <cfRule type="expression" rank="0" priority="1376" equalAverage="0" aboveAverage="0" dxfId="1" text="" percent="0" bottom="0">
      <formula>AND(M344&gt;=10,M344&lt;20)</formula>
    </cfRule>
    <cfRule type="expression" rank="0" priority="1377" equalAverage="0" aboveAverage="0" dxfId="2" text="" percent="0" bottom="0">
      <formula>AND(M344&gt;=5,M344&lt;10)</formula>
    </cfRule>
    <cfRule type="expression" rank="0" priority="1378" equalAverage="0" aboveAverage="0" dxfId="3" text="" percent="0" bottom="0">
      <formula>AND(M344&gt;=1,M344&lt;5)</formula>
    </cfRule>
  </conditionalFormatting>
  <conditionalFormatting sqref="M345">
    <cfRule type="expression" rank="0" priority="1379" equalAverage="0" aboveAverage="0" dxfId="0" text="" percent="0" bottom="0">
      <formula>M345&gt;=20</formula>
    </cfRule>
    <cfRule type="expression" rank="0" priority="1380" equalAverage="0" aboveAverage="0" dxfId="1" text="" percent="0" bottom="0">
      <formula>AND(M345&gt;=10,M345&lt;20)</formula>
    </cfRule>
    <cfRule type="expression" rank="0" priority="1381" equalAverage="0" aboveAverage="0" dxfId="2" text="" percent="0" bottom="0">
      <formula>AND(M345&gt;=5,M345&lt;10)</formula>
    </cfRule>
    <cfRule type="expression" rank="0" priority="1382" equalAverage="0" aboveAverage="0" dxfId="3" text="" percent="0" bottom="0">
      <formula>AND(M345&gt;=1,M345&lt;5)</formula>
    </cfRule>
  </conditionalFormatting>
  <conditionalFormatting sqref="M346">
    <cfRule type="expression" rank="0" priority="1383" equalAverage="0" aboveAverage="0" dxfId="0" text="" percent="0" bottom="0">
      <formula>M346&gt;=20</formula>
    </cfRule>
    <cfRule type="expression" rank="0" priority="1384" equalAverage="0" aboveAverage="0" dxfId="1" text="" percent="0" bottom="0">
      <formula>AND(M346&gt;=10,M346&lt;20)</formula>
    </cfRule>
    <cfRule type="expression" rank="0" priority="1385" equalAverage="0" aboveAverage="0" dxfId="2" text="" percent="0" bottom="0">
      <formula>AND(M346&gt;=5,M346&lt;10)</formula>
    </cfRule>
    <cfRule type="expression" rank="0" priority="1386" equalAverage="0" aboveAverage="0" dxfId="3" text="" percent="0" bottom="0">
      <formula>AND(M346&gt;=1,M346&lt;5)</formula>
    </cfRule>
  </conditionalFormatting>
  <conditionalFormatting sqref="M347">
    <cfRule type="expression" rank="0" priority="1387" equalAverage="0" aboveAverage="0" dxfId="0" text="" percent="0" bottom="0">
      <formula>M347&gt;=20</formula>
    </cfRule>
    <cfRule type="expression" rank="0" priority="1388" equalAverage="0" aboveAverage="0" dxfId="1" text="" percent="0" bottom="0">
      <formula>AND(M347&gt;=10,M347&lt;20)</formula>
    </cfRule>
    <cfRule type="expression" rank="0" priority="1389" equalAverage="0" aboveAverage="0" dxfId="2" text="" percent="0" bottom="0">
      <formula>AND(M347&gt;=5,M347&lt;10)</formula>
    </cfRule>
    <cfRule type="expression" rank="0" priority="1390" equalAverage="0" aboveAverage="0" dxfId="3" text="" percent="0" bottom="0">
      <formula>AND(M347&gt;=1,M347&lt;5)</formula>
    </cfRule>
  </conditionalFormatting>
  <conditionalFormatting sqref="M348">
    <cfRule type="expression" rank="0" priority="1391" equalAverage="0" aboveAverage="0" dxfId="0" text="" percent="0" bottom="0">
      <formula>M348&gt;=20</formula>
    </cfRule>
    <cfRule type="expression" rank="0" priority="1392" equalAverage="0" aboveAverage="0" dxfId="1" text="" percent="0" bottom="0">
      <formula>AND(M348&gt;=10,M348&lt;20)</formula>
    </cfRule>
    <cfRule type="expression" rank="0" priority="1393" equalAverage="0" aboveAverage="0" dxfId="2" text="" percent="0" bottom="0">
      <formula>AND(M348&gt;=5,M348&lt;10)</formula>
    </cfRule>
    <cfRule type="expression" rank="0" priority="1394" equalAverage="0" aboveAverage="0" dxfId="3" text="" percent="0" bottom="0">
      <formula>AND(M348&gt;=1,M348&lt;5)</formula>
    </cfRule>
  </conditionalFormatting>
  <conditionalFormatting sqref="M349">
    <cfRule type="expression" rank="0" priority="1395" equalAverage="0" aboveAverage="0" dxfId="0" text="" percent="0" bottom="0">
      <formula>M349&gt;=20</formula>
    </cfRule>
    <cfRule type="expression" rank="0" priority="1396" equalAverage="0" aboveAverage="0" dxfId="1" text="" percent="0" bottom="0">
      <formula>AND(M349&gt;=10,M349&lt;20)</formula>
    </cfRule>
    <cfRule type="expression" rank="0" priority="1397" equalAverage="0" aboveAverage="0" dxfId="2" text="" percent="0" bottom="0">
      <formula>AND(M349&gt;=5,M349&lt;10)</formula>
    </cfRule>
    <cfRule type="expression" rank="0" priority="1398" equalAverage="0" aboveAverage="0" dxfId="3" text="" percent="0" bottom="0">
      <formula>AND(M349&gt;=1,M349&lt;5)</formula>
    </cfRule>
  </conditionalFormatting>
  <conditionalFormatting sqref="M350">
    <cfRule type="expression" rank="0" priority="1399" equalAverage="0" aboveAverage="0" dxfId="0" text="" percent="0" bottom="0">
      <formula>M350&gt;=20</formula>
    </cfRule>
    <cfRule type="expression" rank="0" priority="1400" equalAverage="0" aboveAverage="0" dxfId="1" text="" percent="0" bottom="0">
      <formula>AND(M350&gt;=10,M350&lt;20)</formula>
    </cfRule>
    <cfRule type="expression" rank="0" priority="1401" equalAverage="0" aboveAverage="0" dxfId="2" text="" percent="0" bottom="0">
      <formula>AND(M350&gt;=5,M350&lt;10)</formula>
    </cfRule>
    <cfRule type="expression" rank="0" priority="1402" equalAverage="0" aboveAverage="0" dxfId="3" text="" percent="0" bottom="0">
      <formula>AND(M350&gt;=1,M350&lt;5)</formula>
    </cfRule>
  </conditionalFormatting>
  <conditionalFormatting sqref="M351">
    <cfRule type="expression" rank="0" priority="1403" equalAverage="0" aboveAverage="0" dxfId="0" text="" percent="0" bottom="0">
      <formula>M351&gt;=20</formula>
    </cfRule>
    <cfRule type="expression" rank="0" priority="1404" equalAverage="0" aboveAverage="0" dxfId="1" text="" percent="0" bottom="0">
      <formula>AND(M351&gt;=10,M351&lt;20)</formula>
    </cfRule>
    <cfRule type="expression" rank="0" priority="1405" equalAverage="0" aboveAverage="0" dxfId="2" text="" percent="0" bottom="0">
      <formula>AND(M351&gt;=5,M351&lt;10)</formula>
    </cfRule>
    <cfRule type="expression" rank="0" priority="1406" equalAverage="0" aboveAverage="0" dxfId="3" text="" percent="0" bottom="0">
      <formula>AND(M351&gt;=1,M351&lt;5)</formula>
    </cfRule>
  </conditionalFormatting>
  <conditionalFormatting sqref="M352">
    <cfRule type="expression" rank="0" priority="1407" equalAverage="0" aboveAverage="0" dxfId="0" text="" percent="0" bottom="0">
      <formula>M352&gt;=20</formula>
    </cfRule>
    <cfRule type="expression" rank="0" priority="1408" equalAverage="0" aboveAverage="0" dxfId="1" text="" percent="0" bottom="0">
      <formula>AND(M352&gt;=10,M352&lt;20)</formula>
    </cfRule>
    <cfRule type="expression" rank="0" priority="1409" equalAverage="0" aboveAverage="0" dxfId="2" text="" percent="0" bottom="0">
      <formula>AND(M352&gt;=5,M352&lt;10)</formula>
    </cfRule>
    <cfRule type="expression" rank="0" priority="1410" equalAverage="0" aboveAverage="0" dxfId="3" text="" percent="0" bottom="0">
      <formula>AND(M352&gt;=1,M352&lt;5)</formula>
    </cfRule>
  </conditionalFormatting>
  <conditionalFormatting sqref="M353">
    <cfRule type="expression" rank="0" priority="1411" equalAverage="0" aboveAverage="0" dxfId="0" text="" percent="0" bottom="0">
      <formula>M353&gt;=20</formula>
    </cfRule>
    <cfRule type="expression" rank="0" priority="1412" equalAverage="0" aboveAverage="0" dxfId="1" text="" percent="0" bottom="0">
      <formula>AND(M353&gt;=10,M353&lt;20)</formula>
    </cfRule>
    <cfRule type="expression" rank="0" priority="1413" equalAverage="0" aboveAverage="0" dxfId="2" text="" percent="0" bottom="0">
      <formula>AND(M353&gt;=5,M353&lt;10)</formula>
    </cfRule>
    <cfRule type="expression" rank="0" priority="1414" equalAverage="0" aboveAverage="0" dxfId="3" text="" percent="0" bottom="0">
      <formula>AND(M353&gt;=1,M353&lt;5)</formula>
    </cfRule>
  </conditionalFormatting>
  <conditionalFormatting sqref="M354">
    <cfRule type="expression" rank="0" priority="1415" equalAverage="0" aboveAverage="0" dxfId="0" text="" percent="0" bottom="0">
      <formula>M354&gt;=20</formula>
    </cfRule>
    <cfRule type="expression" rank="0" priority="1416" equalAverage="0" aboveAverage="0" dxfId="1" text="" percent="0" bottom="0">
      <formula>AND(M354&gt;=10,M354&lt;20)</formula>
    </cfRule>
    <cfRule type="expression" rank="0" priority="1417" equalAverage="0" aboveAverage="0" dxfId="2" text="" percent="0" bottom="0">
      <formula>AND(M354&gt;=5,M354&lt;10)</formula>
    </cfRule>
    <cfRule type="expression" rank="0" priority="1418" equalAverage="0" aboveAverage="0" dxfId="3" text="" percent="0" bottom="0">
      <formula>AND(M354&gt;=1,M354&lt;5)</formula>
    </cfRule>
  </conditionalFormatting>
  <conditionalFormatting sqref="M355">
    <cfRule type="expression" rank="0" priority="1419" equalAverage="0" aboveAverage="0" dxfId="0" text="" percent="0" bottom="0">
      <formula>M355&gt;=20</formula>
    </cfRule>
    <cfRule type="expression" rank="0" priority="1420" equalAverage="0" aboveAverage="0" dxfId="1" text="" percent="0" bottom="0">
      <formula>AND(M355&gt;=10,M355&lt;20)</formula>
    </cfRule>
    <cfRule type="expression" rank="0" priority="1421" equalAverage="0" aboveAverage="0" dxfId="2" text="" percent="0" bottom="0">
      <formula>AND(M355&gt;=5,M355&lt;10)</formula>
    </cfRule>
    <cfRule type="expression" rank="0" priority="1422" equalAverage="0" aboveAverage="0" dxfId="3" text="" percent="0" bottom="0">
      <formula>AND(M355&gt;=1,M355&lt;5)</formula>
    </cfRule>
  </conditionalFormatting>
  <conditionalFormatting sqref="M356">
    <cfRule type="expression" rank="0" priority="1423" equalAverage="0" aboveAverage="0" dxfId="0" text="" percent="0" bottom="0">
      <formula>M356&gt;=20</formula>
    </cfRule>
    <cfRule type="expression" rank="0" priority="1424" equalAverage="0" aboveAverage="0" dxfId="1" text="" percent="0" bottom="0">
      <formula>AND(M356&gt;=10,M356&lt;20)</formula>
    </cfRule>
    <cfRule type="expression" rank="0" priority="1425" equalAverage="0" aboveAverage="0" dxfId="2" text="" percent="0" bottom="0">
      <formula>AND(M356&gt;=5,M356&lt;10)</formula>
    </cfRule>
    <cfRule type="expression" rank="0" priority="1426" equalAverage="0" aboveAverage="0" dxfId="3" text="" percent="0" bottom="0">
      <formula>AND(M356&gt;=1,M356&lt;5)</formula>
    </cfRule>
  </conditionalFormatting>
  <conditionalFormatting sqref="M357">
    <cfRule type="expression" rank="0" priority="1427" equalAverage="0" aboveAverage="0" dxfId="0" text="" percent="0" bottom="0">
      <formula>M357&gt;=20</formula>
    </cfRule>
    <cfRule type="expression" rank="0" priority="1428" equalAverage="0" aboveAverage="0" dxfId="1" text="" percent="0" bottom="0">
      <formula>AND(M357&gt;=10,M357&lt;20)</formula>
    </cfRule>
    <cfRule type="expression" rank="0" priority="1429" equalAverage="0" aboveAverage="0" dxfId="2" text="" percent="0" bottom="0">
      <formula>AND(M357&gt;=5,M357&lt;10)</formula>
    </cfRule>
    <cfRule type="expression" rank="0" priority="1430" equalAverage="0" aboveAverage="0" dxfId="3" text="" percent="0" bottom="0">
      <formula>AND(M357&gt;=1,M357&lt;5)</formula>
    </cfRule>
  </conditionalFormatting>
  <conditionalFormatting sqref="M358">
    <cfRule type="expression" rank="0" priority="1431" equalAverage="0" aboveAverage="0" dxfId="0" text="" percent="0" bottom="0">
      <formula>M358&gt;=20</formula>
    </cfRule>
    <cfRule type="expression" rank="0" priority="1432" equalAverage="0" aboveAverage="0" dxfId="1" text="" percent="0" bottom="0">
      <formula>AND(M358&gt;=10,M358&lt;20)</formula>
    </cfRule>
    <cfRule type="expression" rank="0" priority="1433" equalAverage="0" aboveAverage="0" dxfId="2" text="" percent="0" bottom="0">
      <formula>AND(M358&gt;=5,M358&lt;10)</formula>
    </cfRule>
    <cfRule type="expression" rank="0" priority="1434" equalAverage="0" aboveAverage="0" dxfId="3" text="" percent="0" bottom="0">
      <formula>AND(M358&gt;=1,M358&lt;5)</formula>
    </cfRule>
  </conditionalFormatting>
  <conditionalFormatting sqref="M359">
    <cfRule type="expression" rank="0" priority="1435" equalAverage="0" aboveAverage="0" dxfId="0" text="" percent="0" bottom="0">
      <formula>M359&gt;=20</formula>
    </cfRule>
    <cfRule type="expression" rank="0" priority="1436" equalAverage="0" aboveAverage="0" dxfId="1" text="" percent="0" bottom="0">
      <formula>AND(M359&gt;=10,M359&lt;20)</formula>
    </cfRule>
    <cfRule type="expression" rank="0" priority="1437" equalAverage="0" aboveAverage="0" dxfId="2" text="" percent="0" bottom="0">
      <formula>AND(M359&gt;=5,M359&lt;10)</formula>
    </cfRule>
    <cfRule type="expression" rank="0" priority="1438" equalAverage="0" aboveAverage="0" dxfId="3" text="" percent="0" bottom="0">
      <formula>AND(M359&gt;=1,M359&lt;5)</formula>
    </cfRule>
  </conditionalFormatting>
  <conditionalFormatting sqref="M360">
    <cfRule type="expression" rank="0" priority="1439" equalAverage="0" aboveAverage="0" dxfId="0" text="" percent="0" bottom="0">
      <formula>M360&gt;=20</formula>
    </cfRule>
    <cfRule type="expression" rank="0" priority="1440" equalAverage="0" aboveAverage="0" dxfId="1" text="" percent="0" bottom="0">
      <formula>AND(M360&gt;=10,M360&lt;20)</formula>
    </cfRule>
    <cfRule type="expression" rank="0" priority="1441" equalAverage="0" aboveAverage="0" dxfId="2" text="" percent="0" bottom="0">
      <formula>AND(M360&gt;=5,M360&lt;10)</formula>
    </cfRule>
    <cfRule type="expression" rank="0" priority="1442" equalAverage="0" aboveAverage="0" dxfId="3" text="" percent="0" bottom="0">
      <formula>AND(M360&gt;=1,M360&lt;5)</formula>
    </cfRule>
  </conditionalFormatting>
  <conditionalFormatting sqref="M361">
    <cfRule type="expression" rank="0" priority="1443" equalAverage="0" aboveAverage="0" dxfId="0" text="" percent="0" bottom="0">
      <formula>M361&gt;=20</formula>
    </cfRule>
    <cfRule type="expression" rank="0" priority="1444" equalAverage="0" aboveAverage="0" dxfId="1" text="" percent="0" bottom="0">
      <formula>AND(M361&gt;=10,M361&lt;20)</formula>
    </cfRule>
    <cfRule type="expression" rank="0" priority="1445" equalAverage="0" aboveAverage="0" dxfId="2" text="" percent="0" bottom="0">
      <formula>AND(M361&gt;=5,M361&lt;10)</formula>
    </cfRule>
    <cfRule type="expression" rank="0" priority="1446" equalAverage="0" aboveAverage="0" dxfId="3" text="" percent="0" bottom="0">
      <formula>AND(M361&gt;=1,M361&lt;5)</formula>
    </cfRule>
  </conditionalFormatting>
  <conditionalFormatting sqref="M362">
    <cfRule type="expression" rank="0" priority="1447" equalAverage="0" aboveAverage="0" dxfId="0" text="" percent="0" bottom="0">
      <formula>M362&gt;=20</formula>
    </cfRule>
    <cfRule type="expression" rank="0" priority="1448" equalAverage="0" aboveAverage="0" dxfId="1" text="" percent="0" bottom="0">
      <formula>AND(M362&gt;=10,M362&lt;20)</formula>
    </cfRule>
    <cfRule type="expression" rank="0" priority="1449" equalAverage="0" aboveAverage="0" dxfId="2" text="" percent="0" bottom="0">
      <formula>AND(M362&gt;=5,M362&lt;10)</formula>
    </cfRule>
    <cfRule type="expression" rank="0" priority="1450" equalAverage="0" aboveAverage="0" dxfId="3" text="" percent="0" bottom="0">
      <formula>AND(M362&gt;=1,M362&lt;5)</formula>
    </cfRule>
  </conditionalFormatting>
  <conditionalFormatting sqref="M363">
    <cfRule type="expression" rank="0" priority="1451" equalAverage="0" aboveAverage="0" dxfId="0" text="" percent="0" bottom="0">
      <formula>M363&gt;=20</formula>
    </cfRule>
    <cfRule type="expression" rank="0" priority="1452" equalAverage="0" aboveAverage="0" dxfId="1" text="" percent="0" bottom="0">
      <formula>AND(M363&gt;=10,M363&lt;20)</formula>
    </cfRule>
    <cfRule type="expression" rank="0" priority="1453" equalAverage="0" aboveAverage="0" dxfId="2" text="" percent="0" bottom="0">
      <formula>AND(M363&gt;=5,M363&lt;10)</formula>
    </cfRule>
    <cfRule type="expression" rank="0" priority="1454" equalAverage="0" aboveAverage="0" dxfId="3" text="" percent="0" bottom="0">
      <formula>AND(M363&gt;=1,M363&lt;5)</formula>
    </cfRule>
  </conditionalFormatting>
  <conditionalFormatting sqref="M364">
    <cfRule type="expression" rank="0" priority="1455" equalAverage="0" aboveAverage="0" dxfId="0" text="" percent="0" bottom="0">
      <formula>M364&gt;=20</formula>
    </cfRule>
    <cfRule type="expression" rank="0" priority="1456" equalAverage="0" aboveAverage="0" dxfId="1" text="" percent="0" bottom="0">
      <formula>AND(M364&gt;=10,M364&lt;20)</formula>
    </cfRule>
    <cfRule type="expression" rank="0" priority="1457" equalAverage="0" aboveAverage="0" dxfId="2" text="" percent="0" bottom="0">
      <formula>AND(M364&gt;=5,M364&lt;10)</formula>
    </cfRule>
    <cfRule type="expression" rank="0" priority="1458" equalAverage="0" aboveAverage="0" dxfId="3" text="" percent="0" bottom="0">
      <formula>AND(M364&gt;=1,M364&lt;5)</formula>
    </cfRule>
  </conditionalFormatting>
  <conditionalFormatting sqref="M365">
    <cfRule type="expression" rank="0" priority="1459" equalAverage="0" aboveAverage="0" dxfId="0" text="" percent="0" bottom="0">
      <formula>M365&gt;=20</formula>
    </cfRule>
    <cfRule type="expression" rank="0" priority="1460" equalAverage="0" aboveAverage="0" dxfId="1" text="" percent="0" bottom="0">
      <formula>AND(M365&gt;=10,M365&lt;20)</formula>
    </cfRule>
    <cfRule type="expression" rank="0" priority="1461" equalAverage="0" aboveAverage="0" dxfId="2" text="" percent="0" bottom="0">
      <formula>AND(M365&gt;=5,M365&lt;10)</formula>
    </cfRule>
    <cfRule type="expression" rank="0" priority="1462" equalAverage="0" aboveAverage="0" dxfId="3" text="" percent="0" bottom="0">
      <formula>AND(M365&gt;=1,M365&lt;5)</formula>
    </cfRule>
  </conditionalFormatting>
  <conditionalFormatting sqref="M366">
    <cfRule type="expression" rank="0" priority="1463" equalAverage="0" aboveAverage="0" dxfId="0" text="" percent="0" bottom="0">
      <formula>M366&gt;=20</formula>
    </cfRule>
    <cfRule type="expression" rank="0" priority="1464" equalAverage="0" aboveAverage="0" dxfId="1" text="" percent="0" bottom="0">
      <formula>AND(M366&gt;=10,M366&lt;20)</formula>
    </cfRule>
    <cfRule type="expression" rank="0" priority="1465" equalAverage="0" aboveAverage="0" dxfId="2" text="" percent="0" bottom="0">
      <formula>AND(M366&gt;=5,M366&lt;10)</formula>
    </cfRule>
    <cfRule type="expression" rank="0" priority="1466" equalAverage="0" aboveAverage="0" dxfId="3" text="" percent="0" bottom="0">
      <formula>AND(M366&gt;=1,M366&lt;5)</formula>
    </cfRule>
  </conditionalFormatting>
  <conditionalFormatting sqref="M367">
    <cfRule type="expression" rank="0" priority="1467" equalAverage="0" aboveAverage="0" dxfId="0" text="" percent="0" bottom="0">
      <formula>M367&gt;=20</formula>
    </cfRule>
    <cfRule type="expression" rank="0" priority="1468" equalAverage="0" aboveAverage="0" dxfId="1" text="" percent="0" bottom="0">
      <formula>AND(M367&gt;=10,M367&lt;20)</formula>
    </cfRule>
    <cfRule type="expression" rank="0" priority="1469" equalAverage="0" aboveAverage="0" dxfId="2" text="" percent="0" bottom="0">
      <formula>AND(M367&gt;=5,M367&lt;10)</formula>
    </cfRule>
    <cfRule type="expression" rank="0" priority="1470" equalAverage="0" aboveAverage="0" dxfId="3" text="" percent="0" bottom="0">
      <formula>AND(M367&gt;=1,M367&lt;5)</formula>
    </cfRule>
  </conditionalFormatting>
  <conditionalFormatting sqref="M368">
    <cfRule type="expression" rank="0" priority="1471" equalAverage="0" aboveAverage="0" dxfId="0" text="" percent="0" bottom="0">
      <formula>M368&gt;=20</formula>
    </cfRule>
    <cfRule type="expression" rank="0" priority="1472" equalAverage="0" aboveAverage="0" dxfId="1" text="" percent="0" bottom="0">
      <formula>AND(M368&gt;=10,M368&lt;20)</formula>
    </cfRule>
    <cfRule type="expression" rank="0" priority="1473" equalAverage="0" aboveAverage="0" dxfId="2" text="" percent="0" bottom="0">
      <formula>AND(M368&gt;=5,M368&lt;10)</formula>
    </cfRule>
    <cfRule type="expression" rank="0" priority="1474" equalAverage="0" aboveAverage="0" dxfId="3" text="" percent="0" bottom="0">
      <formula>AND(M368&gt;=1,M368&lt;5)</formula>
    </cfRule>
  </conditionalFormatting>
  <conditionalFormatting sqref="M369">
    <cfRule type="expression" rank="0" priority="1475" equalAverage="0" aboveAverage="0" dxfId="0" text="" percent="0" bottom="0">
      <formula>M369&gt;=20</formula>
    </cfRule>
    <cfRule type="expression" rank="0" priority="1476" equalAverage="0" aboveAverage="0" dxfId="1" text="" percent="0" bottom="0">
      <formula>AND(M369&gt;=10,M369&lt;20)</formula>
    </cfRule>
    <cfRule type="expression" rank="0" priority="1477" equalAverage="0" aboveAverage="0" dxfId="2" text="" percent="0" bottom="0">
      <formula>AND(M369&gt;=5,M369&lt;10)</formula>
    </cfRule>
    <cfRule type="expression" rank="0" priority="1478" equalAverage="0" aboveAverage="0" dxfId="3" text="" percent="0" bottom="0">
      <formula>AND(M369&gt;=1,M369&lt;5)</formula>
    </cfRule>
  </conditionalFormatting>
  <conditionalFormatting sqref="M370">
    <cfRule type="expression" rank="0" priority="1479" equalAverage="0" aboveAverage="0" dxfId="0" text="" percent="0" bottom="0">
      <formula>M370&gt;=20</formula>
    </cfRule>
    <cfRule type="expression" rank="0" priority="1480" equalAverage="0" aboveAverage="0" dxfId="1" text="" percent="0" bottom="0">
      <formula>AND(M370&gt;=10,M370&lt;20)</formula>
    </cfRule>
    <cfRule type="expression" rank="0" priority="1481" equalAverage="0" aboveAverage="0" dxfId="2" text="" percent="0" bottom="0">
      <formula>AND(M370&gt;=5,M370&lt;10)</formula>
    </cfRule>
    <cfRule type="expression" rank="0" priority="1482" equalAverage="0" aboveAverage="0" dxfId="3" text="" percent="0" bottom="0">
      <formula>AND(M370&gt;=1,M370&lt;5)</formula>
    </cfRule>
  </conditionalFormatting>
  <conditionalFormatting sqref="M371">
    <cfRule type="expression" rank="0" priority="1483" equalAverage="0" aboveAverage="0" dxfId="0" text="" percent="0" bottom="0">
      <formula>M371&gt;=20</formula>
    </cfRule>
    <cfRule type="expression" rank="0" priority="1484" equalAverage="0" aboveAverage="0" dxfId="1" text="" percent="0" bottom="0">
      <formula>AND(M371&gt;=10,M371&lt;20)</formula>
    </cfRule>
    <cfRule type="expression" rank="0" priority="1485" equalAverage="0" aboveAverage="0" dxfId="2" text="" percent="0" bottom="0">
      <formula>AND(M371&gt;=5,M371&lt;10)</formula>
    </cfRule>
    <cfRule type="expression" rank="0" priority="1486" equalAverage="0" aboveAverage="0" dxfId="3" text="" percent="0" bottom="0">
      <formula>AND(M371&gt;=1,M371&lt;5)</formula>
    </cfRule>
  </conditionalFormatting>
  <conditionalFormatting sqref="M372">
    <cfRule type="expression" rank="0" priority="1487" equalAverage="0" aboveAverage="0" dxfId="0" text="" percent="0" bottom="0">
      <formula>M372&gt;=20</formula>
    </cfRule>
    <cfRule type="expression" rank="0" priority="1488" equalAverage="0" aboveAverage="0" dxfId="1" text="" percent="0" bottom="0">
      <formula>AND(M372&gt;=10,M372&lt;20)</formula>
    </cfRule>
    <cfRule type="expression" rank="0" priority="1489" equalAverage="0" aboveAverage="0" dxfId="2" text="" percent="0" bottom="0">
      <formula>AND(M372&gt;=5,M372&lt;10)</formula>
    </cfRule>
    <cfRule type="expression" rank="0" priority="1490" equalAverage="0" aboveAverage="0" dxfId="3" text="" percent="0" bottom="0">
      <formula>AND(M372&gt;=1,M372&lt;5)</formula>
    </cfRule>
  </conditionalFormatting>
  <conditionalFormatting sqref="M373">
    <cfRule type="expression" rank="0" priority="1491" equalAverage="0" aboveAverage="0" dxfId="0" text="" percent="0" bottom="0">
      <formula>M373&gt;=20</formula>
    </cfRule>
    <cfRule type="expression" rank="0" priority="1492" equalAverage="0" aboveAverage="0" dxfId="1" text="" percent="0" bottom="0">
      <formula>AND(M373&gt;=10,M373&lt;20)</formula>
    </cfRule>
    <cfRule type="expression" rank="0" priority="1493" equalAverage="0" aboveAverage="0" dxfId="2" text="" percent="0" bottom="0">
      <formula>AND(M373&gt;=5,M373&lt;10)</formula>
    </cfRule>
    <cfRule type="expression" rank="0" priority="1494" equalAverage="0" aboveAverage="0" dxfId="3" text="" percent="0" bottom="0">
      <formula>AND(M373&gt;=1,M373&lt;5)</formula>
    </cfRule>
  </conditionalFormatting>
  <conditionalFormatting sqref="M374">
    <cfRule type="expression" rank="0" priority="1495" equalAverage="0" aboveAverage="0" dxfId="0" text="" percent="0" bottom="0">
      <formula>M374&gt;=20</formula>
    </cfRule>
    <cfRule type="expression" rank="0" priority="1496" equalAverage="0" aboveAverage="0" dxfId="1" text="" percent="0" bottom="0">
      <formula>AND(M374&gt;=10,M374&lt;20)</formula>
    </cfRule>
    <cfRule type="expression" rank="0" priority="1497" equalAverage="0" aboveAverage="0" dxfId="2" text="" percent="0" bottom="0">
      <formula>AND(M374&gt;=5,M374&lt;10)</formula>
    </cfRule>
    <cfRule type="expression" rank="0" priority="1498" equalAverage="0" aboveAverage="0" dxfId="3" text="" percent="0" bottom="0">
      <formula>AND(M374&gt;=1,M374&lt;5)</formula>
    </cfRule>
  </conditionalFormatting>
  <conditionalFormatting sqref="M375">
    <cfRule type="expression" rank="0" priority="1499" equalAverage="0" aboveAverage="0" dxfId="0" text="" percent="0" bottom="0">
      <formula>M375&gt;=20</formula>
    </cfRule>
    <cfRule type="expression" rank="0" priority="1500" equalAverage="0" aboveAverage="0" dxfId="1" text="" percent="0" bottom="0">
      <formula>AND(M375&gt;=10,M375&lt;20)</formula>
    </cfRule>
    <cfRule type="expression" rank="0" priority="1501" equalAverage="0" aboveAverage="0" dxfId="2" text="" percent="0" bottom="0">
      <formula>AND(M375&gt;=5,M375&lt;10)</formula>
    </cfRule>
    <cfRule type="expression" rank="0" priority="1502" equalAverage="0" aboveAverage="0" dxfId="3" text="" percent="0" bottom="0">
      <formula>AND(M375&gt;=1,M375&lt;5)</formula>
    </cfRule>
  </conditionalFormatting>
  <conditionalFormatting sqref="M376">
    <cfRule type="expression" rank="0" priority="1503" equalAverage="0" aboveAverage="0" dxfId="0" text="" percent="0" bottom="0">
      <formula>M376&gt;=20</formula>
    </cfRule>
    <cfRule type="expression" rank="0" priority="1504" equalAverage="0" aboveAverage="0" dxfId="1" text="" percent="0" bottom="0">
      <formula>AND(M376&gt;=10,M376&lt;20)</formula>
    </cfRule>
    <cfRule type="expression" rank="0" priority="1505" equalAverage="0" aboveAverage="0" dxfId="2" text="" percent="0" bottom="0">
      <formula>AND(M376&gt;=5,M376&lt;10)</formula>
    </cfRule>
    <cfRule type="expression" rank="0" priority="1506" equalAverage="0" aboveAverage="0" dxfId="3" text="" percent="0" bottom="0">
      <formula>AND(M376&gt;=1,M376&lt;5)</formula>
    </cfRule>
  </conditionalFormatting>
  <conditionalFormatting sqref="M377">
    <cfRule type="expression" rank="0" priority="1507" equalAverage="0" aboveAverage="0" dxfId="0" text="" percent="0" bottom="0">
      <formula>M377&gt;=20</formula>
    </cfRule>
    <cfRule type="expression" rank="0" priority="1508" equalAverage="0" aboveAverage="0" dxfId="1" text="" percent="0" bottom="0">
      <formula>AND(M377&gt;=10,M377&lt;20)</formula>
    </cfRule>
    <cfRule type="expression" rank="0" priority="1509" equalAverage="0" aboveAverage="0" dxfId="2" text="" percent="0" bottom="0">
      <formula>AND(M377&gt;=5,M377&lt;10)</formula>
    </cfRule>
    <cfRule type="expression" rank="0" priority="1510" equalAverage="0" aboveAverage="0" dxfId="3" text="" percent="0" bottom="0">
      <formula>AND(M377&gt;=1,M377&lt;5)</formula>
    </cfRule>
  </conditionalFormatting>
  <conditionalFormatting sqref="M378">
    <cfRule type="expression" rank="0" priority="1511" equalAverage="0" aboveAverage="0" dxfId="0" text="" percent="0" bottom="0">
      <formula>M378&gt;=20</formula>
    </cfRule>
    <cfRule type="expression" rank="0" priority="1512" equalAverage="0" aboveAverage="0" dxfId="1" text="" percent="0" bottom="0">
      <formula>AND(M378&gt;=10,M378&lt;20)</formula>
    </cfRule>
    <cfRule type="expression" rank="0" priority="1513" equalAverage="0" aboveAverage="0" dxfId="2" text="" percent="0" bottom="0">
      <formula>AND(M378&gt;=5,M378&lt;10)</formula>
    </cfRule>
    <cfRule type="expression" rank="0" priority="1514" equalAverage="0" aboveAverage="0" dxfId="3" text="" percent="0" bottom="0">
      <formula>AND(M378&gt;=1,M378&lt;5)</formula>
    </cfRule>
  </conditionalFormatting>
  <conditionalFormatting sqref="M379">
    <cfRule type="expression" rank="0" priority="1515" equalAverage="0" aboveAverage="0" dxfId="0" text="" percent="0" bottom="0">
      <formula>M379&gt;=20</formula>
    </cfRule>
    <cfRule type="expression" rank="0" priority="1516" equalAverage="0" aboveAverage="0" dxfId="1" text="" percent="0" bottom="0">
      <formula>AND(M379&gt;=10,M379&lt;20)</formula>
    </cfRule>
    <cfRule type="expression" rank="0" priority="1517" equalAverage="0" aboveAverage="0" dxfId="2" text="" percent="0" bottom="0">
      <formula>AND(M379&gt;=5,M379&lt;10)</formula>
    </cfRule>
    <cfRule type="expression" rank="0" priority="1518" equalAverage="0" aboveAverage="0" dxfId="3" text="" percent="0" bottom="0">
      <formula>AND(M379&gt;=1,M379&lt;5)</formula>
    </cfRule>
  </conditionalFormatting>
  <conditionalFormatting sqref="M380">
    <cfRule type="expression" rank="0" priority="1519" equalAverage="0" aboveAverage="0" dxfId="0" text="" percent="0" bottom="0">
      <formula>M380&gt;=20</formula>
    </cfRule>
    <cfRule type="expression" rank="0" priority="1520" equalAverage="0" aboveAverage="0" dxfId="1" text="" percent="0" bottom="0">
      <formula>AND(M380&gt;=10,M380&lt;20)</formula>
    </cfRule>
    <cfRule type="expression" rank="0" priority="1521" equalAverage="0" aboveAverage="0" dxfId="2" text="" percent="0" bottom="0">
      <formula>AND(M380&gt;=5,M380&lt;10)</formula>
    </cfRule>
    <cfRule type="expression" rank="0" priority="1522" equalAverage="0" aboveAverage="0" dxfId="3" text="" percent="0" bottom="0">
      <formula>AND(M380&gt;=1,M380&lt;5)</formula>
    </cfRule>
  </conditionalFormatting>
  <conditionalFormatting sqref="M381">
    <cfRule type="expression" rank="0" priority="1523" equalAverage="0" aboveAverage="0" dxfId="0" text="" percent="0" bottom="0">
      <formula>M381&gt;=20</formula>
    </cfRule>
    <cfRule type="expression" rank="0" priority="1524" equalAverage="0" aboveAverage="0" dxfId="1" text="" percent="0" bottom="0">
      <formula>AND(M381&gt;=10,M381&lt;20)</formula>
    </cfRule>
    <cfRule type="expression" rank="0" priority="1525" equalAverage="0" aboveAverage="0" dxfId="2" text="" percent="0" bottom="0">
      <formula>AND(M381&gt;=5,M381&lt;10)</formula>
    </cfRule>
    <cfRule type="expression" rank="0" priority="1526" equalAverage="0" aboveAverage="0" dxfId="3" text="" percent="0" bottom="0">
      <formula>AND(M381&gt;=1,M381&lt;5)</formula>
    </cfRule>
  </conditionalFormatting>
  <conditionalFormatting sqref="M382">
    <cfRule type="expression" rank="0" priority="1527" equalAverage="0" aboveAverage="0" dxfId="0" text="" percent="0" bottom="0">
      <formula>M382&gt;=20</formula>
    </cfRule>
    <cfRule type="expression" rank="0" priority="1528" equalAverage="0" aboveAverage="0" dxfId="1" text="" percent="0" bottom="0">
      <formula>AND(M382&gt;=10,M382&lt;20)</formula>
    </cfRule>
    <cfRule type="expression" rank="0" priority="1529" equalAverage="0" aboveAverage="0" dxfId="2" text="" percent="0" bottom="0">
      <formula>AND(M382&gt;=5,M382&lt;10)</formula>
    </cfRule>
    <cfRule type="expression" rank="0" priority="1530" equalAverage="0" aboveAverage="0" dxfId="3" text="" percent="0" bottom="0">
      <formula>AND(M382&gt;=1,M382&lt;5)</formula>
    </cfRule>
  </conditionalFormatting>
  <conditionalFormatting sqref="M383">
    <cfRule type="expression" rank="0" priority="1531" equalAverage="0" aboveAverage="0" dxfId="0" text="" percent="0" bottom="0">
      <formula>M383&gt;=20</formula>
    </cfRule>
    <cfRule type="expression" rank="0" priority="1532" equalAverage="0" aboveAverage="0" dxfId="1" text="" percent="0" bottom="0">
      <formula>AND(M383&gt;=10,M383&lt;20)</formula>
    </cfRule>
    <cfRule type="expression" rank="0" priority="1533" equalAverage="0" aboveAverage="0" dxfId="2" text="" percent="0" bottom="0">
      <formula>AND(M383&gt;=5,M383&lt;10)</formula>
    </cfRule>
    <cfRule type="expression" rank="0" priority="1534" equalAverage="0" aboveAverage="0" dxfId="3" text="" percent="0" bottom="0">
      <formula>AND(M383&gt;=1,M383&lt;5)</formula>
    </cfRule>
  </conditionalFormatting>
  <conditionalFormatting sqref="M384">
    <cfRule type="expression" rank="0" priority="1535" equalAverage="0" aboveAverage="0" dxfId="0" text="" percent="0" bottom="0">
      <formula>M384&gt;=20</formula>
    </cfRule>
    <cfRule type="expression" rank="0" priority="1536" equalAverage="0" aboveAverage="0" dxfId="1" text="" percent="0" bottom="0">
      <formula>AND(M384&gt;=10,M384&lt;20)</formula>
    </cfRule>
    <cfRule type="expression" rank="0" priority="1537" equalAverage="0" aboveAverage="0" dxfId="2" text="" percent="0" bottom="0">
      <formula>AND(M384&gt;=5,M384&lt;10)</formula>
    </cfRule>
    <cfRule type="expression" rank="0" priority="1538" equalAverage="0" aboveAverage="0" dxfId="3" text="" percent="0" bottom="0">
      <formula>AND(M384&gt;=1,M384&lt;5)</formula>
    </cfRule>
  </conditionalFormatting>
  <conditionalFormatting sqref="M385">
    <cfRule type="expression" rank="0" priority="1539" equalAverage="0" aboveAverage="0" dxfId="0" text="" percent="0" bottom="0">
      <formula>M385&gt;=20</formula>
    </cfRule>
    <cfRule type="expression" rank="0" priority="1540" equalAverage="0" aboveAverage="0" dxfId="1" text="" percent="0" bottom="0">
      <formula>AND(M385&gt;=10,M385&lt;20)</formula>
    </cfRule>
    <cfRule type="expression" rank="0" priority="1541" equalAverage="0" aboveAverage="0" dxfId="2" text="" percent="0" bottom="0">
      <formula>AND(M385&gt;=5,M385&lt;10)</formula>
    </cfRule>
    <cfRule type="expression" rank="0" priority="1542" equalAverage="0" aboveAverage="0" dxfId="3" text="" percent="0" bottom="0">
      <formula>AND(M385&gt;=1,M385&lt;5)</formula>
    </cfRule>
  </conditionalFormatting>
  <conditionalFormatting sqref="M386">
    <cfRule type="expression" rank="0" priority="1543" equalAverage="0" aboveAverage="0" dxfId="0" text="" percent="0" bottom="0">
      <formula>M386&gt;=20</formula>
    </cfRule>
    <cfRule type="expression" rank="0" priority="1544" equalAverage="0" aboveAverage="0" dxfId="1" text="" percent="0" bottom="0">
      <formula>AND(M386&gt;=10,M386&lt;20)</formula>
    </cfRule>
    <cfRule type="expression" rank="0" priority="1545" equalAverage="0" aboveAverage="0" dxfId="2" text="" percent="0" bottom="0">
      <formula>AND(M386&gt;=5,M386&lt;10)</formula>
    </cfRule>
    <cfRule type="expression" rank="0" priority="1546" equalAverage="0" aboveAverage="0" dxfId="3" text="" percent="0" bottom="0">
      <formula>AND(M386&gt;=1,M386&lt;5)</formula>
    </cfRule>
  </conditionalFormatting>
  <conditionalFormatting sqref="M387">
    <cfRule type="expression" rank="0" priority="1547" equalAverage="0" aboveAverage="0" dxfId="0" text="" percent="0" bottom="0">
      <formula>M387&gt;=20</formula>
    </cfRule>
    <cfRule type="expression" rank="0" priority="1548" equalAverage="0" aboveAverage="0" dxfId="1" text="" percent="0" bottom="0">
      <formula>AND(M387&gt;=10,M387&lt;20)</formula>
    </cfRule>
    <cfRule type="expression" rank="0" priority="1549" equalAverage="0" aboveAverage="0" dxfId="2" text="" percent="0" bottom="0">
      <formula>AND(M387&gt;=5,M387&lt;10)</formula>
    </cfRule>
    <cfRule type="expression" rank="0" priority="1550" equalAverage="0" aboveAverage="0" dxfId="3" text="" percent="0" bottom="0">
      <formula>AND(M387&gt;=1,M387&lt;5)</formula>
    </cfRule>
  </conditionalFormatting>
  <conditionalFormatting sqref="M388">
    <cfRule type="expression" rank="0" priority="1551" equalAverage="0" aboveAverage="0" dxfId="0" text="" percent="0" bottom="0">
      <formula>M388&gt;=20</formula>
    </cfRule>
    <cfRule type="expression" rank="0" priority="1552" equalAverage="0" aboveAverage="0" dxfId="1" text="" percent="0" bottom="0">
      <formula>AND(M388&gt;=10,M388&lt;20)</formula>
    </cfRule>
    <cfRule type="expression" rank="0" priority="1553" equalAverage="0" aboveAverage="0" dxfId="2" text="" percent="0" bottom="0">
      <formula>AND(M388&gt;=5,M388&lt;10)</formula>
    </cfRule>
    <cfRule type="expression" rank="0" priority="1554" equalAverage="0" aboveAverage="0" dxfId="3" text="" percent="0" bottom="0">
      <formula>AND(M388&gt;=1,M388&lt;5)</formula>
    </cfRule>
  </conditionalFormatting>
  <conditionalFormatting sqref="M389">
    <cfRule type="expression" rank="0" priority="1555" equalAverage="0" aboveAverage="0" dxfId="0" text="" percent="0" bottom="0">
      <formula>M389&gt;=20</formula>
    </cfRule>
    <cfRule type="expression" rank="0" priority="1556" equalAverage="0" aboveAverage="0" dxfId="1" text="" percent="0" bottom="0">
      <formula>AND(M389&gt;=10,M389&lt;20)</formula>
    </cfRule>
    <cfRule type="expression" rank="0" priority="1557" equalAverage="0" aboveAverage="0" dxfId="2" text="" percent="0" bottom="0">
      <formula>AND(M389&gt;=5,M389&lt;10)</formula>
    </cfRule>
    <cfRule type="expression" rank="0" priority="1558" equalAverage="0" aboveAverage="0" dxfId="3" text="" percent="0" bottom="0">
      <formula>AND(M389&gt;=1,M389&lt;5)</formula>
    </cfRule>
  </conditionalFormatting>
  <conditionalFormatting sqref="M390">
    <cfRule type="expression" rank="0" priority="1559" equalAverage="0" aboveAverage="0" dxfId="0" text="" percent="0" bottom="0">
      <formula>M390&gt;=20</formula>
    </cfRule>
    <cfRule type="expression" rank="0" priority="1560" equalAverage="0" aboveAverage="0" dxfId="1" text="" percent="0" bottom="0">
      <formula>AND(M390&gt;=10,M390&lt;20)</formula>
    </cfRule>
    <cfRule type="expression" rank="0" priority="1561" equalAverage="0" aboveAverage="0" dxfId="2" text="" percent="0" bottom="0">
      <formula>AND(M390&gt;=5,M390&lt;10)</formula>
    </cfRule>
    <cfRule type="expression" rank="0" priority="1562" equalAverage="0" aboveAverage="0" dxfId="3" text="" percent="0" bottom="0">
      <formula>AND(M390&gt;=1,M390&lt;5)</formula>
    </cfRule>
  </conditionalFormatting>
  <conditionalFormatting sqref="M391">
    <cfRule type="expression" rank="0" priority="1563" equalAverage="0" aboveAverage="0" dxfId="0" text="" percent="0" bottom="0">
      <formula>M391&gt;=20</formula>
    </cfRule>
    <cfRule type="expression" rank="0" priority="1564" equalAverage="0" aboveAverage="0" dxfId="1" text="" percent="0" bottom="0">
      <formula>AND(M391&gt;=10,M391&lt;20)</formula>
    </cfRule>
    <cfRule type="expression" rank="0" priority="1565" equalAverage="0" aboveAverage="0" dxfId="2" text="" percent="0" bottom="0">
      <formula>AND(M391&gt;=5,M391&lt;10)</formula>
    </cfRule>
    <cfRule type="expression" rank="0" priority="1566" equalAverage="0" aboveAverage="0" dxfId="3" text="" percent="0" bottom="0">
      <formula>AND(M391&gt;=1,M391&lt;5)</formula>
    </cfRule>
  </conditionalFormatting>
  <conditionalFormatting sqref="M392">
    <cfRule type="expression" rank="0" priority="1567" equalAverage="0" aboveAverage="0" dxfId="0" text="" percent="0" bottom="0">
      <formula>M392&gt;=20</formula>
    </cfRule>
    <cfRule type="expression" rank="0" priority="1568" equalAverage="0" aboveAverage="0" dxfId="1" text="" percent="0" bottom="0">
      <formula>AND(M392&gt;=10,M392&lt;20)</formula>
    </cfRule>
    <cfRule type="expression" rank="0" priority="1569" equalAverage="0" aboveAverage="0" dxfId="2" text="" percent="0" bottom="0">
      <formula>AND(M392&gt;=5,M392&lt;10)</formula>
    </cfRule>
    <cfRule type="expression" rank="0" priority="1570" equalAverage="0" aboveAverage="0" dxfId="3" text="" percent="0" bottom="0">
      <formula>AND(M392&gt;=1,M392&lt;5)</formula>
    </cfRule>
  </conditionalFormatting>
  <conditionalFormatting sqref="M393">
    <cfRule type="expression" rank="0" priority="1571" equalAverage="0" aboveAverage="0" dxfId="0" text="" percent="0" bottom="0">
      <formula>M393&gt;=20</formula>
    </cfRule>
    <cfRule type="expression" rank="0" priority="1572" equalAverage="0" aboveAverage="0" dxfId="1" text="" percent="0" bottom="0">
      <formula>AND(M393&gt;=10,M393&lt;20)</formula>
    </cfRule>
    <cfRule type="expression" rank="0" priority="1573" equalAverage="0" aboveAverage="0" dxfId="2" text="" percent="0" bottom="0">
      <formula>AND(M393&gt;=5,M393&lt;10)</formula>
    </cfRule>
    <cfRule type="expression" rank="0" priority="1574" equalAverage="0" aboveAverage="0" dxfId="3" text="" percent="0" bottom="0">
      <formula>AND(M393&gt;=1,M393&lt;5)</formula>
    </cfRule>
  </conditionalFormatting>
  <conditionalFormatting sqref="M394">
    <cfRule type="expression" rank="0" priority="1575" equalAverage="0" aboveAverage="0" dxfId="0" text="" percent="0" bottom="0">
      <formula>M394&gt;=20</formula>
    </cfRule>
    <cfRule type="expression" rank="0" priority="1576" equalAverage="0" aboveAverage="0" dxfId="1" text="" percent="0" bottom="0">
      <formula>AND(M394&gt;=10,M394&lt;20)</formula>
    </cfRule>
    <cfRule type="expression" rank="0" priority="1577" equalAverage="0" aboveAverage="0" dxfId="2" text="" percent="0" bottom="0">
      <formula>AND(M394&gt;=5,M394&lt;10)</formula>
    </cfRule>
    <cfRule type="expression" rank="0" priority="1578" equalAverage="0" aboveAverage="0" dxfId="3" text="" percent="0" bottom="0">
      <formula>AND(M394&gt;=1,M394&lt;5)</formula>
    </cfRule>
  </conditionalFormatting>
  <conditionalFormatting sqref="M395">
    <cfRule type="expression" rank="0" priority="1579" equalAverage="0" aboveAverage="0" dxfId="0" text="" percent="0" bottom="0">
      <formula>M395&gt;=20</formula>
    </cfRule>
    <cfRule type="expression" rank="0" priority="1580" equalAverage="0" aboveAverage="0" dxfId="1" text="" percent="0" bottom="0">
      <formula>AND(M395&gt;=10,M395&lt;20)</formula>
    </cfRule>
    <cfRule type="expression" rank="0" priority="1581" equalAverage="0" aboveAverage="0" dxfId="2" text="" percent="0" bottom="0">
      <formula>AND(M395&gt;=5,M395&lt;10)</formula>
    </cfRule>
    <cfRule type="expression" rank="0" priority="1582" equalAverage="0" aboveAverage="0" dxfId="3" text="" percent="0" bottom="0">
      <formula>AND(M395&gt;=1,M395&lt;5)</formula>
    </cfRule>
  </conditionalFormatting>
  <conditionalFormatting sqref="M396">
    <cfRule type="expression" rank="0" priority="1583" equalAverage="0" aboveAverage="0" dxfId="0" text="" percent="0" bottom="0">
      <formula>M396&gt;=20</formula>
    </cfRule>
    <cfRule type="expression" rank="0" priority="1584" equalAverage="0" aboveAverage="0" dxfId="1" text="" percent="0" bottom="0">
      <formula>AND(M396&gt;=10,M396&lt;20)</formula>
    </cfRule>
    <cfRule type="expression" rank="0" priority="1585" equalAverage="0" aboveAverage="0" dxfId="2" text="" percent="0" bottom="0">
      <formula>AND(M396&gt;=5,M396&lt;10)</formula>
    </cfRule>
    <cfRule type="expression" rank="0" priority="1586" equalAverage="0" aboveAverage="0" dxfId="3" text="" percent="0" bottom="0">
      <formula>AND(M396&gt;=1,M396&lt;5)</formula>
    </cfRule>
  </conditionalFormatting>
  <conditionalFormatting sqref="M397">
    <cfRule type="expression" rank="0" priority="1587" equalAverage="0" aboveAverage="0" dxfId="0" text="" percent="0" bottom="0">
      <formula>M397&gt;=20</formula>
    </cfRule>
    <cfRule type="expression" rank="0" priority="1588" equalAverage="0" aboveAverage="0" dxfId="1" text="" percent="0" bottom="0">
      <formula>AND(M397&gt;=10,M397&lt;20)</formula>
    </cfRule>
    <cfRule type="expression" rank="0" priority="1589" equalAverage="0" aboveAverage="0" dxfId="2" text="" percent="0" bottom="0">
      <formula>AND(M397&gt;=5,M397&lt;10)</formula>
    </cfRule>
    <cfRule type="expression" rank="0" priority="1590" equalAverage="0" aboveAverage="0" dxfId="3" text="" percent="0" bottom="0">
      <formula>AND(M397&gt;=1,M397&lt;5)</formula>
    </cfRule>
  </conditionalFormatting>
  <conditionalFormatting sqref="M398">
    <cfRule type="expression" rank="0" priority="1591" equalAverage="0" aboveAverage="0" dxfId="0" text="" percent="0" bottom="0">
      <formula>M398&gt;=20</formula>
    </cfRule>
    <cfRule type="expression" rank="0" priority="1592" equalAverage="0" aboveAverage="0" dxfId="1" text="" percent="0" bottom="0">
      <formula>AND(M398&gt;=10,M398&lt;20)</formula>
    </cfRule>
    <cfRule type="expression" rank="0" priority="1593" equalAverage="0" aboveAverage="0" dxfId="2" text="" percent="0" bottom="0">
      <formula>AND(M398&gt;=5,M398&lt;10)</formula>
    </cfRule>
    <cfRule type="expression" rank="0" priority="1594" equalAverage="0" aboveAverage="0" dxfId="3" text="" percent="0" bottom="0">
      <formula>AND(M398&gt;=1,M398&lt;5)</formula>
    </cfRule>
  </conditionalFormatting>
  <conditionalFormatting sqref="M399">
    <cfRule type="expression" rank="0" priority="1595" equalAverage="0" aboveAverage="0" dxfId="0" text="" percent="0" bottom="0">
      <formula>M399&gt;=20</formula>
    </cfRule>
    <cfRule type="expression" rank="0" priority="1596" equalAverage="0" aboveAverage="0" dxfId="1" text="" percent="0" bottom="0">
      <formula>AND(M399&gt;=10,M399&lt;20)</formula>
    </cfRule>
    <cfRule type="expression" rank="0" priority="1597" equalAverage="0" aboveAverage="0" dxfId="2" text="" percent="0" bottom="0">
      <formula>AND(M399&gt;=5,M399&lt;10)</formula>
    </cfRule>
    <cfRule type="expression" rank="0" priority="1598" equalAverage="0" aboveAverage="0" dxfId="3" text="" percent="0" bottom="0">
      <formula>AND(M399&gt;=1,M399&lt;5)</formula>
    </cfRule>
  </conditionalFormatting>
  <conditionalFormatting sqref="M400">
    <cfRule type="expression" rank="0" priority="1599" equalAverage="0" aboveAverage="0" dxfId="0" text="" percent="0" bottom="0">
      <formula>M400&gt;=20</formula>
    </cfRule>
    <cfRule type="expression" rank="0" priority="1600" equalAverage="0" aboveAverage="0" dxfId="1" text="" percent="0" bottom="0">
      <formula>AND(M400&gt;=10,M400&lt;20)</formula>
    </cfRule>
    <cfRule type="expression" rank="0" priority="1601" equalAverage="0" aboveAverage="0" dxfId="2" text="" percent="0" bottom="0">
      <formula>AND(M400&gt;=5,M400&lt;10)</formula>
    </cfRule>
    <cfRule type="expression" rank="0" priority="1602" equalAverage="0" aboveAverage="0" dxfId="3" text="" percent="0" bottom="0">
      <formula>AND(M400&gt;=1,M400&lt;5)</formula>
    </cfRule>
  </conditionalFormatting>
  <conditionalFormatting sqref="M401">
    <cfRule type="expression" rank="0" priority="1603" equalAverage="0" aboveAverage="0" dxfId="0" text="" percent="0" bottom="0">
      <formula>M401&gt;=20</formula>
    </cfRule>
    <cfRule type="expression" rank="0" priority="1604" equalAverage="0" aboveAverage="0" dxfId="1" text="" percent="0" bottom="0">
      <formula>AND(M401&gt;=10,M401&lt;20)</formula>
    </cfRule>
    <cfRule type="expression" rank="0" priority="1605" equalAverage="0" aboveAverage="0" dxfId="2" text="" percent="0" bottom="0">
      <formula>AND(M401&gt;=5,M401&lt;10)</formula>
    </cfRule>
    <cfRule type="expression" rank="0" priority="1606" equalAverage="0" aboveAverage="0" dxfId="3" text="" percent="0" bottom="0">
      <formula>AND(M401&gt;=1,M401&lt;5)</formula>
    </cfRule>
  </conditionalFormatting>
  <conditionalFormatting sqref="M402">
    <cfRule type="expression" rank="0" priority="1607" equalAverage="0" aboveAverage="0" dxfId="0" text="" percent="0" bottom="0">
      <formula>M402&gt;=20</formula>
    </cfRule>
    <cfRule type="expression" rank="0" priority="1608" equalAverage="0" aboveAverage="0" dxfId="1" text="" percent="0" bottom="0">
      <formula>AND(M402&gt;=10,M402&lt;20)</formula>
    </cfRule>
    <cfRule type="expression" rank="0" priority="1609" equalAverage="0" aboveAverage="0" dxfId="2" text="" percent="0" bottom="0">
      <formula>AND(M402&gt;=5,M402&lt;10)</formula>
    </cfRule>
    <cfRule type="expression" rank="0" priority="1610" equalAverage="0" aboveAverage="0" dxfId="3" text="" percent="0" bottom="0">
      <formula>AND(M402&gt;=1,M402&lt;5)</formula>
    </cfRule>
  </conditionalFormatting>
  <conditionalFormatting sqref="M403">
    <cfRule type="expression" rank="0" priority="1611" equalAverage="0" aboveAverage="0" dxfId="0" text="" percent="0" bottom="0">
      <formula>M403&gt;=20</formula>
    </cfRule>
    <cfRule type="expression" rank="0" priority="1612" equalAverage="0" aboveAverage="0" dxfId="1" text="" percent="0" bottom="0">
      <formula>AND(M403&gt;=10,M403&lt;20)</formula>
    </cfRule>
    <cfRule type="expression" rank="0" priority="1613" equalAverage="0" aboveAverage="0" dxfId="2" text="" percent="0" bottom="0">
      <formula>AND(M403&gt;=5,M403&lt;10)</formula>
    </cfRule>
    <cfRule type="expression" rank="0" priority="1614" equalAverage="0" aboveAverage="0" dxfId="3" text="" percent="0" bottom="0">
      <formula>AND(M403&gt;=1,M403&lt;5)</formula>
    </cfRule>
  </conditionalFormatting>
  <conditionalFormatting sqref="M404">
    <cfRule type="expression" rank="0" priority="1615" equalAverage="0" aboveAverage="0" dxfId="0" text="" percent="0" bottom="0">
      <formula>M404&gt;=20</formula>
    </cfRule>
    <cfRule type="expression" rank="0" priority="1616" equalAverage="0" aboveAverage="0" dxfId="1" text="" percent="0" bottom="0">
      <formula>AND(M404&gt;=10,M404&lt;20)</formula>
    </cfRule>
    <cfRule type="expression" rank="0" priority="1617" equalAverage="0" aboveAverage="0" dxfId="2" text="" percent="0" bottom="0">
      <formula>AND(M404&gt;=5,M404&lt;10)</formula>
    </cfRule>
    <cfRule type="expression" rank="0" priority="1618" equalAverage="0" aboveAverage="0" dxfId="3" text="" percent="0" bottom="0">
      <formula>AND(M404&gt;=1,M404&lt;5)</formula>
    </cfRule>
  </conditionalFormatting>
  <conditionalFormatting sqref="M405">
    <cfRule type="expression" rank="0" priority="1619" equalAverage="0" aboveAverage="0" dxfId="0" text="" percent="0" bottom="0">
      <formula>M405&gt;=20</formula>
    </cfRule>
    <cfRule type="expression" rank="0" priority="1620" equalAverage="0" aboveAverage="0" dxfId="1" text="" percent="0" bottom="0">
      <formula>AND(M405&gt;=10,M405&lt;20)</formula>
    </cfRule>
    <cfRule type="expression" rank="0" priority="1621" equalAverage="0" aboveAverage="0" dxfId="2" text="" percent="0" bottom="0">
      <formula>AND(M405&gt;=5,M405&lt;10)</formula>
    </cfRule>
    <cfRule type="expression" rank="0" priority="1622" equalAverage="0" aboveAverage="0" dxfId="3" text="" percent="0" bottom="0">
      <formula>AND(M405&gt;=1,M405&lt;5)</formula>
    </cfRule>
  </conditionalFormatting>
  <conditionalFormatting sqref="M406">
    <cfRule type="expression" rank="0" priority="1623" equalAverage="0" aboveAverage="0" dxfId="0" text="" percent="0" bottom="0">
      <formula>M406&gt;=20</formula>
    </cfRule>
    <cfRule type="expression" rank="0" priority="1624" equalAverage="0" aboveAverage="0" dxfId="1" text="" percent="0" bottom="0">
      <formula>AND(M406&gt;=10,M406&lt;20)</formula>
    </cfRule>
    <cfRule type="expression" rank="0" priority="1625" equalAverage="0" aboveAverage="0" dxfId="2" text="" percent="0" bottom="0">
      <formula>AND(M406&gt;=5,M406&lt;10)</formula>
    </cfRule>
    <cfRule type="expression" rank="0" priority="1626" equalAverage="0" aboveAverage="0" dxfId="3" text="" percent="0" bottom="0">
      <formula>AND(M406&gt;=1,M406&lt;5)</formula>
    </cfRule>
  </conditionalFormatting>
  <conditionalFormatting sqref="M407">
    <cfRule type="expression" rank="0" priority="1627" equalAverage="0" aboveAverage="0" dxfId="0" text="" percent="0" bottom="0">
      <formula>M407&gt;=20</formula>
    </cfRule>
    <cfRule type="expression" rank="0" priority="1628" equalAverage="0" aboveAverage="0" dxfId="1" text="" percent="0" bottom="0">
      <formula>AND(M407&gt;=10,M407&lt;20)</formula>
    </cfRule>
    <cfRule type="expression" rank="0" priority="1629" equalAverage="0" aboveAverage="0" dxfId="2" text="" percent="0" bottom="0">
      <formula>AND(M407&gt;=5,M407&lt;10)</formula>
    </cfRule>
    <cfRule type="expression" rank="0" priority="1630" equalAverage="0" aboveAverage="0" dxfId="3" text="" percent="0" bottom="0">
      <formula>AND(M407&gt;=1,M407&lt;5)</formula>
    </cfRule>
  </conditionalFormatting>
  <conditionalFormatting sqref="M408">
    <cfRule type="expression" rank="0" priority="1631" equalAverage="0" aboveAverage="0" dxfId="0" text="" percent="0" bottom="0">
      <formula>M408&gt;=20</formula>
    </cfRule>
    <cfRule type="expression" rank="0" priority="1632" equalAverage="0" aboveAverage="0" dxfId="1" text="" percent="0" bottom="0">
      <formula>AND(M408&gt;=10,M408&lt;20)</formula>
    </cfRule>
    <cfRule type="expression" rank="0" priority="1633" equalAverage="0" aboveAverage="0" dxfId="2" text="" percent="0" bottom="0">
      <formula>AND(M408&gt;=5,M408&lt;10)</formula>
    </cfRule>
    <cfRule type="expression" rank="0" priority="1634" equalAverage="0" aboveAverage="0" dxfId="3" text="" percent="0" bottom="0">
      <formula>AND(M408&gt;=1,M408&lt;5)</formula>
    </cfRule>
  </conditionalFormatting>
  <conditionalFormatting sqref="M409">
    <cfRule type="expression" rank="0" priority="1635" equalAverage="0" aboveAverage="0" dxfId="0" text="" percent="0" bottom="0">
      <formula>M409&gt;=20</formula>
    </cfRule>
    <cfRule type="expression" rank="0" priority="1636" equalAverage="0" aboveAverage="0" dxfId="1" text="" percent="0" bottom="0">
      <formula>AND(M409&gt;=10,M409&lt;20)</formula>
    </cfRule>
    <cfRule type="expression" rank="0" priority="1637" equalAverage="0" aboveAverage="0" dxfId="2" text="" percent="0" bottom="0">
      <formula>AND(M409&gt;=5,M409&lt;10)</formula>
    </cfRule>
    <cfRule type="expression" rank="0" priority="1638" equalAverage="0" aboveAverage="0" dxfId="3" text="" percent="0" bottom="0">
      <formula>AND(M409&gt;=1,M409&lt;5)</formula>
    </cfRule>
  </conditionalFormatting>
  <conditionalFormatting sqref="M410">
    <cfRule type="expression" rank="0" priority="1639" equalAverage="0" aboveAverage="0" dxfId="0" text="" percent="0" bottom="0">
      <formula>M410&gt;=20</formula>
    </cfRule>
    <cfRule type="expression" rank="0" priority="1640" equalAverage="0" aboveAverage="0" dxfId="1" text="" percent="0" bottom="0">
      <formula>AND(M410&gt;=10,M410&lt;20)</formula>
    </cfRule>
    <cfRule type="expression" rank="0" priority="1641" equalAverage="0" aboveAverage="0" dxfId="2" text="" percent="0" bottom="0">
      <formula>AND(M410&gt;=5,M410&lt;10)</formula>
    </cfRule>
    <cfRule type="expression" rank="0" priority="1642" equalAverage="0" aboveAverage="0" dxfId="3" text="" percent="0" bottom="0">
      <formula>AND(M410&gt;=1,M410&lt;5)</formula>
    </cfRule>
  </conditionalFormatting>
  <conditionalFormatting sqref="M411">
    <cfRule type="expression" rank="0" priority="1643" equalAverage="0" aboveAverage="0" dxfId="0" text="" percent="0" bottom="0">
      <formula>M411&gt;=20</formula>
    </cfRule>
    <cfRule type="expression" rank="0" priority="1644" equalAverage="0" aboveAverage="0" dxfId="1" text="" percent="0" bottom="0">
      <formula>AND(M411&gt;=10,M411&lt;20)</formula>
    </cfRule>
    <cfRule type="expression" rank="0" priority="1645" equalAverage="0" aboveAverage="0" dxfId="2" text="" percent="0" bottom="0">
      <formula>AND(M411&gt;=5,M411&lt;10)</formula>
    </cfRule>
    <cfRule type="expression" rank="0" priority="1646" equalAverage="0" aboveAverage="0" dxfId="3" text="" percent="0" bottom="0">
      <formula>AND(M411&gt;=1,M411&lt;5)</formula>
    </cfRule>
  </conditionalFormatting>
  <conditionalFormatting sqref="M412">
    <cfRule type="expression" rank="0" priority="1647" equalAverage="0" aboveAverage="0" dxfId="0" text="" percent="0" bottom="0">
      <formula>M412&gt;=20</formula>
    </cfRule>
    <cfRule type="expression" rank="0" priority="1648" equalAverage="0" aboveAverage="0" dxfId="1" text="" percent="0" bottom="0">
      <formula>AND(M412&gt;=10,M412&lt;20)</formula>
    </cfRule>
    <cfRule type="expression" rank="0" priority="1649" equalAverage="0" aboveAverage="0" dxfId="2" text="" percent="0" bottom="0">
      <formula>AND(M412&gt;=5,M412&lt;10)</formula>
    </cfRule>
    <cfRule type="expression" rank="0" priority="1650" equalAverage="0" aboveAverage="0" dxfId="3" text="" percent="0" bottom="0">
      <formula>AND(M412&gt;=1,M412&lt;5)</formula>
    </cfRule>
  </conditionalFormatting>
  <conditionalFormatting sqref="M413">
    <cfRule type="expression" rank="0" priority="1651" equalAverage="0" aboveAverage="0" dxfId="0" text="" percent="0" bottom="0">
      <formula>M413&gt;=20</formula>
    </cfRule>
    <cfRule type="expression" rank="0" priority="1652" equalAverage="0" aboveAverage="0" dxfId="1" text="" percent="0" bottom="0">
      <formula>AND(M413&gt;=10,M413&lt;20)</formula>
    </cfRule>
    <cfRule type="expression" rank="0" priority="1653" equalAverage="0" aboveAverage="0" dxfId="2" text="" percent="0" bottom="0">
      <formula>AND(M413&gt;=5,M413&lt;10)</formula>
    </cfRule>
    <cfRule type="expression" rank="0" priority="1654" equalAverage="0" aboveAverage="0" dxfId="3" text="" percent="0" bottom="0">
      <formula>AND(M413&gt;=1,M413&lt;5)</formula>
    </cfRule>
  </conditionalFormatting>
  <conditionalFormatting sqref="M414">
    <cfRule type="expression" rank="0" priority="1655" equalAverage="0" aboveAverage="0" dxfId="0" text="" percent="0" bottom="0">
      <formula>M414&gt;=20</formula>
    </cfRule>
    <cfRule type="expression" rank="0" priority="1656" equalAverage="0" aboveAverage="0" dxfId="1" text="" percent="0" bottom="0">
      <formula>AND(M414&gt;=10,M414&lt;20)</formula>
    </cfRule>
    <cfRule type="expression" rank="0" priority="1657" equalAverage="0" aboveAverage="0" dxfId="2" text="" percent="0" bottom="0">
      <formula>AND(M414&gt;=5,M414&lt;10)</formula>
    </cfRule>
    <cfRule type="expression" rank="0" priority="1658" equalAverage="0" aboveAverage="0" dxfId="3" text="" percent="0" bottom="0">
      <formula>AND(M414&gt;=1,M414&lt;5)</formula>
    </cfRule>
  </conditionalFormatting>
  <conditionalFormatting sqref="M415">
    <cfRule type="expression" rank="0" priority="1659" equalAverage="0" aboveAverage="0" dxfId="0" text="" percent="0" bottom="0">
      <formula>M415&gt;=20</formula>
    </cfRule>
    <cfRule type="expression" rank="0" priority="1660" equalAverage="0" aboveAverage="0" dxfId="1" text="" percent="0" bottom="0">
      <formula>AND(M415&gt;=10,M415&lt;20)</formula>
    </cfRule>
    <cfRule type="expression" rank="0" priority="1661" equalAverage="0" aboveAverage="0" dxfId="2" text="" percent="0" bottom="0">
      <formula>AND(M415&gt;=5,M415&lt;10)</formula>
    </cfRule>
    <cfRule type="expression" rank="0" priority="1662" equalAverage="0" aboveAverage="0" dxfId="3" text="" percent="0" bottom="0">
      <formula>AND(M415&gt;=1,M415&lt;5)</formula>
    </cfRule>
  </conditionalFormatting>
  <conditionalFormatting sqref="M416">
    <cfRule type="expression" rank="0" priority="1663" equalAverage="0" aboveAverage="0" dxfId="0" text="" percent="0" bottom="0">
      <formula>M416&gt;=20</formula>
    </cfRule>
    <cfRule type="expression" rank="0" priority="1664" equalAverage="0" aboveAverage="0" dxfId="1" text="" percent="0" bottom="0">
      <formula>AND(M416&gt;=10,M416&lt;20)</formula>
    </cfRule>
    <cfRule type="expression" rank="0" priority="1665" equalAverage="0" aboveAverage="0" dxfId="2" text="" percent="0" bottom="0">
      <formula>AND(M416&gt;=5,M416&lt;10)</formula>
    </cfRule>
    <cfRule type="expression" rank="0" priority="1666" equalAverage="0" aboveAverage="0" dxfId="3" text="" percent="0" bottom="0">
      <formula>AND(M416&gt;=1,M416&lt;5)</formula>
    </cfRule>
  </conditionalFormatting>
  <conditionalFormatting sqref="M417">
    <cfRule type="expression" rank="0" priority="1667" equalAverage="0" aboveAverage="0" dxfId="0" text="" percent="0" bottom="0">
      <formula>M417&gt;=20</formula>
    </cfRule>
    <cfRule type="expression" rank="0" priority="1668" equalAverage="0" aboveAverage="0" dxfId="1" text="" percent="0" bottom="0">
      <formula>AND(M417&gt;=10,M417&lt;20)</formula>
    </cfRule>
    <cfRule type="expression" rank="0" priority="1669" equalAverage="0" aboveAverage="0" dxfId="2" text="" percent="0" bottom="0">
      <formula>AND(M417&gt;=5,M417&lt;10)</formula>
    </cfRule>
    <cfRule type="expression" rank="0" priority="1670" equalAverage="0" aboveAverage="0" dxfId="3" text="" percent="0" bottom="0">
      <formula>AND(M417&gt;=1,M417&lt;5)</formula>
    </cfRule>
  </conditionalFormatting>
  <conditionalFormatting sqref="M418">
    <cfRule type="expression" rank="0" priority="1671" equalAverage="0" aboveAverage="0" dxfId="0" text="" percent="0" bottom="0">
      <formula>M418&gt;=20</formula>
    </cfRule>
    <cfRule type="expression" rank="0" priority="1672" equalAverage="0" aboveAverage="0" dxfId="1" text="" percent="0" bottom="0">
      <formula>AND(M418&gt;=10,M418&lt;20)</formula>
    </cfRule>
    <cfRule type="expression" rank="0" priority="1673" equalAverage="0" aboveAverage="0" dxfId="2" text="" percent="0" bottom="0">
      <formula>AND(M418&gt;=5,M418&lt;10)</formula>
    </cfRule>
    <cfRule type="expression" rank="0" priority="1674" equalAverage="0" aboveAverage="0" dxfId="3" text="" percent="0" bottom="0">
      <formula>AND(M418&gt;=1,M418&lt;5)</formula>
    </cfRule>
  </conditionalFormatting>
  <conditionalFormatting sqref="M419">
    <cfRule type="expression" rank="0" priority="1675" equalAverage="0" aboveAverage="0" dxfId="0" text="" percent="0" bottom="0">
      <formula>M419&gt;=20</formula>
    </cfRule>
    <cfRule type="expression" rank="0" priority="1676" equalAverage="0" aboveAverage="0" dxfId="1" text="" percent="0" bottom="0">
      <formula>AND(M419&gt;=10,M419&lt;20)</formula>
    </cfRule>
    <cfRule type="expression" rank="0" priority="1677" equalAverage="0" aboveAverage="0" dxfId="2" text="" percent="0" bottom="0">
      <formula>AND(M419&gt;=5,M419&lt;10)</formula>
    </cfRule>
    <cfRule type="expression" rank="0" priority="1678" equalAverage="0" aboveAverage="0" dxfId="3" text="" percent="0" bottom="0">
      <formula>AND(M419&gt;=1,M419&lt;5)</formula>
    </cfRule>
  </conditionalFormatting>
  <conditionalFormatting sqref="M420">
    <cfRule type="expression" rank="0" priority="1679" equalAverage="0" aboveAverage="0" dxfId="0" text="" percent="0" bottom="0">
      <formula>M420&gt;=20</formula>
    </cfRule>
    <cfRule type="expression" rank="0" priority="1680" equalAverage="0" aboveAverage="0" dxfId="1" text="" percent="0" bottom="0">
      <formula>AND(M420&gt;=10,M420&lt;20)</formula>
    </cfRule>
    <cfRule type="expression" rank="0" priority="1681" equalAverage="0" aboveAverage="0" dxfId="2" text="" percent="0" bottom="0">
      <formula>AND(M420&gt;=5,M420&lt;10)</formula>
    </cfRule>
    <cfRule type="expression" rank="0" priority="1682" equalAverage="0" aboveAverage="0" dxfId="3" text="" percent="0" bottom="0">
      <formula>AND(M420&gt;=1,M420&lt;5)</formula>
    </cfRule>
  </conditionalFormatting>
  <conditionalFormatting sqref="M421">
    <cfRule type="expression" rank="0" priority="1683" equalAverage="0" aboveAverage="0" dxfId="0" text="" percent="0" bottom="0">
      <formula>M421&gt;=20</formula>
    </cfRule>
    <cfRule type="expression" rank="0" priority="1684" equalAverage="0" aboveAverage="0" dxfId="1" text="" percent="0" bottom="0">
      <formula>AND(M421&gt;=10,M421&lt;20)</formula>
    </cfRule>
    <cfRule type="expression" rank="0" priority="1685" equalAverage="0" aboveAverage="0" dxfId="2" text="" percent="0" bottom="0">
      <formula>AND(M421&gt;=5,M421&lt;10)</formula>
    </cfRule>
    <cfRule type="expression" rank="0" priority="1686" equalAverage="0" aboveAverage="0" dxfId="3" text="" percent="0" bottom="0">
      <formula>AND(M421&gt;=1,M421&lt;5)</formula>
    </cfRule>
  </conditionalFormatting>
  <conditionalFormatting sqref="M422">
    <cfRule type="expression" rank="0" priority="1687" equalAverage="0" aboveAverage="0" dxfId="0" text="" percent="0" bottom="0">
      <formula>M422&gt;=20</formula>
    </cfRule>
    <cfRule type="expression" rank="0" priority="1688" equalAverage="0" aboveAverage="0" dxfId="1" text="" percent="0" bottom="0">
      <formula>AND(M422&gt;=10,M422&lt;20)</formula>
    </cfRule>
    <cfRule type="expression" rank="0" priority="1689" equalAverage="0" aboveAverage="0" dxfId="2" text="" percent="0" bottom="0">
      <formula>AND(M422&gt;=5,M422&lt;10)</formula>
    </cfRule>
    <cfRule type="expression" rank="0" priority="1690" equalAverage="0" aboveAverage="0" dxfId="3" text="" percent="0" bottom="0">
      <formula>AND(M422&gt;=1,M422&lt;5)</formula>
    </cfRule>
  </conditionalFormatting>
  <conditionalFormatting sqref="M423">
    <cfRule type="expression" rank="0" priority="1691" equalAverage="0" aboveAverage="0" dxfId="0" text="" percent="0" bottom="0">
      <formula>M423&gt;=20</formula>
    </cfRule>
    <cfRule type="expression" rank="0" priority="1692" equalAverage="0" aboveAverage="0" dxfId="1" text="" percent="0" bottom="0">
      <formula>AND(M423&gt;=10,M423&lt;20)</formula>
    </cfRule>
    <cfRule type="expression" rank="0" priority="1693" equalAverage="0" aboveAverage="0" dxfId="2" text="" percent="0" bottom="0">
      <formula>AND(M423&gt;=5,M423&lt;10)</formula>
    </cfRule>
    <cfRule type="expression" rank="0" priority="1694" equalAverage="0" aboveAverage="0" dxfId="3" text="" percent="0" bottom="0">
      <formula>AND(M423&gt;=1,M423&lt;5)</formula>
    </cfRule>
  </conditionalFormatting>
  <conditionalFormatting sqref="M424">
    <cfRule type="expression" rank="0" priority="1695" equalAverage="0" aboveAverage="0" dxfId="0" text="" percent="0" bottom="0">
      <formula>M424&gt;=20</formula>
    </cfRule>
    <cfRule type="expression" rank="0" priority="1696" equalAverage="0" aboveAverage="0" dxfId="1" text="" percent="0" bottom="0">
      <formula>AND(M424&gt;=10,M424&lt;20)</formula>
    </cfRule>
    <cfRule type="expression" rank="0" priority="1697" equalAverage="0" aboveAverage="0" dxfId="2" text="" percent="0" bottom="0">
      <formula>AND(M424&gt;=5,M424&lt;10)</formula>
    </cfRule>
    <cfRule type="expression" rank="0" priority="1698" equalAverage="0" aboveAverage="0" dxfId="3" text="" percent="0" bottom="0">
      <formula>AND(M424&gt;=1,M424&lt;5)</formula>
    </cfRule>
  </conditionalFormatting>
  <conditionalFormatting sqref="M425">
    <cfRule type="expression" rank="0" priority="1699" equalAverage="0" aboveAverage="0" dxfId="0" text="" percent="0" bottom="0">
      <formula>M425&gt;=20</formula>
    </cfRule>
    <cfRule type="expression" rank="0" priority="1700" equalAverage="0" aboveAverage="0" dxfId="1" text="" percent="0" bottom="0">
      <formula>AND(M425&gt;=10,M425&lt;20)</formula>
    </cfRule>
    <cfRule type="expression" rank="0" priority="1701" equalAverage="0" aboveAverage="0" dxfId="2" text="" percent="0" bottom="0">
      <formula>AND(M425&gt;=5,M425&lt;10)</formula>
    </cfRule>
    <cfRule type="expression" rank="0" priority="1702" equalAverage="0" aboveAverage="0" dxfId="3" text="" percent="0" bottom="0">
      <formula>AND(M425&gt;=1,M425&lt;5)</formula>
    </cfRule>
  </conditionalFormatting>
  <conditionalFormatting sqref="M426">
    <cfRule type="expression" rank="0" priority="1703" equalAverage="0" aboveAverage="0" dxfId="0" text="" percent="0" bottom="0">
      <formula>M426&gt;=20</formula>
    </cfRule>
    <cfRule type="expression" rank="0" priority="1704" equalAverage="0" aboveAverage="0" dxfId="1" text="" percent="0" bottom="0">
      <formula>AND(M426&gt;=10,M426&lt;20)</formula>
    </cfRule>
    <cfRule type="expression" rank="0" priority="1705" equalAverage="0" aboveAverage="0" dxfId="2" text="" percent="0" bottom="0">
      <formula>AND(M426&gt;=5,M426&lt;10)</formula>
    </cfRule>
    <cfRule type="expression" rank="0" priority="1706" equalAverage="0" aboveAverage="0" dxfId="3" text="" percent="0" bottom="0">
      <formula>AND(M426&gt;=1,M426&lt;5)</formula>
    </cfRule>
  </conditionalFormatting>
  <conditionalFormatting sqref="M427">
    <cfRule type="expression" rank="0" priority="1707" equalAverage="0" aboveAverage="0" dxfId="0" text="" percent="0" bottom="0">
      <formula>M427&gt;=20</formula>
    </cfRule>
    <cfRule type="expression" rank="0" priority="1708" equalAverage="0" aboveAverage="0" dxfId="1" text="" percent="0" bottom="0">
      <formula>AND(M427&gt;=10,M427&lt;20)</formula>
    </cfRule>
    <cfRule type="expression" rank="0" priority="1709" equalAverage="0" aboveAverage="0" dxfId="2" text="" percent="0" bottom="0">
      <formula>AND(M427&gt;=5,M427&lt;10)</formula>
    </cfRule>
    <cfRule type="expression" rank="0" priority="1710" equalAverage="0" aboveAverage="0" dxfId="3" text="" percent="0" bottom="0">
      <formula>AND(M427&gt;=1,M427&lt;5)</formula>
    </cfRule>
  </conditionalFormatting>
  <conditionalFormatting sqref="M428">
    <cfRule type="expression" rank="0" priority="1711" equalAverage="0" aboveAverage="0" dxfId="0" text="" percent="0" bottom="0">
      <formula>M428&gt;=20</formula>
    </cfRule>
    <cfRule type="expression" rank="0" priority="1712" equalAverage="0" aboveAverage="0" dxfId="1" text="" percent="0" bottom="0">
      <formula>AND(M428&gt;=10,M428&lt;20)</formula>
    </cfRule>
    <cfRule type="expression" rank="0" priority="1713" equalAverage="0" aboveAverage="0" dxfId="2" text="" percent="0" bottom="0">
      <formula>AND(M428&gt;=5,M428&lt;10)</formula>
    </cfRule>
    <cfRule type="expression" rank="0" priority="1714" equalAverage="0" aboveAverage="0" dxfId="3" text="" percent="0" bottom="0">
      <formula>AND(M428&gt;=1,M428&lt;5)</formula>
    </cfRule>
  </conditionalFormatting>
  <conditionalFormatting sqref="M429">
    <cfRule type="expression" rank="0" priority="1715" equalAverage="0" aboveAverage="0" dxfId="0" text="" percent="0" bottom="0">
      <formula>M429&gt;=20</formula>
    </cfRule>
    <cfRule type="expression" rank="0" priority="1716" equalAverage="0" aboveAverage="0" dxfId="1" text="" percent="0" bottom="0">
      <formula>AND(M429&gt;=10,M429&lt;20)</formula>
    </cfRule>
    <cfRule type="expression" rank="0" priority="1717" equalAverage="0" aboveAverage="0" dxfId="2" text="" percent="0" bottom="0">
      <formula>AND(M429&gt;=5,M429&lt;10)</formula>
    </cfRule>
    <cfRule type="expression" rank="0" priority="1718" equalAverage="0" aboveAverage="0" dxfId="3" text="" percent="0" bottom="0">
      <formula>AND(M429&gt;=1,M429&lt;5)</formula>
    </cfRule>
  </conditionalFormatting>
  <conditionalFormatting sqref="M430">
    <cfRule type="expression" rank="0" priority="1719" equalAverage="0" aboveAverage="0" dxfId="0" text="" percent="0" bottom="0">
      <formula>M430&gt;=20</formula>
    </cfRule>
    <cfRule type="expression" rank="0" priority="1720" equalAverage="0" aboveAverage="0" dxfId="1" text="" percent="0" bottom="0">
      <formula>AND(M430&gt;=10,M430&lt;20)</formula>
    </cfRule>
    <cfRule type="expression" rank="0" priority="1721" equalAverage="0" aboveAverage="0" dxfId="2" text="" percent="0" bottom="0">
      <formula>AND(M430&gt;=5,M430&lt;10)</formula>
    </cfRule>
    <cfRule type="expression" rank="0" priority="1722" equalAverage="0" aboveAverage="0" dxfId="3" text="" percent="0" bottom="0">
      <formula>AND(M430&gt;=1,M430&lt;5)</formula>
    </cfRule>
  </conditionalFormatting>
  <conditionalFormatting sqref="M431">
    <cfRule type="expression" rank="0" priority="1723" equalAverage="0" aboveAverage="0" dxfId="0" text="" percent="0" bottom="0">
      <formula>M431&gt;=20</formula>
    </cfRule>
    <cfRule type="expression" rank="0" priority="1724" equalAverage="0" aboveAverage="0" dxfId="1" text="" percent="0" bottom="0">
      <formula>AND(M431&gt;=10,M431&lt;20)</formula>
    </cfRule>
    <cfRule type="expression" rank="0" priority="1725" equalAverage="0" aboveAverage="0" dxfId="2" text="" percent="0" bottom="0">
      <formula>AND(M431&gt;=5,M431&lt;10)</formula>
    </cfRule>
    <cfRule type="expression" rank="0" priority="1726" equalAverage="0" aboveAverage="0" dxfId="3" text="" percent="0" bottom="0">
      <formula>AND(M431&gt;=1,M431&lt;5)</formula>
    </cfRule>
  </conditionalFormatting>
  <conditionalFormatting sqref="M432">
    <cfRule type="expression" rank="0" priority="1727" equalAverage="0" aboveAverage="0" dxfId="0" text="" percent="0" bottom="0">
      <formula>M432&gt;=20</formula>
    </cfRule>
    <cfRule type="expression" rank="0" priority="1728" equalAverage="0" aboveAverage="0" dxfId="1" text="" percent="0" bottom="0">
      <formula>AND(M432&gt;=10,M432&lt;20)</formula>
    </cfRule>
    <cfRule type="expression" rank="0" priority="1729" equalAverage="0" aboveAverage="0" dxfId="2" text="" percent="0" bottom="0">
      <formula>AND(M432&gt;=5,M432&lt;10)</formula>
    </cfRule>
    <cfRule type="expression" rank="0" priority="1730" equalAverage="0" aboveAverage="0" dxfId="3" text="" percent="0" bottom="0">
      <formula>AND(M432&gt;=1,M432&lt;5)</formula>
    </cfRule>
  </conditionalFormatting>
  <conditionalFormatting sqref="M433">
    <cfRule type="expression" rank="0" priority="1731" equalAverage="0" aboveAverage="0" dxfId="0" text="" percent="0" bottom="0">
      <formula>M433&gt;=20</formula>
    </cfRule>
    <cfRule type="expression" rank="0" priority="1732" equalAverage="0" aboveAverage="0" dxfId="1" text="" percent="0" bottom="0">
      <formula>AND(M433&gt;=10,M433&lt;20)</formula>
    </cfRule>
    <cfRule type="expression" rank="0" priority="1733" equalAverage="0" aboveAverage="0" dxfId="2" text="" percent="0" bottom="0">
      <formula>AND(M433&gt;=5,M433&lt;10)</formula>
    </cfRule>
    <cfRule type="expression" rank="0" priority="1734" equalAverage="0" aboveAverage="0" dxfId="3" text="" percent="0" bottom="0">
      <formula>AND(M433&gt;=1,M433&lt;5)</formula>
    </cfRule>
  </conditionalFormatting>
  <conditionalFormatting sqref="M434">
    <cfRule type="expression" rank="0" priority="1735" equalAverage="0" aboveAverage="0" dxfId="0" text="" percent="0" bottom="0">
      <formula>M434&gt;=20</formula>
    </cfRule>
    <cfRule type="expression" rank="0" priority="1736" equalAverage="0" aboveAverage="0" dxfId="1" text="" percent="0" bottom="0">
      <formula>AND(M434&gt;=10,M434&lt;20)</formula>
    </cfRule>
    <cfRule type="expression" rank="0" priority="1737" equalAverage="0" aboveAverage="0" dxfId="2" text="" percent="0" bottom="0">
      <formula>AND(M434&gt;=5,M434&lt;10)</formula>
    </cfRule>
    <cfRule type="expression" rank="0" priority="1738" equalAverage="0" aboveAverage="0" dxfId="3" text="" percent="0" bottom="0">
      <formula>AND(M434&gt;=1,M434&lt;5)</formula>
    </cfRule>
  </conditionalFormatting>
  <conditionalFormatting sqref="M435">
    <cfRule type="expression" rank="0" priority="1739" equalAverage="0" aboveAverage="0" dxfId="0" text="" percent="0" bottom="0">
      <formula>M435&gt;=20</formula>
    </cfRule>
    <cfRule type="expression" rank="0" priority="1740" equalAverage="0" aboveAverage="0" dxfId="1" text="" percent="0" bottom="0">
      <formula>AND(M435&gt;=10,M435&lt;20)</formula>
    </cfRule>
    <cfRule type="expression" rank="0" priority="1741" equalAverage="0" aboveAverage="0" dxfId="2" text="" percent="0" bottom="0">
      <formula>AND(M435&gt;=5,M435&lt;10)</formula>
    </cfRule>
    <cfRule type="expression" rank="0" priority="1742" equalAverage="0" aboveAverage="0" dxfId="3" text="" percent="0" bottom="0">
      <formula>AND(M435&gt;=1,M435&lt;5)</formula>
    </cfRule>
  </conditionalFormatting>
  <conditionalFormatting sqref="M436">
    <cfRule type="expression" rank="0" priority="1743" equalAverage="0" aboveAverage="0" dxfId="0" text="" percent="0" bottom="0">
      <formula>M436&gt;=20</formula>
    </cfRule>
    <cfRule type="expression" rank="0" priority="1744" equalAverage="0" aboveAverage="0" dxfId="1" text="" percent="0" bottom="0">
      <formula>AND(M436&gt;=10,M436&lt;20)</formula>
    </cfRule>
    <cfRule type="expression" rank="0" priority="1745" equalAverage="0" aboveAverage="0" dxfId="2" text="" percent="0" bottom="0">
      <formula>AND(M436&gt;=5,M436&lt;10)</formula>
    </cfRule>
    <cfRule type="expression" rank="0" priority="1746" equalAverage="0" aboveAverage="0" dxfId="3" text="" percent="0" bottom="0">
      <formula>AND(M436&gt;=1,M436&lt;5)</formula>
    </cfRule>
  </conditionalFormatting>
  <conditionalFormatting sqref="M437">
    <cfRule type="expression" rank="0" priority="1747" equalAverage="0" aboveAverage="0" dxfId="0" text="" percent="0" bottom="0">
      <formula>M437&gt;=20</formula>
    </cfRule>
    <cfRule type="expression" rank="0" priority="1748" equalAverage="0" aboveAverage="0" dxfId="1" text="" percent="0" bottom="0">
      <formula>AND(M437&gt;=10,M437&lt;20)</formula>
    </cfRule>
    <cfRule type="expression" rank="0" priority="1749" equalAverage="0" aboveAverage="0" dxfId="2" text="" percent="0" bottom="0">
      <formula>AND(M437&gt;=5,M437&lt;10)</formula>
    </cfRule>
    <cfRule type="expression" rank="0" priority="1750" equalAverage="0" aboveAverage="0" dxfId="3" text="" percent="0" bottom="0">
      <formula>AND(M437&gt;=1,M437&lt;5)</formula>
    </cfRule>
  </conditionalFormatting>
  <conditionalFormatting sqref="M438">
    <cfRule type="expression" rank="0" priority="1751" equalAverage="0" aboveAverage="0" dxfId="0" text="" percent="0" bottom="0">
      <formula>M438&gt;=20</formula>
    </cfRule>
    <cfRule type="expression" rank="0" priority="1752" equalAverage="0" aboveAverage="0" dxfId="1" text="" percent="0" bottom="0">
      <formula>AND(M438&gt;=10,M438&lt;20)</formula>
    </cfRule>
    <cfRule type="expression" rank="0" priority="1753" equalAverage="0" aboveAverage="0" dxfId="2" text="" percent="0" bottom="0">
      <formula>AND(M438&gt;=5,M438&lt;10)</formula>
    </cfRule>
    <cfRule type="expression" rank="0" priority="1754" equalAverage="0" aboveAverage="0" dxfId="3" text="" percent="0" bottom="0">
      <formula>AND(M438&gt;=1,M438&lt;5)</formula>
    </cfRule>
  </conditionalFormatting>
  <conditionalFormatting sqref="M439">
    <cfRule type="expression" rank="0" priority="1755" equalAverage="0" aboveAverage="0" dxfId="0" text="" percent="0" bottom="0">
      <formula>M439&gt;=20</formula>
    </cfRule>
    <cfRule type="expression" rank="0" priority="1756" equalAverage="0" aboveAverage="0" dxfId="1" text="" percent="0" bottom="0">
      <formula>AND(M439&gt;=10,M439&lt;20)</formula>
    </cfRule>
    <cfRule type="expression" rank="0" priority="1757" equalAverage="0" aboveAverage="0" dxfId="2" text="" percent="0" bottom="0">
      <formula>AND(M439&gt;=5,M439&lt;10)</formula>
    </cfRule>
    <cfRule type="expression" rank="0" priority="1758" equalAverage="0" aboveAverage="0" dxfId="3" text="" percent="0" bottom="0">
      <formula>AND(M439&gt;=1,M439&lt;5)</formula>
    </cfRule>
  </conditionalFormatting>
  <conditionalFormatting sqref="M440">
    <cfRule type="expression" rank="0" priority="1759" equalAverage="0" aboveAverage="0" dxfId="0" text="" percent="0" bottom="0">
      <formula>M440&gt;=20</formula>
    </cfRule>
    <cfRule type="expression" rank="0" priority="1760" equalAverage="0" aboveAverage="0" dxfId="1" text="" percent="0" bottom="0">
      <formula>AND(M440&gt;=10,M440&lt;20)</formula>
    </cfRule>
    <cfRule type="expression" rank="0" priority="1761" equalAverage="0" aboveAverage="0" dxfId="2" text="" percent="0" bottom="0">
      <formula>AND(M440&gt;=5,M440&lt;10)</formula>
    </cfRule>
    <cfRule type="expression" rank="0" priority="1762" equalAverage="0" aboveAverage="0" dxfId="3" text="" percent="0" bottom="0">
      <formula>AND(M440&gt;=1,M440&lt;5)</formula>
    </cfRule>
  </conditionalFormatting>
  <conditionalFormatting sqref="M441">
    <cfRule type="expression" rank="0" priority="1763" equalAverage="0" aboveAverage="0" dxfId="0" text="" percent="0" bottom="0">
      <formula>M441&gt;=20</formula>
    </cfRule>
    <cfRule type="expression" rank="0" priority="1764" equalAverage="0" aboveAverage="0" dxfId="1" text="" percent="0" bottom="0">
      <formula>AND(M441&gt;=10,M441&lt;20)</formula>
    </cfRule>
    <cfRule type="expression" rank="0" priority="1765" equalAverage="0" aboveAverage="0" dxfId="2" text="" percent="0" bottom="0">
      <formula>AND(M441&gt;=5,M441&lt;10)</formula>
    </cfRule>
    <cfRule type="expression" rank="0" priority="1766" equalAverage="0" aboveAverage="0" dxfId="3" text="" percent="0" bottom="0">
      <formula>AND(M441&gt;=1,M441&lt;5)</formula>
    </cfRule>
  </conditionalFormatting>
  <conditionalFormatting sqref="M442">
    <cfRule type="expression" rank="0" priority="1767" equalAverage="0" aboveAverage="0" dxfId="0" text="" percent="0" bottom="0">
      <formula>M442&gt;=20</formula>
    </cfRule>
    <cfRule type="expression" rank="0" priority="1768" equalAverage="0" aboveAverage="0" dxfId="1" text="" percent="0" bottom="0">
      <formula>AND(M442&gt;=10,M442&lt;20)</formula>
    </cfRule>
    <cfRule type="expression" rank="0" priority="1769" equalAverage="0" aboveAverage="0" dxfId="2" text="" percent="0" bottom="0">
      <formula>AND(M442&gt;=5,M442&lt;10)</formula>
    </cfRule>
    <cfRule type="expression" rank="0" priority="1770" equalAverage="0" aboveAverage="0" dxfId="3" text="" percent="0" bottom="0">
      <formula>AND(M442&gt;=1,M442&lt;5)</formula>
    </cfRule>
  </conditionalFormatting>
  <conditionalFormatting sqref="M443">
    <cfRule type="expression" rank="0" priority="1771" equalAverage="0" aboveAverage="0" dxfId="0" text="" percent="0" bottom="0">
      <formula>M443&gt;=20</formula>
    </cfRule>
    <cfRule type="expression" rank="0" priority="1772" equalAverage="0" aboveAverage="0" dxfId="1" text="" percent="0" bottom="0">
      <formula>AND(M443&gt;=10,M443&lt;20)</formula>
    </cfRule>
    <cfRule type="expression" rank="0" priority="1773" equalAverage="0" aboveAverage="0" dxfId="2" text="" percent="0" bottom="0">
      <formula>AND(M443&gt;=5,M443&lt;10)</formula>
    </cfRule>
    <cfRule type="expression" rank="0" priority="1774" equalAverage="0" aboveAverage="0" dxfId="3" text="" percent="0" bottom="0">
      <formula>AND(M443&gt;=1,M443&lt;5)</formula>
    </cfRule>
  </conditionalFormatting>
  <conditionalFormatting sqref="M444">
    <cfRule type="expression" rank="0" priority="1775" equalAverage="0" aboveAverage="0" dxfId="0" text="" percent="0" bottom="0">
      <formula>M444&gt;=20</formula>
    </cfRule>
    <cfRule type="expression" rank="0" priority="1776" equalAverage="0" aboveAverage="0" dxfId="1" text="" percent="0" bottom="0">
      <formula>AND(M444&gt;=10,M444&lt;20)</formula>
    </cfRule>
    <cfRule type="expression" rank="0" priority="1777" equalAverage="0" aboveAverage="0" dxfId="2" text="" percent="0" bottom="0">
      <formula>AND(M444&gt;=5,M444&lt;10)</formula>
    </cfRule>
    <cfRule type="expression" rank="0" priority="1778" equalAverage="0" aboveAverage="0" dxfId="3" text="" percent="0" bottom="0">
      <formula>AND(M444&gt;=1,M444&lt;5)</formula>
    </cfRule>
  </conditionalFormatting>
  <conditionalFormatting sqref="M445">
    <cfRule type="expression" rank="0" priority="1779" equalAverage="0" aboveAverage="0" dxfId="0" text="" percent="0" bottom="0">
      <formula>M445&gt;=20</formula>
    </cfRule>
    <cfRule type="expression" rank="0" priority="1780" equalAverage="0" aboveAverage="0" dxfId="1" text="" percent="0" bottom="0">
      <formula>AND(M445&gt;=10,M445&lt;20)</formula>
    </cfRule>
    <cfRule type="expression" rank="0" priority="1781" equalAverage="0" aboveAverage="0" dxfId="2" text="" percent="0" bottom="0">
      <formula>AND(M445&gt;=5,M445&lt;10)</formula>
    </cfRule>
    <cfRule type="expression" rank="0" priority="1782" equalAverage="0" aboveAverage="0" dxfId="3" text="" percent="0" bottom="0">
      <formula>AND(M445&gt;=1,M445&lt;5)</formula>
    </cfRule>
  </conditionalFormatting>
  <conditionalFormatting sqref="M446">
    <cfRule type="expression" rank="0" priority="1783" equalAverage="0" aboveAverage="0" dxfId="0" text="" percent="0" bottom="0">
      <formula>M446&gt;=20</formula>
    </cfRule>
    <cfRule type="expression" rank="0" priority="1784" equalAverage="0" aboveAverage="0" dxfId="1" text="" percent="0" bottom="0">
      <formula>AND(M446&gt;=10,M446&lt;20)</formula>
    </cfRule>
    <cfRule type="expression" rank="0" priority="1785" equalAverage="0" aboveAverage="0" dxfId="2" text="" percent="0" bottom="0">
      <formula>AND(M446&gt;=5,M446&lt;10)</formula>
    </cfRule>
    <cfRule type="expression" rank="0" priority="1786" equalAverage="0" aboveAverage="0" dxfId="3" text="" percent="0" bottom="0">
      <formula>AND(M446&gt;=1,M446&lt;5)</formula>
    </cfRule>
  </conditionalFormatting>
  <conditionalFormatting sqref="M447">
    <cfRule type="expression" rank="0" priority="1787" equalAverage="0" aboveAverage="0" dxfId="0" text="" percent="0" bottom="0">
      <formula>M447&gt;=20</formula>
    </cfRule>
    <cfRule type="expression" rank="0" priority="1788" equalAverage="0" aboveAverage="0" dxfId="1" text="" percent="0" bottom="0">
      <formula>AND(M447&gt;=10,M447&lt;20)</formula>
    </cfRule>
    <cfRule type="expression" rank="0" priority="1789" equalAverage="0" aboveAverage="0" dxfId="2" text="" percent="0" bottom="0">
      <formula>AND(M447&gt;=5,M447&lt;10)</formula>
    </cfRule>
    <cfRule type="expression" rank="0" priority="1790" equalAverage="0" aboveAverage="0" dxfId="3" text="" percent="0" bottom="0">
      <formula>AND(M447&gt;=1,M447&lt;5)</formula>
    </cfRule>
  </conditionalFormatting>
  <conditionalFormatting sqref="M448">
    <cfRule type="expression" rank="0" priority="1791" equalAverage="0" aboveAverage="0" dxfId="0" text="" percent="0" bottom="0">
      <formula>M448&gt;=20</formula>
    </cfRule>
    <cfRule type="expression" rank="0" priority="1792" equalAverage="0" aboveAverage="0" dxfId="1" text="" percent="0" bottom="0">
      <formula>AND(M448&gt;=10,M448&lt;20)</formula>
    </cfRule>
    <cfRule type="expression" rank="0" priority="1793" equalAverage="0" aboveAverage="0" dxfId="2" text="" percent="0" bottom="0">
      <formula>AND(M448&gt;=5,M448&lt;10)</formula>
    </cfRule>
    <cfRule type="expression" rank="0" priority="1794" equalAverage="0" aboveAverage="0" dxfId="3" text="" percent="0" bottom="0">
      <formula>AND(M448&gt;=1,M448&lt;5)</formula>
    </cfRule>
  </conditionalFormatting>
  <conditionalFormatting sqref="M449">
    <cfRule type="expression" rank="0" priority="1795" equalAverage="0" aboveAverage="0" dxfId="0" text="" percent="0" bottom="0">
      <formula>M449&gt;=20</formula>
    </cfRule>
    <cfRule type="expression" rank="0" priority="1796" equalAverage="0" aboveAverage="0" dxfId="1" text="" percent="0" bottom="0">
      <formula>AND(M449&gt;=10,M449&lt;20)</formula>
    </cfRule>
    <cfRule type="expression" rank="0" priority="1797" equalAverage="0" aboveAverage="0" dxfId="2" text="" percent="0" bottom="0">
      <formula>AND(M449&gt;=5,M449&lt;10)</formula>
    </cfRule>
    <cfRule type="expression" rank="0" priority="1798" equalAverage="0" aboveAverage="0" dxfId="3" text="" percent="0" bottom="0">
      <formula>AND(M449&gt;=1,M449&lt;5)</formula>
    </cfRule>
  </conditionalFormatting>
  <conditionalFormatting sqref="M450">
    <cfRule type="expression" rank="0" priority="1799" equalAverage="0" aboveAverage="0" dxfId="0" text="" percent="0" bottom="0">
      <formula>M450&gt;=20</formula>
    </cfRule>
    <cfRule type="expression" rank="0" priority="1800" equalAverage="0" aboveAverage="0" dxfId="1" text="" percent="0" bottom="0">
      <formula>AND(M450&gt;=10,M450&lt;20)</formula>
    </cfRule>
    <cfRule type="expression" rank="0" priority="1801" equalAverage="0" aboveAverage="0" dxfId="2" text="" percent="0" bottom="0">
      <formula>AND(M450&gt;=5,M450&lt;10)</formula>
    </cfRule>
    <cfRule type="expression" rank="0" priority="1802" equalAverage="0" aboveAverage="0" dxfId="3" text="" percent="0" bottom="0">
      <formula>AND(M450&gt;=1,M450&lt;5)</formula>
    </cfRule>
  </conditionalFormatting>
  <conditionalFormatting sqref="M451">
    <cfRule type="expression" rank="0" priority="1803" equalAverage="0" aboveAverage="0" dxfId="0" text="" percent="0" bottom="0">
      <formula>M451&gt;=20</formula>
    </cfRule>
    <cfRule type="expression" rank="0" priority="1804" equalAverage="0" aboveAverage="0" dxfId="1" text="" percent="0" bottom="0">
      <formula>AND(M451&gt;=10,M451&lt;20)</formula>
    </cfRule>
    <cfRule type="expression" rank="0" priority="1805" equalAverage="0" aboveAverage="0" dxfId="2" text="" percent="0" bottom="0">
      <formula>AND(M451&gt;=5,M451&lt;10)</formula>
    </cfRule>
    <cfRule type="expression" rank="0" priority="1806" equalAverage="0" aboveAverage="0" dxfId="3" text="" percent="0" bottom="0">
      <formula>AND(M451&gt;=1,M451&lt;5)</formula>
    </cfRule>
  </conditionalFormatting>
  <conditionalFormatting sqref="M452">
    <cfRule type="expression" rank="0" priority="1807" equalAverage="0" aboveAverage="0" dxfId="0" text="" percent="0" bottom="0">
      <formula>M452&gt;=20</formula>
    </cfRule>
    <cfRule type="expression" rank="0" priority="1808" equalAverage="0" aboveAverage="0" dxfId="1" text="" percent="0" bottom="0">
      <formula>AND(M452&gt;=10,M452&lt;20)</formula>
    </cfRule>
    <cfRule type="expression" rank="0" priority="1809" equalAverage="0" aboveAverage="0" dxfId="2" text="" percent="0" bottom="0">
      <formula>AND(M452&gt;=5,M452&lt;10)</formula>
    </cfRule>
    <cfRule type="expression" rank="0" priority="1810" equalAverage="0" aboveAverage="0" dxfId="3" text="" percent="0" bottom="0">
      <formula>AND(M452&gt;=1,M452&lt;5)</formula>
    </cfRule>
  </conditionalFormatting>
  <conditionalFormatting sqref="M453">
    <cfRule type="expression" rank="0" priority="1811" equalAverage="0" aboveAverage="0" dxfId="0" text="" percent="0" bottom="0">
      <formula>M453&gt;=20</formula>
    </cfRule>
    <cfRule type="expression" rank="0" priority="1812" equalAverage="0" aboveAverage="0" dxfId="1" text="" percent="0" bottom="0">
      <formula>AND(M453&gt;=10,M453&lt;20)</formula>
    </cfRule>
    <cfRule type="expression" rank="0" priority="1813" equalAverage="0" aboveAverage="0" dxfId="2" text="" percent="0" bottom="0">
      <formula>AND(M453&gt;=5,M453&lt;10)</formula>
    </cfRule>
    <cfRule type="expression" rank="0" priority="1814" equalAverage="0" aboveAverage="0" dxfId="3" text="" percent="0" bottom="0">
      <formula>AND(M453&gt;=1,M453&lt;5)</formula>
    </cfRule>
  </conditionalFormatting>
  <conditionalFormatting sqref="M454">
    <cfRule type="expression" rank="0" priority="1815" equalAverage="0" aboveAverage="0" dxfId="0" text="" percent="0" bottom="0">
      <formula>M454&gt;=20</formula>
    </cfRule>
    <cfRule type="expression" rank="0" priority="1816" equalAverage="0" aboveAverage="0" dxfId="1" text="" percent="0" bottom="0">
      <formula>AND(M454&gt;=10,M454&lt;20)</formula>
    </cfRule>
    <cfRule type="expression" rank="0" priority="1817" equalAverage="0" aboveAverage="0" dxfId="2" text="" percent="0" bottom="0">
      <formula>AND(M454&gt;=5,M454&lt;10)</formula>
    </cfRule>
    <cfRule type="expression" rank="0" priority="1818" equalAverage="0" aboveAverage="0" dxfId="3" text="" percent="0" bottom="0">
      <formula>AND(M454&gt;=1,M454&lt;5)</formula>
    </cfRule>
  </conditionalFormatting>
  <conditionalFormatting sqref="M455">
    <cfRule type="expression" rank="0" priority="1819" equalAverage="0" aboveAverage="0" dxfId="0" text="" percent="0" bottom="0">
      <formula>M455&gt;=20</formula>
    </cfRule>
    <cfRule type="expression" rank="0" priority="1820" equalAverage="0" aboveAverage="0" dxfId="1" text="" percent="0" bottom="0">
      <formula>AND(M455&gt;=10,M455&lt;20)</formula>
    </cfRule>
    <cfRule type="expression" rank="0" priority="1821" equalAverage="0" aboveAverage="0" dxfId="2" text="" percent="0" bottom="0">
      <formula>AND(M455&gt;=5,M455&lt;10)</formula>
    </cfRule>
    <cfRule type="expression" rank="0" priority="1822" equalAverage="0" aboveAverage="0" dxfId="3" text="" percent="0" bottom="0">
      <formula>AND(M455&gt;=1,M455&lt;5)</formula>
    </cfRule>
  </conditionalFormatting>
  <conditionalFormatting sqref="M456">
    <cfRule type="expression" rank="0" priority="1823" equalAverage="0" aboveAverage="0" dxfId="0" text="" percent="0" bottom="0">
      <formula>M456&gt;=20</formula>
    </cfRule>
    <cfRule type="expression" rank="0" priority="1824" equalAverage="0" aboveAverage="0" dxfId="1" text="" percent="0" bottom="0">
      <formula>AND(M456&gt;=10,M456&lt;20)</formula>
    </cfRule>
    <cfRule type="expression" rank="0" priority="1825" equalAverage="0" aboveAverage="0" dxfId="2" text="" percent="0" bottom="0">
      <formula>AND(M456&gt;=5,M456&lt;10)</formula>
    </cfRule>
    <cfRule type="expression" rank="0" priority="1826" equalAverage="0" aboveAverage="0" dxfId="3" text="" percent="0" bottom="0">
      <formula>AND(M456&gt;=1,M456&lt;5)</formula>
    </cfRule>
  </conditionalFormatting>
  <conditionalFormatting sqref="M457">
    <cfRule type="expression" rank="0" priority="1827" equalAverage="0" aboveAverage="0" dxfId="0" text="" percent="0" bottom="0">
      <formula>M457&gt;=20</formula>
    </cfRule>
    <cfRule type="expression" rank="0" priority="1828" equalAverage="0" aboveAverage="0" dxfId="1" text="" percent="0" bottom="0">
      <formula>AND(M457&gt;=10,M457&lt;20)</formula>
    </cfRule>
    <cfRule type="expression" rank="0" priority="1829" equalAverage="0" aboveAverage="0" dxfId="2" text="" percent="0" bottom="0">
      <formula>AND(M457&gt;=5,M457&lt;10)</formula>
    </cfRule>
    <cfRule type="expression" rank="0" priority="1830" equalAverage="0" aboveAverage="0" dxfId="3" text="" percent="0" bottom="0">
      <formula>AND(M457&gt;=1,M457&lt;5)</formula>
    </cfRule>
  </conditionalFormatting>
  <conditionalFormatting sqref="M458">
    <cfRule type="expression" rank="0" priority="1831" equalAverage="0" aboveAverage="0" dxfId="0" text="" percent="0" bottom="0">
      <formula>M458&gt;=20</formula>
    </cfRule>
    <cfRule type="expression" rank="0" priority="1832" equalAverage="0" aboveAverage="0" dxfId="1" text="" percent="0" bottom="0">
      <formula>AND(M458&gt;=10,M458&lt;20)</formula>
    </cfRule>
    <cfRule type="expression" rank="0" priority="1833" equalAverage="0" aboveAverage="0" dxfId="2" text="" percent="0" bottom="0">
      <formula>AND(M458&gt;=5,M458&lt;10)</formula>
    </cfRule>
    <cfRule type="expression" rank="0" priority="1834" equalAverage="0" aboveAverage="0" dxfId="3" text="" percent="0" bottom="0">
      <formula>AND(M458&gt;=1,M458&lt;5)</formula>
    </cfRule>
  </conditionalFormatting>
  <conditionalFormatting sqref="M459">
    <cfRule type="expression" rank="0" priority="1835" equalAverage="0" aboveAverage="0" dxfId="0" text="" percent="0" bottom="0">
      <formula>M459&gt;=20</formula>
    </cfRule>
    <cfRule type="expression" rank="0" priority="1836" equalAverage="0" aboveAverage="0" dxfId="1" text="" percent="0" bottom="0">
      <formula>AND(M459&gt;=10,M459&lt;20)</formula>
    </cfRule>
    <cfRule type="expression" rank="0" priority="1837" equalAverage="0" aboveAverage="0" dxfId="2" text="" percent="0" bottom="0">
      <formula>AND(M459&gt;=5,M459&lt;10)</formula>
    </cfRule>
    <cfRule type="expression" rank="0" priority="1838" equalAverage="0" aboveAverage="0" dxfId="3" text="" percent="0" bottom="0">
      <formula>AND(M459&gt;=1,M459&lt;5)</formula>
    </cfRule>
  </conditionalFormatting>
  <conditionalFormatting sqref="M460">
    <cfRule type="expression" rank="0" priority="1839" equalAverage="0" aboveAverage="0" dxfId="0" text="" percent="0" bottom="0">
      <formula>M460&gt;=20</formula>
    </cfRule>
    <cfRule type="expression" rank="0" priority="1840" equalAverage="0" aboveAverage="0" dxfId="1" text="" percent="0" bottom="0">
      <formula>AND(M460&gt;=10,M460&lt;20)</formula>
    </cfRule>
    <cfRule type="expression" rank="0" priority="1841" equalAverage="0" aboveAverage="0" dxfId="2" text="" percent="0" bottom="0">
      <formula>AND(M460&gt;=5,M460&lt;10)</formula>
    </cfRule>
    <cfRule type="expression" rank="0" priority="1842" equalAverage="0" aboveAverage="0" dxfId="3" text="" percent="0" bottom="0">
      <formula>AND(M460&gt;=1,M460&lt;5)</formula>
    </cfRule>
  </conditionalFormatting>
  <conditionalFormatting sqref="M461">
    <cfRule type="expression" rank="0" priority="1843" equalAverage="0" aboveAverage="0" dxfId="0" text="" percent="0" bottom="0">
      <formula>M461&gt;=20</formula>
    </cfRule>
    <cfRule type="expression" rank="0" priority="1844" equalAverage="0" aboveAverage="0" dxfId="1" text="" percent="0" bottom="0">
      <formula>AND(M461&gt;=10,M461&lt;20)</formula>
    </cfRule>
    <cfRule type="expression" rank="0" priority="1845" equalAverage="0" aboveAverage="0" dxfId="2" text="" percent="0" bottom="0">
      <formula>AND(M461&gt;=5,M461&lt;10)</formula>
    </cfRule>
    <cfRule type="expression" rank="0" priority="1846" equalAverage="0" aboveAverage="0" dxfId="3" text="" percent="0" bottom="0">
      <formula>AND(M461&gt;=1,M461&lt;5)</formula>
    </cfRule>
  </conditionalFormatting>
  <conditionalFormatting sqref="M462">
    <cfRule type="expression" rank="0" priority="1847" equalAverage="0" aboveAverage="0" dxfId="0" text="" percent="0" bottom="0">
      <formula>M462&gt;=20</formula>
    </cfRule>
    <cfRule type="expression" rank="0" priority="1848" equalAverage="0" aboveAverage="0" dxfId="1" text="" percent="0" bottom="0">
      <formula>AND(M462&gt;=10,M462&lt;20)</formula>
    </cfRule>
    <cfRule type="expression" rank="0" priority="1849" equalAverage="0" aboveAverage="0" dxfId="2" text="" percent="0" bottom="0">
      <formula>AND(M462&gt;=5,M462&lt;10)</formula>
    </cfRule>
    <cfRule type="expression" rank="0" priority="1850" equalAverage="0" aboveAverage="0" dxfId="3" text="" percent="0" bottom="0">
      <formula>AND(M462&gt;=1,M462&lt;5)</formula>
    </cfRule>
  </conditionalFormatting>
  <conditionalFormatting sqref="M463">
    <cfRule type="expression" rank="0" priority="1851" equalAverage="0" aboveAverage="0" dxfId="0" text="" percent="0" bottom="0">
      <formula>M463&gt;=20</formula>
    </cfRule>
    <cfRule type="expression" rank="0" priority="1852" equalAverage="0" aboveAverage="0" dxfId="1" text="" percent="0" bottom="0">
      <formula>AND(M463&gt;=10,M463&lt;20)</formula>
    </cfRule>
    <cfRule type="expression" rank="0" priority="1853" equalAverage="0" aboveAverage="0" dxfId="2" text="" percent="0" bottom="0">
      <formula>AND(M463&gt;=5,M463&lt;10)</formula>
    </cfRule>
    <cfRule type="expression" rank="0" priority="1854" equalAverage="0" aboveAverage="0" dxfId="3" text="" percent="0" bottom="0">
      <formula>AND(M463&gt;=1,M463&lt;5)</formula>
    </cfRule>
  </conditionalFormatting>
  <conditionalFormatting sqref="M464">
    <cfRule type="expression" rank="0" priority="1855" equalAverage="0" aboveAverage="0" dxfId="0" text="" percent="0" bottom="0">
      <formula>M464&gt;=20</formula>
    </cfRule>
    <cfRule type="expression" rank="0" priority="1856" equalAverage="0" aboveAverage="0" dxfId="1" text="" percent="0" bottom="0">
      <formula>AND(M464&gt;=10,M464&lt;20)</formula>
    </cfRule>
    <cfRule type="expression" rank="0" priority="1857" equalAverage="0" aboveAverage="0" dxfId="2" text="" percent="0" bottom="0">
      <formula>AND(M464&gt;=5,M464&lt;10)</formula>
    </cfRule>
    <cfRule type="expression" rank="0" priority="1858" equalAverage="0" aboveAverage="0" dxfId="3" text="" percent="0" bottom="0">
      <formula>AND(M464&gt;=1,M464&lt;5)</formula>
    </cfRule>
  </conditionalFormatting>
  <conditionalFormatting sqref="M465">
    <cfRule type="expression" rank="0" priority="1859" equalAverage="0" aboveAverage="0" dxfId="0" text="" percent="0" bottom="0">
      <formula>M465&gt;=20</formula>
    </cfRule>
    <cfRule type="expression" rank="0" priority="1860" equalAverage="0" aboveAverage="0" dxfId="1" text="" percent="0" bottom="0">
      <formula>AND(M465&gt;=10,M465&lt;20)</formula>
    </cfRule>
    <cfRule type="expression" rank="0" priority="1861" equalAverage="0" aboveAverage="0" dxfId="2" text="" percent="0" bottom="0">
      <formula>AND(M465&gt;=5,M465&lt;10)</formula>
    </cfRule>
    <cfRule type="expression" rank="0" priority="1862" equalAverage="0" aboveAverage="0" dxfId="3" text="" percent="0" bottom="0">
      <formula>AND(M465&gt;=1,M465&lt;5)</formula>
    </cfRule>
  </conditionalFormatting>
  <conditionalFormatting sqref="M466">
    <cfRule type="expression" rank="0" priority="1863" equalAverage="0" aboveAverage="0" dxfId="0" text="" percent="0" bottom="0">
      <formula>M466&gt;=20</formula>
    </cfRule>
    <cfRule type="expression" rank="0" priority="1864" equalAverage="0" aboveAverage="0" dxfId="1" text="" percent="0" bottom="0">
      <formula>AND(M466&gt;=10,M466&lt;20)</formula>
    </cfRule>
    <cfRule type="expression" rank="0" priority="1865" equalAverage="0" aboveAverage="0" dxfId="2" text="" percent="0" bottom="0">
      <formula>AND(M466&gt;=5,M466&lt;10)</formula>
    </cfRule>
    <cfRule type="expression" rank="0" priority="1866" equalAverage="0" aboveAverage="0" dxfId="3" text="" percent="0" bottom="0">
      <formula>AND(M466&gt;=1,M466&lt;5)</formula>
    </cfRule>
  </conditionalFormatting>
  <conditionalFormatting sqref="M467">
    <cfRule type="expression" rank="0" priority="1867" equalAverage="0" aboveAverage="0" dxfId="0" text="" percent="0" bottom="0">
      <formula>M467&gt;=20</formula>
    </cfRule>
    <cfRule type="expression" rank="0" priority="1868" equalAverage="0" aboveAverage="0" dxfId="1" text="" percent="0" bottom="0">
      <formula>AND(M467&gt;=10,M467&lt;20)</formula>
    </cfRule>
    <cfRule type="expression" rank="0" priority="1869" equalAverage="0" aboveAverage="0" dxfId="2" text="" percent="0" bottom="0">
      <formula>AND(M467&gt;=5,M467&lt;10)</formula>
    </cfRule>
    <cfRule type="expression" rank="0" priority="1870" equalAverage="0" aboveAverage="0" dxfId="3" text="" percent="0" bottom="0">
      <formula>AND(M467&gt;=1,M467&lt;5)</formula>
    </cfRule>
  </conditionalFormatting>
  <conditionalFormatting sqref="M468">
    <cfRule type="expression" rank="0" priority="1871" equalAverage="0" aboveAverage="0" dxfId="0" text="" percent="0" bottom="0">
      <formula>M468&gt;=20</formula>
    </cfRule>
    <cfRule type="expression" rank="0" priority="1872" equalAverage="0" aboveAverage="0" dxfId="1" text="" percent="0" bottom="0">
      <formula>AND(M468&gt;=10,M468&lt;20)</formula>
    </cfRule>
    <cfRule type="expression" rank="0" priority="1873" equalAverage="0" aboveAverage="0" dxfId="2" text="" percent="0" bottom="0">
      <formula>AND(M468&gt;=5,M468&lt;10)</formula>
    </cfRule>
    <cfRule type="expression" rank="0" priority="1874" equalAverage="0" aboveAverage="0" dxfId="3" text="" percent="0" bottom="0">
      <formula>AND(M468&gt;=1,M468&lt;5)</formula>
    </cfRule>
  </conditionalFormatting>
  <conditionalFormatting sqref="M469">
    <cfRule type="expression" rank="0" priority="1875" equalAverage="0" aboveAverage="0" dxfId="0" text="" percent="0" bottom="0">
      <formula>M469&gt;=20</formula>
    </cfRule>
    <cfRule type="expression" rank="0" priority="1876" equalAverage="0" aboveAverage="0" dxfId="1" text="" percent="0" bottom="0">
      <formula>AND(M469&gt;=10,M469&lt;20)</formula>
    </cfRule>
    <cfRule type="expression" rank="0" priority="1877" equalAverage="0" aboveAverage="0" dxfId="2" text="" percent="0" bottom="0">
      <formula>AND(M469&gt;=5,M469&lt;10)</formula>
    </cfRule>
    <cfRule type="expression" rank="0" priority="1878" equalAverage="0" aboveAverage="0" dxfId="3" text="" percent="0" bottom="0">
      <formula>AND(M469&gt;=1,M469&lt;5)</formula>
    </cfRule>
  </conditionalFormatting>
  <conditionalFormatting sqref="M470">
    <cfRule type="expression" rank="0" priority="1879" equalAverage="0" aboveAverage="0" dxfId="0" text="" percent="0" bottom="0">
      <formula>M470&gt;=20</formula>
    </cfRule>
    <cfRule type="expression" rank="0" priority="1880" equalAverage="0" aboveAverage="0" dxfId="1" text="" percent="0" bottom="0">
      <formula>AND(M470&gt;=10,M470&lt;20)</formula>
    </cfRule>
    <cfRule type="expression" rank="0" priority="1881" equalAverage="0" aboveAverage="0" dxfId="2" text="" percent="0" bottom="0">
      <formula>AND(M470&gt;=5,M470&lt;10)</formula>
    </cfRule>
    <cfRule type="expression" rank="0" priority="1882" equalAverage="0" aboveAverage="0" dxfId="3" text="" percent="0" bottom="0">
      <formula>AND(M470&gt;=1,M470&lt;5)</formula>
    </cfRule>
  </conditionalFormatting>
  <conditionalFormatting sqref="M471">
    <cfRule type="expression" rank="0" priority="1883" equalAverage="0" aboveAverage="0" dxfId="0" text="" percent="0" bottom="0">
      <formula>M471&gt;=20</formula>
    </cfRule>
    <cfRule type="expression" rank="0" priority="1884" equalAverage="0" aboveAverage="0" dxfId="1" text="" percent="0" bottom="0">
      <formula>AND(M471&gt;=10,M471&lt;20)</formula>
    </cfRule>
    <cfRule type="expression" rank="0" priority="1885" equalAverage="0" aboveAverage="0" dxfId="2" text="" percent="0" bottom="0">
      <formula>AND(M471&gt;=5,M471&lt;10)</formula>
    </cfRule>
    <cfRule type="expression" rank="0" priority="1886" equalAverage="0" aboveAverage="0" dxfId="3" text="" percent="0" bottom="0">
      <formula>AND(M471&gt;=1,M471&lt;5)</formula>
    </cfRule>
  </conditionalFormatting>
  <conditionalFormatting sqref="M472">
    <cfRule type="expression" rank="0" priority="1887" equalAverage="0" aboveAverage="0" dxfId="0" text="" percent="0" bottom="0">
      <formula>M472&gt;=20</formula>
    </cfRule>
    <cfRule type="expression" rank="0" priority="1888" equalAverage="0" aboveAverage="0" dxfId="1" text="" percent="0" bottom="0">
      <formula>AND(M472&gt;=10,M472&lt;20)</formula>
    </cfRule>
    <cfRule type="expression" rank="0" priority="1889" equalAverage="0" aboveAverage="0" dxfId="2" text="" percent="0" bottom="0">
      <formula>AND(M472&gt;=5,M472&lt;10)</formula>
    </cfRule>
    <cfRule type="expression" rank="0" priority="1890" equalAverage="0" aboveAverage="0" dxfId="3" text="" percent="0" bottom="0">
      <formula>AND(M472&gt;=1,M472&lt;5)</formula>
    </cfRule>
  </conditionalFormatting>
  <conditionalFormatting sqref="M473">
    <cfRule type="expression" rank="0" priority="1891" equalAverage="0" aboveAverage="0" dxfId="0" text="" percent="0" bottom="0">
      <formula>M473&gt;=20</formula>
    </cfRule>
    <cfRule type="expression" rank="0" priority="1892" equalAverage="0" aboveAverage="0" dxfId="1" text="" percent="0" bottom="0">
      <formula>AND(M473&gt;=10,M473&lt;20)</formula>
    </cfRule>
    <cfRule type="expression" rank="0" priority="1893" equalAverage="0" aboveAverage="0" dxfId="2" text="" percent="0" bottom="0">
      <formula>AND(M473&gt;=5,M473&lt;10)</formula>
    </cfRule>
    <cfRule type="expression" rank="0" priority="1894" equalAverage="0" aboveAverage="0" dxfId="3" text="" percent="0" bottom="0">
      <formula>AND(M473&gt;=1,M473&lt;5)</formula>
    </cfRule>
  </conditionalFormatting>
  <conditionalFormatting sqref="M474">
    <cfRule type="expression" rank="0" priority="1895" equalAverage="0" aboveAverage="0" dxfId="0" text="" percent="0" bottom="0">
      <formula>M474&gt;=20</formula>
    </cfRule>
    <cfRule type="expression" rank="0" priority="1896" equalAverage="0" aboveAverage="0" dxfId="1" text="" percent="0" bottom="0">
      <formula>AND(M474&gt;=10,M474&lt;20)</formula>
    </cfRule>
    <cfRule type="expression" rank="0" priority="1897" equalAverage="0" aboveAverage="0" dxfId="2" text="" percent="0" bottom="0">
      <formula>AND(M474&gt;=5,M474&lt;10)</formula>
    </cfRule>
    <cfRule type="expression" rank="0" priority="1898" equalAverage="0" aboveAverage="0" dxfId="3" text="" percent="0" bottom="0">
      <formula>AND(M474&gt;=1,M474&lt;5)</formula>
    </cfRule>
  </conditionalFormatting>
  <conditionalFormatting sqref="M475">
    <cfRule type="expression" rank="0" priority="1899" equalAverage="0" aboveAverage="0" dxfId="0" text="" percent="0" bottom="0">
      <formula>M475&gt;=20</formula>
    </cfRule>
    <cfRule type="expression" rank="0" priority="1900" equalAverage="0" aboveAverage="0" dxfId="1" text="" percent="0" bottom="0">
      <formula>AND(M475&gt;=10,M475&lt;20)</formula>
    </cfRule>
    <cfRule type="expression" rank="0" priority="1901" equalAverage="0" aboveAverage="0" dxfId="2" text="" percent="0" bottom="0">
      <formula>AND(M475&gt;=5,M475&lt;10)</formula>
    </cfRule>
    <cfRule type="expression" rank="0" priority="1902" equalAverage="0" aboveAverage="0" dxfId="3" text="" percent="0" bottom="0">
      <formula>AND(M475&gt;=1,M475&lt;5)</formula>
    </cfRule>
  </conditionalFormatting>
  <conditionalFormatting sqref="M476">
    <cfRule type="expression" rank="0" priority="1903" equalAverage="0" aboveAverage="0" dxfId="0" text="" percent="0" bottom="0">
      <formula>M476&gt;=20</formula>
    </cfRule>
    <cfRule type="expression" rank="0" priority="1904" equalAverage="0" aboveAverage="0" dxfId="1" text="" percent="0" bottom="0">
      <formula>AND(M476&gt;=10,M476&lt;20)</formula>
    </cfRule>
    <cfRule type="expression" rank="0" priority="1905" equalAverage="0" aboveAverage="0" dxfId="2" text="" percent="0" bottom="0">
      <formula>AND(M476&gt;=5,M476&lt;10)</formula>
    </cfRule>
    <cfRule type="expression" rank="0" priority="1906" equalAverage="0" aboveAverage="0" dxfId="3" text="" percent="0" bottom="0">
      <formula>AND(M476&gt;=1,M476&lt;5)</formula>
    </cfRule>
  </conditionalFormatting>
  <conditionalFormatting sqref="M477">
    <cfRule type="expression" rank="0" priority="1907" equalAverage="0" aboveAverage="0" dxfId="0" text="" percent="0" bottom="0">
      <formula>M477&gt;=20</formula>
    </cfRule>
    <cfRule type="expression" rank="0" priority="1908" equalAverage="0" aboveAverage="0" dxfId="1" text="" percent="0" bottom="0">
      <formula>AND(M477&gt;=10,M477&lt;20)</formula>
    </cfRule>
    <cfRule type="expression" rank="0" priority="1909" equalAverage="0" aboveAverage="0" dxfId="2" text="" percent="0" bottom="0">
      <formula>AND(M477&gt;=5,M477&lt;10)</formula>
    </cfRule>
    <cfRule type="expression" rank="0" priority="1910" equalAverage="0" aboveAverage="0" dxfId="3" text="" percent="0" bottom="0">
      <formula>AND(M477&gt;=1,M477&lt;5)</formula>
    </cfRule>
  </conditionalFormatting>
  <conditionalFormatting sqref="M478">
    <cfRule type="expression" rank="0" priority="1911" equalAverage="0" aboveAverage="0" dxfId="0" text="" percent="0" bottom="0">
      <formula>M478&gt;=20</formula>
    </cfRule>
    <cfRule type="expression" rank="0" priority="1912" equalAverage="0" aboveAverage="0" dxfId="1" text="" percent="0" bottom="0">
      <formula>AND(M478&gt;=10,M478&lt;20)</formula>
    </cfRule>
    <cfRule type="expression" rank="0" priority="1913" equalAverage="0" aboveAverage="0" dxfId="2" text="" percent="0" bottom="0">
      <formula>AND(M478&gt;=5,M478&lt;10)</formula>
    </cfRule>
    <cfRule type="expression" rank="0" priority="1914" equalAverage="0" aboveAverage="0" dxfId="3" text="" percent="0" bottom="0">
      <formula>AND(M478&gt;=1,M478&lt;5)</formula>
    </cfRule>
  </conditionalFormatting>
  <conditionalFormatting sqref="M479">
    <cfRule type="expression" rank="0" priority="1915" equalAverage="0" aboveAverage="0" dxfId="0" text="" percent="0" bottom="0">
      <formula>M479&gt;=20</formula>
    </cfRule>
    <cfRule type="expression" rank="0" priority="1916" equalAverage="0" aboveAverage="0" dxfId="1" text="" percent="0" bottom="0">
      <formula>AND(M479&gt;=10,M479&lt;20)</formula>
    </cfRule>
    <cfRule type="expression" rank="0" priority="1917" equalAverage="0" aboveAverage="0" dxfId="2" text="" percent="0" bottom="0">
      <formula>AND(M479&gt;=5,M479&lt;10)</formula>
    </cfRule>
    <cfRule type="expression" rank="0" priority="1918" equalAverage="0" aboveAverage="0" dxfId="3" text="" percent="0" bottom="0">
      <formula>AND(M479&gt;=1,M479&lt;5)</formula>
    </cfRule>
  </conditionalFormatting>
  <conditionalFormatting sqref="M480">
    <cfRule type="expression" rank="0" priority="1919" equalAverage="0" aboveAverage="0" dxfId="0" text="" percent="0" bottom="0">
      <formula>M480&gt;=20</formula>
    </cfRule>
    <cfRule type="expression" rank="0" priority="1920" equalAverage="0" aboveAverage="0" dxfId="1" text="" percent="0" bottom="0">
      <formula>AND(M480&gt;=10,M480&lt;20)</formula>
    </cfRule>
    <cfRule type="expression" rank="0" priority="1921" equalAverage="0" aboveAverage="0" dxfId="2" text="" percent="0" bottom="0">
      <formula>AND(M480&gt;=5,M480&lt;10)</formula>
    </cfRule>
    <cfRule type="expression" rank="0" priority="1922" equalAverage="0" aboveAverage="0" dxfId="3" text="" percent="0" bottom="0">
      <formula>AND(M480&gt;=1,M480&lt;5)</formula>
    </cfRule>
  </conditionalFormatting>
  <conditionalFormatting sqref="M481">
    <cfRule type="expression" rank="0" priority="1923" equalAverage="0" aboveAverage="0" dxfId="0" text="" percent="0" bottom="0">
      <formula>M481&gt;=20</formula>
    </cfRule>
    <cfRule type="expression" rank="0" priority="1924" equalAverage="0" aboveAverage="0" dxfId="1" text="" percent="0" bottom="0">
      <formula>AND(M481&gt;=10,M481&lt;20)</formula>
    </cfRule>
    <cfRule type="expression" rank="0" priority="1925" equalAverage="0" aboveAverage="0" dxfId="2" text="" percent="0" bottom="0">
      <formula>AND(M481&gt;=5,M481&lt;10)</formula>
    </cfRule>
    <cfRule type="expression" rank="0" priority="1926" equalAverage="0" aboveAverage="0" dxfId="3" text="" percent="0" bottom="0">
      <formula>AND(M481&gt;=1,M481&lt;5)</formula>
    </cfRule>
  </conditionalFormatting>
  <conditionalFormatting sqref="M482">
    <cfRule type="expression" rank="0" priority="1927" equalAverage="0" aboveAverage="0" dxfId="0" text="" percent="0" bottom="0">
      <formula>M482&gt;=20</formula>
    </cfRule>
    <cfRule type="expression" rank="0" priority="1928" equalAverage="0" aboveAverage="0" dxfId="1" text="" percent="0" bottom="0">
      <formula>AND(M482&gt;=10,M482&lt;20)</formula>
    </cfRule>
    <cfRule type="expression" rank="0" priority="1929" equalAverage="0" aboveAverage="0" dxfId="2" text="" percent="0" bottom="0">
      <formula>AND(M482&gt;=5,M482&lt;10)</formula>
    </cfRule>
    <cfRule type="expression" rank="0" priority="1930" equalAverage="0" aboveAverage="0" dxfId="3" text="" percent="0" bottom="0">
      <formula>AND(M482&gt;=1,M482&lt;5)</formula>
    </cfRule>
  </conditionalFormatting>
  <conditionalFormatting sqref="M483">
    <cfRule type="expression" rank="0" priority="1931" equalAverage="0" aboveAverage="0" dxfId="0" text="" percent="0" bottom="0">
      <formula>M483&gt;=20</formula>
    </cfRule>
    <cfRule type="expression" rank="0" priority="1932" equalAverage="0" aboveAverage="0" dxfId="1" text="" percent="0" bottom="0">
      <formula>AND(M483&gt;=10,M483&lt;20)</formula>
    </cfRule>
    <cfRule type="expression" rank="0" priority="1933" equalAverage="0" aboveAverage="0" dxfId="2" text="" percent="0" bottom="0">
      <formula>AND(M483&gt;=5,M483&lt;10)</formula>
    </cfRule>
    <cfRule type="expression" rank="0" priority="1934" equalAverage="0" aboveAverage="0" dxfId="3" text="" percent="0" bottom="0">
      <formula>AND(M483&gt;=1,M483&lt;5)</formula>
    </cfRule>
  </conditionalFormatting>
  <conditionalFormatting sqref="M484">
    <cfRule type="expression" rank="0" priority="1935" equalAverage="0" aboveAverage="0" dxfId="0" text="" percent="0" bottom="0">
      <formula>M484&gt;=20</formula>
    </cfRule>
    <cfRule type="expression" rank="0" priority="1936" equalAverage="0" aboveAverage="0" dxfId="1" text="" percent="0" bottom="0">
      <formula>AND(M484&gt;=10,M484&lt;20)</formula>
    </cfRule>
    <cfRule type="expression" rank="0" priority="1937" equalAverage="0" aboveAverage="0" dxfId="2" text="" percent="0" bottom="0">
      <formula>AND(M484&gt;=5,M484&lt;10)</formula>
    </cfRule>
    <cfRule type="expression" rank="0" priority="1938" equalAverage="0" aboveAverage="0" dxfId="3" text="" percent="0" bottom="0">
      <formula>AND(M484&gt;=1,M484&lt;5)</formula>
    </cfRule>
  </conditionalFormatting>
  <conditionalFormatting sqref="M485">
    <cfRule type="expression" rank="0" priority="1939" equalAverage="0" aboveAverage="0" dxfId="0" text="" percent="0" bottom="0">
      <formula>M485&gt;=20</formula>
    </cfRule>
    <cfRule type="expression" rank="0" priority="1940" equalAverage="0" aboveAverage="0" dxfId="1" text="" percent="0" bottom="0">
      <formula>AND(M485&gt;=10,M485&lt;20)</formula>
    </cfRule>
    <cfRule type="expression" rank="0" priority="1941" equalAverage="0" aboveAverage="0" dxfId="2" text="" percent="0" bottom="0">
      <formula>AND(M485&gt;=5,M485&lt;10)</formula>
    </cfRule>
    <cfRule type="expression" rank="0" priority="1942" equalAverage="0" aboveAverage="0" dxfId="3" text="" percent="0" bottom="0">
      <formula>AND(M485&gt;=1,M485&lt;5)</formula>
    </cfRule>
  </conditionalFormatting>
  <conditionalFormatting sqref="M486">
    <cfRule type="expression" rank="0" priority="1943" equalAverage="0" aboveAverage="0" dxfId="0" text="" percent="0" bottom="0">
      <formula>M486&gt;=20</formula>
    </cfRule>
    <cfRule type="expression" rank="0" priority="1944" equalAverage="0" aboveAverage="0" dxfId="1" text="" percent="0" bottom="0">
      <formula>AND(M486&gt;=10,M486&lt;20)</formula>
    </cfRule>
    <cfRule type="expression" rank="0" priority="1945" equalAverage="0" aboveAverage="0" dxfId="2" text="" percent="0" bottom="0">
      <formula>AND(M486&gt;=5,M486&lt;10)</formula>
    </cfRule>
    <cfRule type="expression" rank="0" priority="1946" equalAverage="0" aboveAverage="0" dxfId="3" text="" percent="0" bottom="0">
      <formula>AND(M486&gt;=1,M486&lt;5)</formula>
    </cfRule>
  </conditionalFormatting>
  <conditionalFormatting sqref="M487">
    <cfRule type="expression" rank="0" priority="1947" equalAverage="0" aboveAverage="0" dxfId="0" text="" percent="0" bottom="0">
      <formula>M487&gt;=20</formula>
    </cfRule>
    <cfRule type="expression" rank="0" priority="1948" equalAverage="0" aboveAverage="0" dxfId="1" text="" percent="0" bottom="0">
      <formula>AND(M487&gt;=10,M487&lt;20)</formula>
    </cfRule>
    <cfRule type="expression" rank="0" priority="1949" equalAverage="0" aboveAverage="0" dxfId="2" text="" percent="0" bottom="0">
      <formula>AND(M487&gt;=5,M487&lt;10)</formula>
    </cfRule>
    <cfRule type="expression" rank="0" priority="1950" equalAverage="0" aboveAverage="0" dxfId="3" text="" percent="0" bottom="0">
      <formula>AND(M487&gt;=1,M487&lt;5)</formula>
    </cfRule>
  </conditionalFormatting>
  <conditionalFormatting sqref="M488">
    <cfRule type="expression" rank="0" priority="1951" equalAverage="0" aboveAverage="0" dxfId="0" text="" percent="0" bottom="0">
      <formula>M488&gt;=20</formula>
    </cfRule>
    <cfRule type="expression" rank="0" priority="1952" equalAverage="0" aboveAverage="0" dxfId="1" text="" percent="0" bottom="0">
      <formula>AND(M488&gt;=10,M488&lt;20)</formula>
    </cfRule>
    <cfRule type="expression" rank="0" priority="1953" equalAverage="0" aboveAverage="0" dxfId="2" text="" percent="0" bottom="0">
      <formula>AND(M488&gt;=5,M488&lt;10)</formula>
    </cfRule>
    <cfRule type="expression" rank="0" priority="1954" equalAverage="0" aboveAverage="0" dxfId="3" text="" percent="0" bottom="0">
      <formula>AND(M488&gt;=1,M488&lt;5)</formula>
    </cfRule>
  </conditionalFormatting>
  <conditionalFormatting sqref="M489">
    <cfRule type="expression" rank="0" priority="1955" equalAverage="0" aboveAverage="0" dxfId="0" text="" percent="0" bottom="0">
      <formula>M489&gt;=20</formula>
    </cfRule>
    <cfRule type="expression" rank="0" priority="1956" equalAverage="0" aboveAverage="0" dxfId="1" text="" percent="0" bottom="0">
      <formula>AND(M489&gt;=10,M489&lt;20)</formula>
    </cfRule>
    <cfRule type="expression" rank="0" priority="1957" equalAverage="0" aboveAverage="0" dxfId="2" text="" percent="0" bottom="0">
      <formula>AND(M489&gt;=5,M489&lt;10)</formula>
    </cfRule>
    <cfRule type="expression" rank="0" priority="1958" equalAverage="0" aboveAverage="0" dxfId="3" text="" percent="0" bottom="0">
      <formula>AND(M489&gt;=1,M489&lt;5)</formula>
    </cfRule>
  </conditionalFormatting>
  <conditionalFormatting sqref="M490">
    <cfRule type="expression" rank="0" priority="1959" equalAverage="0" aboveAverage="0" dxfId="0" text="" percent="0" bottom="0">
      <formula>M490&gt;=20</formula>
    </cfRule>
    <cfRule type="expression" rank="0" priority="1960" equalAverage="0" aboveAverage="0" dxfId="1" text="" percent="0" bottom="0">
      <formula>AND(M490&gt;=10,M490&lt;20)</formula>
    </cfRule>
    <cfRule type="expression" rank="0" priority="1961" equalAverage="0" aboveAverage="0" dxfId="2" text="" percent="0" bottom="0">
      <formula>AND(M490&gt;=5,M490&lt;10)</formula>
    </cfRule>
    <cfRule type="expression" rank="0" priority="1962" equalAverage="0" aboveAverage="0" dxfId="3" text="" percent="0" bottom="0">
      <formula>AND(M490&gt;=1,M490&lt;5)</formula>
    </cfRule>
  </conditionalFormatting>
  <conditionalFormatting sqref="M491">
    <cfRule type="expression" rank="0" priority="1963" equalAverage="0" aboveAverage="0" dxfId="0" text="" percent="0" bottom="0">
      <formula>M491&gt;=20</formula>
    </cfRule>
    <cfRule type="expression" rank="0" priority="1964" equalAverage="0" aboveAverage="0" dxfId="1" text="" percent="0" bottom="0">
      <formula>AND(M491&gt;=10,M491&lt;20)</formula>
    </cfRule>
    <cfRule type="expression" rank="0" priority="1965" equalAverage="0" aboveAverage="0" dxfId="2" text="" percent="0" bottom="0">
      <formula>AND(M491&gt;=5,M491&lt;10)</formula>
    </cfRule>
    <cfRule type="expression" rank="0" priority="1966" equalAverage="0" aboveAverage="0" dxfId="3" text="" percent="0" bottom="0">
      <formula>AND(M491&gt;=1,M491&lt;5)</formula>
    </cfRule>
  </conditionalFormatting>
  <conditionalFormatting sqref="M492">
    <cfRule type="expression" rank="0" priority="1967" equalAverage="0" aboveAverage="0" dxfId="0" text="" percent="0" bottom="0">
      <formula>M492&gt;=20</formula>
    </cfRule>
    <cfRule type="expression" rank="0" priority="1968" equalAverage="0" aboveAverage="0" dxfId="1" text="" percent="0" bottom="0">
      <formula>AND(M492&gt;=10,M492&lt;20)</formula>
    </cfRule>
    <cfRule type="expression" rank="0" priority="1969" equalAverage="0" aboveAverage="0" dxfId="2" text="" percent="0" bottom="0">
      <formula>AND(M492&gt;=5,M492&lt;10)</formula>
    </cfRule>
    <cfRule type="expression" rank="0" priority="1970" equalAverage="0" aboveAverage="0" dxfId="3" text="" percent="0" bottom="0">
      <formula>AND(M492&gt;=1,M492&lt;5)</formula>
    </cfRule>
  </conditionalFormatting>
  <conditionalFormatting sqref="M493">
    <cfRule type="expression" rank="0" priority="1971" equalAverage="0" aboveAverage="0" dxfId="0" text="" percent="0" bottom="0">
      <formula>M493&gt;=20</formula>
    </cfRule>
    <cfRule type="expression" rank="0" priority="1972" equalAverage="0" aboveAverage="0" dxfId="1" text="" percent="0" bottom="0">
      <formula>AND(M493&gt;=10,M493&lt;20)</formula>
    </cfRule>
    <cfRule type="expression" rank="0" priority="1973" equalAverage="0" aboveAverage="0" dxfId="2" text="" percent="0" bottom="0">
      <formula>AND(M493&gt;=5,M493&lt;10)</formula>
    </cfRule>
    <cfRule type="expression" rank="0" priority="1974" equalAverage="0" aboveAverage="0" dxfId="3" text="" percent="0" bottom="0">
      <formula>AND(M493&gt;=1,M493&lt;5)</formula>
    </cfRule>
  </conditionalFormatting>
  <conditionalFormatting sqref="M494">
    <cfRule type="expression" rank="0" priority="1975" equalAverage="0" aboveAverage="0" dxfId="0" text="" percent="0" bottom="0">
      <formula>M494&gt;=20</formula>
    </cfRule>
    <cfRule type="expression" rank="0" priority="1976" equalAverage="0" aboveAverage="0" dxfId="1" text="" percent="0" bottom="0">
      <formula>AND(M494&gt;=10,M494&lt;20)</formula>
    </cfRule>
    <cfRule type="expression" rank="0" priority="1977" equalAverage="0" aboveAverage="0" dxfId="2" text="" percent="0" bottom="0">
      <formula>AND(M494&gt;=5,M494&lt;10)</formula>
    </cfRule>
    <cfRule type="expression" rank="0" priority="1978" equalAverage="0" aboveAverage="0" dxfId="3" text="" percent="0" bottom="0">
      <formula>AND(M494&gt;=1,M494&lt;5)</formula>
    </cfRule>
  </conditionalFormatting>
  <conditionalFormatting sqref="M495">
    <cfRule type="expression" rank="0" priority="1979" equalAverage="0" aboveAverage="0" dxfId="0" text="" percent="0" bottom="0">
      <formula>M495&gt;=20</formula>
    </cfRule>
    <cfRule type="expression" rank="0" priority="1980" equalAverage="0" aboveAverage="0" dxfId="1" text="" percent="0" bottom="0">
      <formula>AND(M495&gt;=10,M495&lt;20)</formula>
    </cfRule>
    <cfRule type="expression" rank="0" priority="1981" equalAverage="0" aboveAverage="0" dxfId="2" text="" percent="0" bottom="0">
      <formula>AND(M495&gt;=5,M495&lt;10)</formula>
    </cfRule>
    <cfRule type="expression" rank="0" priority="1982" equalAverage="0" aboveAverage="0" dxfId="3" text="" percent="0" bottom="0">
      <formula>AND(M495&gt;=1,M495&lt;5)</formula>
    </cfRule>
  </conditionalFormatting>
  <conditionalFormatting sqref="M496">
    <cfRule type="expression" rank="0" priority="1983" equalAverage="0" aboveAverage="0" dxfId="0" text="" percent="0" bottom="0">
      <formula>M496&gt;=20</formula>
    </cfRule>
    <cfRule type="expression" rank="0" priority="1984" equalAverage="0" aboveAverage="0" dxfId="1" text="" percent="0" bottom="0">
      <formula>AND(M496&gt;=10,M496&lt;20)</formula>
    </cfRule>
    <cfRule type="expression" rank="0" priority="1985" equalAverage="0" aboveAverage="0" dxfId="2" text="" percent="0" bottom="0">
      <formula>AND(M496&gt;=5,M496&lt;10)</formula>
    </cfRule>
    <cfRule type="expression" rank="0" priority="1986" equalAverage="0" aboveAverage="0" dxfId="3" text="" percent="0" bottom="0">
      <formula>AND(M496&gt;=1,M496&lt;5)</formula>
    </cfRule>
  </conditionalFormatting>
  <conditionalFormatting sqref="M497">
    <cfRule type="expression" rank="0" priority="1987" equalAverage="0" aboveAverage="0" dxfId="0" text="" percent="0" bottom="0">
      <formula>M497&gt;=20</formula>
    </cfRule>
    <cfRule type="expression" rank="0" priority="1988" equalAverage="0" aboveAverage="0" dxfId="1" text="" percent="0" bottom="0">
      <formula>AND(M497&gt;=10,M497&lt;20)</formula>
    </cfRule>
    <cfRule type="expression" rank="0" priority="1989" equalAverage="0" aboveAverage="0" dxfId="2" text="" percent="0" bottom="0">
      <formula>AND(M497&gt;=5,M497&lt;10)</formula>
    </cfRule>
    <cfRule type="expression" rank="0" priority="1990" equalAverage="0" aboveAverage="0" dxfId="3" text="" percent="0" bottom="0">
      <formula>AND(M497&gt;=1,M497&lt;5)</formula>
    </cfRule>
  </conditionalFormatting>
  <conditionalFormatting sqref="M498">
    <cfRule type="expression" rank="0" priority="1991" equalAverage="0" aboveAverage="0" dxfId="0" text="" percent="0" bottom="0">
      <formula>M498&gt;=20</formula>
    </cfRule>
    <cfRule type="expression" rank="0" priority="1992" equalAverage="0" aboveAverage="0" dxfId="1" text="" percent="0" bottom="0">
      <formula>AND(M498&gt;=10,M498&lt;20)</formula>
    </cfRule>
    <cfRule type="expression" rank="0" priority="1993" equalAverage="0" aboveAverage="0" dxfId="2" text="" percent="0" bottom="0">
      <formula>AND(M498&gt;=5,M498&lt;10)</formula>
    </cfRule>
    <cfRule type="expression" rank="0" priority="1994" equalAverage="0" aboveAverage="0" dxfId="3" text="" percent="0" bottom="0">
      <formula>AND(M498&gt;=1,M498&lt;5)</formula>
    </cfRule>
  </conditionalFormatting>
  <conditionalFormatting sqref="M499">
    <cfRule type="expression" rank="0" priority="1995" equalAverage="0" aboveAverage="0" dxfId="0" text="" percent="0" bottom="0">
      <formula>M499&gt;=20</formula>
    </cfRule>
    <cfRule type="expression" rank="0" priority="1996" equalAverage="0" aboveAverage="0" dxfId="1" text="" percent="0" bottom="0">
      <formula>AND(M499&gt;=10,M499&lt;20)</formula>
    </cfRule>
    <cfRule type="expression" rank="0" priority="1997" equalAverage="0" aboveAverage="0" dxfId="2" text="" percent="0" bottom="0">
      <formula>AND(M499&gt;=5,M499&lt;10)</formula>
    </cfRule>
    <cfRule type="expression" rank="0" priority="1998" equalAverage="0" aboveAverage="0" dxfId="3" text="" percent="0" bottom="0">
      <formula>AND(M499&gt;=1,M499&lt;5)</formula>
    </cfRule>
  </conditionalFormatting>
  <dataValidations count="8">
    <dataValidation sqref="C5:C500" showDropDown="0" showInputMessage="0" showErrorMessage="0" allowBlank="1" type="list" errorStyle="stop" operator="between">
      <formula1>"CISA KEV,NIST NVD,US-CERT,AWS Security Bulletin,Azure Security Update,AI Governance Update,NIST Framework Update,ISO Update,Internal Assessment"</formula1>
      <formula2>0</formula2>
    </dataValidation>
    <dataValidation sqref="F5:F500" showDropDown="0" showInputMessage="0" showErrorMessage="0" allowBlank="1" type="list" errorStyle="stop" operator="between">
      <formula1>"IT — Network,IT — Application,IT — Endpoint,OT — Industrial,OT — SCADA,Cloud — IAM,Cloud — Storage,Cloud — Network,AI/ML — Model,AI/ML — Data,AI/ML — Governance,Physical"</formula1>
      <formula2>0</formula2>
    </dataValidation>
    <dataValidation sqref="K5:K500" showDropDown="0" showInputMessage="0" showErrorMessage="0" allowBlank="1" type="list" errorStyle="stop" operator="between">
      <formula1>"1,2,3,4,5"</formula1>
      <formula2>0</formula2>
    </dataValidation>
    <dataValidation sqref="L5:L500" showDropDown="0" showInputMessage="0" showErrorMessage="0" allowBlank="1" type="list" errorStyle="stop" operator="between">
      <formula1>"1,2,3,4,5"</formula1>
      <formula2>0</formula2>
    </dataValidation>
    <dataValidation sqref="N5:N500" showDropDown="0" showInputMessage="0" showErrorMessage="0" allowBlank="1" type="list" errorStyle="stop" operator="between">
      <formula1>"Critical,High,Medium,Low"</formula1>
      <formula2>0</formula2>
    </dataValidation>
    <dataValidation sqref="O5:O500" showDropDown="0" showInputMessage="0" showErrorMessage="0" allowBlank="1" type="list" errorStyle="stop" operator="between">
      <formula1>"Critical,High,Medium,Low"</formula1>
      <formula2>0</formula2>
    </dataValidation>
    <dataValidation sqref="Q5:Q500" showDropDown="0" showInputMessage="0" showErrorMessage="0" allowBlank="1" type="list" errorStyle="stop" operator="between">
      <formula1>"Critical,High,Medium,Low"</formula1>
      <formula2>0</formula2>
    </dataValidation>
    <dataValidation sqref="U5:U500" showDropDown="0" showInputMessage="0" showErrorMessage="0" allowBlank="1" type="list" errorStyle="stop" operator="between">
      <formula1>"Open,Mitigating,Closed,Accepted,Transferred"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1:F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3" customWidth="1" style="41" min="1" max="1"/>
    <col width="28" customWidth="1" style="41" min="2" max="2"/>
    <col width="16" customWidth="1" style="41" min="3" max="3"/>
    <col width="3" customWidth="1" style="41" min="4" max="4"/>
    <col width="28" customWidth="1" style="41" min="5" max="5"/>
    <col width="16" customWidth="1" style="41" min="6" max="6"/>
  </cols>
  <sheetData>
    <row r="1" ht="39.75" customHeight="1" s="42">
      <c r="B1" s="43" t="inlineStr">
        <is>
          <t>GRC INTELLIGENCE DASHBOARD — BLAISE KINGKO</t>
        </is>
      </c>
    </row>
    <row r="3" ht="15" customHeight="1" s="42">
      <c r="B3" s="54" t="inlineStr">
        <is>
          <t>RISK SUMMARY</t>
        </is>
      </c>
      <c r="E3" s="55" t="inlineStr">
        <is>
          <t>RISKS BY SOURCE</t>
        </is>
      </c>
    </row>
    <row r="4" ht="21.75" customHeight="1" s="42">
      <c r="B4" s="56" t="inlineStr">
        <is>
          <t>Total Risks Identified</t>
        </is>
      </c>
      <c r="C4" s="57">
        <f>COUNTA('🛡️ Risk Register'!A5:A500)</f>
        <v/>
      </c>
      <c r="E4" s="58" t="inlineStr">
        <is>
          <t>CISA KEV</t>
        </is>
      </c>
      <c r="F4" s="59">
        <f>COUNTIF('🛡️ Risk Register'!C5:C500,"CISA KEV")</f>
        <v/>
      </c>
    </row>
    <row r="5" ht="21.75" customHeight="1" s="42">
      <c r="B5" s="60" t="inlineStr">
        <is>
          <t>Critical Risks</t>
        </is>
      </c>
      <c r="C5" s="61">
        <f>COUNTIF('🛡️ Risk Register'!N5:N500,"Critical")</f>
        <v/>
      </c>
      <c r="E5" s="62" t="inlineStr">
        <is>
          <t>NIST NVD</t>
        </is>
      </c>
      <c r="F5" s="63">
        <f>COUNTIF('🛡️ Risk Register'!C5:C500,"NIST NVD")</f>
        <v/>
      </c>
    </row>
    <row r="6" ht="21.75" customHeight="1" s="42">
      <c r="B6" s="56" t="inlineStr">
        <is>
          <t>High Risks</t>
        </is>
      </c>
      <c r="C6" s="57">
        <f>COUNTIF('🛡️ Risk Register'!N5:N500,"High")</f>
        <v/>
      </c>
      <c r="E6" s="58" t="inlineStr">
        <is>
          <t>US-CERT</t>
        </is>
      </c>
      <c r="F6" s="59">
        <f>COUNTIF('🛡️ Risk Register'!C5:C500,"US-CERT")</f>
        <v/>
      </c>
    </row>
    <row r="7" ht="21.75" customHeight="1" s="42">
      <c r="B7" s="60" t="inlineStr">
        <is>
          <t>Medium Risks</t>
        </is>
      </c>
      <c r="C7" s="61">
        <f>COUNTIF('🛡️ Risk Register'!N5:N500,"Medium")</f>
        <v/>
      </c>
      <c r="E7" s="62" t="inlineStr">
        <is>
          <t>AWS Security Bulletin</t>
        </is>
      </c>
      <c r="F7" s="63">
        <f>COUNTIF('🛡️ Risk Register'!C5:C500,"AWS Security Bulletin")</f>
        <v/>
      </c>
    </row>
    <row r="8" ht="21.75" customHeight="1" s="42">
      <c r="B8" s="56" t="inlineStr">
        <is>
          <t>Low Risks</t>
        </is>
      </c>
      <c r="C8" s="57">
        <f>COUNTIF('🛡️ Risk Register'!N5:N500,"Low")</f>
        <v/>
      </c>
      <c r="E8" s="58" t="inlineStr">
        <is>
          <t>Azure Security Update</t>
        </is>
      </c>
      <c r="F8" s="59">
        <f>COUNTIF('🛡️ Risk Register'!C5:C500,"Azure Security Update")</f>
        <v/>
      </c>
    </row>
    <row r="9" ht="21.75" customHeight="1" s="42">
      <c r="B9" s="60" t="inlineStr">
        <is>
          <t>Open Risks</t>
        </is>
      </c>
      <c r="C9" s="61">
        <f>COUNTIF('🛡️ Risk Register'!U5:U500,"Open")</f>
        <v/>
      </c>
      <c r="E9" s="62" t="inlineStr">
        <is>
          <t>AI Governance Update</t>
        </is>
      </c>
      <c r="F9" s="63">
        <f>COUNTIF('🛡️ Risk Register'!C5:C500,"AI Governance Update")</f>
        <v/>
      </c>
    </row>
    <row r="10" ht="21.75" customHeight="1" s="42">
      <c r="B10" s="56" t="inlineStr">
        <is>
          <t>Mitigating</t>
        </is>
      </c>
      <c r="C10" s="57">
        <f>COUNTIF('🛡️ Risk Register'!U5:U500,"Mitigating")</f>
        <v/>
      </c>
      <c r="E10" s="58" t="inlineStr">
        <is>
          <t>NIST Framework Update</t>
        </is>
      </c>
      <c r="F10" s="59">
        <f>COUNTIF('🛡️ Risk Register'!C5:C500,"NIST Framework Update")</f>
        <v/>
      </c>
    </row>
    <row r="11" ht="21.75" customHeight="1" s="42">
      <c r="B11" s="60" t="inlineStr">
        <is>
          <t>Closed This Period</t>
        </is>
      </c>
      <c r="C11" s="61">
        <f>COUNTIF('🛡️ Risk Register'!U5:U500,"Closed")</f>
        <v/>
      </c>
      <c r="E11" s="62" t="inlineStr">
        <is>
          <t>ISO Update</t>
        </is>
      </c>
      <c r="F11" s="63">
        <f>COUNTIF('🛡️ Risk Register'!C5:C500,"ISO Update")</f>
        <v/>
      </c>
    </row>
    <row r="12" ht="21.75" customHeight="1" s="42">
      <c r="B12" s="56" t="inlineStr">
        <is>
          <t>AI/ML Risks</t>
        </is>
      </c>
      <c r="C12" s="57">
        <f>COUNTIFS('🛡️ Risk Register'!F5:F500,"AI/ML*")</f>
        <v/>
      </c>
      <c r="E12" s="58" t="inlineStr">
        <is>
          <t>Internal Assessment</t>
        </is>
      </c>
      <c r="F12" s="59">
        <f>COUNTIF('🛡️ Risk Register'!C5:C500,"Internal Assessment")</f>
        <v/>
      </c>
    </row>
    <row r="13" ht="21.75" customHeight="1" s="42">
      <c r="B13" s="60" t="inlineStr">
        <is>
          <t>Cloud Risks</t>
        </is>
      </c>
      <c r="C13" s="61">
        <f>COUNTIFS('🛡️ Risk Register'!F5:F500,"Cloud*")</f>
        <v/>
      </c>
    </row>
    <row r="14" ht="21.75" customHeight="1" s="42">
      <c r="B14" s="56" t="inlineStr">
        <is>
          <t>OT/ICS Risks</t>
        </is>
      </c>
      <c r="C14" s="57">
        <f>COUNTIFS('🛡️ Risk Register'!F5:F500,"OT*")</f>
        <v/>
      </c>
    </row>
    <row r="15" ht="21.75" customHeight="1" s="42">
      <c r="B15" s="60" t="inlineStr">
        <is>
          <t>Past Due (Overdue)</t>
        </is>
      </c>
      <c r="C15" s="61">
        <f>COUNTIFS('🛡️ Risk Register'!V5:V500,"&lt;"&amp;TODAY(),'🛡️ Risk Register'!U5:U500,"Open")</f>
        <v/>
      </c>
    </row>
    <row r="17" ht="15" customHeight="1" s="42">
      <c r="B17" s="64" t="inlineStr">
        <is>
          <t>FRAMEWORK COVERAGE</t>
        </is>
      </c>
    </row>
    <row r="18" ht="15" customHeight="1" s="42">
      <c r="B18" s="65" t="inlineStr">
        <is>
          <t>NIST CSF 2.0</t>
        </is>
      </c>
      <c r="C18" s="66">
        <f>COUNTIF('🛡️ Risk Register'!I5:I500,"*NIST CSF*")</f>
        <v/>
      </c>
    </row>
    <row r="19" ht="15" customHeight="1" s="42">
      <c r="B19" s="62" t="inlineStr">
        <is>
          <t>NIST 800-53</t>
        </is>
      </c>
      <c r="C19" s="63">
        <f>COUNTIF('🛡️ Risk Register'!I5:I500,"*800-53*")</f>
        <v/>
      </c>
    </row>
    <row r="20" ht="15" customHeight="1" s="42">
      <c r="B20" s="65" t="inlineStr">
        <is>
          <t>ISO 27001</t>
        </is>
      </c>
      <c r="C20" s="66">
        <f>COUNTIF('🛡️ Risk Register'!I5:I500,"*ISO 27001*")</f>
        <v/>
      </c>
    </row>
    <row r="21" ht="15" customHeight="1" s="42">
      <c r="B21" s="62" t="inlineStr">
        <is>
          <t>CIS Controls</t>
        </is>
      </c>
      <c r="C21" s="63">
        <f>COUNTIF('🛡️ Risk Register'!I5:I500,"*CIS Control*")</f>
        <v/>
      </c>
    </row>
    <row r="22" ht="15" customHeight="1" s="42">
      <c r="B22" s="65" t="inlineStr">
        <is>
          <t>NIST AI RMF</t>
        </is>
      </c>
      <c r="C22" s="66">
        <f>COUNTIF('🛡️ Risk Register'!I5:I500,"*NIST AI RMF*")</f>
        <v/>
      </c>
    </row>
    <row r="23" ht="15" customHeight="1" s="42">
      <c r="B23" s="62" t="inlineStr">
        <is>
          <t>ISO 42001</t>
        </is>
      </c>
      <c r="C23" s="63">
        <f>COUNTIF('🛡️ Risk Register'!I5:I500,"*ISO 42001*")</f>
        <v/>
      </c>
    </row>
    <row r="24" ht="15" customHeight="1" s="42">
      <c r="B24" s="65" t="inlineStr">
        <is>
          <t>EU AI Act</t>
        </is>
      </c>
      <c r="C24" s="66">
        <f>COUNTIF('🛡️ Risk Register'!I5:I500,"*EU AI Act*")</f>
        <v/>
      </c>
    </row>
  </sheetData>
  <mergeCells count="4">
    <mergeCell ref="B3:C3"/>
    <mergeCell ref="E3:F3"/>
    <mergeCell ref="B1:F1"/>
    <mergeCell ref="B17:C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20" customWidth="1" style="41" min="1" max="1"/>
    <col width="14" customWidth="1" style="41" min="2" max="6"/>
    <col width="3" customWidth="1" style="41" min="7" max="7"/>
    <col width="30" customWidth="1" style="41" min="8" max="8"/>
  </cols>
  <sheetData>
    <row r="1" ht="36" customHeight="1" s="42">
      <c r="B1" s="67" t="inlineStr">
        <is>
          <t>RISK HEAT MAP — LIKELIHOOD vs IMPACT</t>
        </is>
      </c>
    </row>
    <row r="3" ht="15" customHeight="1" s="42">
      <c r="A3" s="68" t="inlineStr">
        <is>
          <t>LIKELIHOOD ↓</t>
        </is>
      </c>
      <c r="B3" s="68" t="inlineStr">
        <is>
          <t>IMPACT →</t>
        </is>
      </c>
    </row>
    <row r="4" ht="19.5" customHeight="1" s="42">
      <c r="B4" s="69" t="inlineStr">
        <is>
          <t>1 — Minimal</t>
        </is>
      </c>
      <c r="C4" s="69" t="inlineStr">
        <is>
          <t>2 — Minor</t>
        </is>
      </c>
      <c r="D4" s="69" t="inlineStr">
        <is>
          <t>3 — Moderate</t>
        </is>
      </c>
      <c r="E4" s="69" t="inlineStr">
        <is>
          <t>4 — Major</t>
        </is>
      </c>
      <c r="F4" s="69" t="inlineStr">
        <is>
          <t>5 — Catastrophic</t>
        </is>
      </c>
      <c r="H4" s="70" t="inlineStr">
        <is>
          <t>LEGEND</t>
        </is>
      </c>
    </row>
    <row r="5" ht="39.75" customHeight="1" s="42">
      <c r="A5" s="69" t="inlineStr">
        <is>
          <t>5 — Almost Certain</t>
        </is>
      </c>
      <c r="B5" s="71" t="inlineStr">
        <is>
          <t>5
Medium</t>
        </is>
      </c>
      <c r="C5" s="72" t="inlineStr">
        <is>
          <t>10
High</t>
        </is>
      </c>
      <c r="D5" s="73" t="inlineStr">
        <is>
          <t>15
Critical</t>
        </is>
      </c>
      <c r="E5" s="73" t="inlineStr">
        <is>
          <t>20
Critical</t>
        </is>
      </c>
      <c r="F5" s="74" t="inlineStr">
        <is>
          <t>25
Critical</t>
        </is>
      </c>
      <c r="H5" s="75" t="inlineStr">
        <is>
          <t>Critical (Score 20-25)</t>
        </is>
      </c>
    </row>
    <row r="6" ht="39.75" customHeight="1" s="42">
      <c r="A6" s="69" t="inlineStr">
        <is>
          <t>4 — Likely</t>
        </is>
      </c>
      <c r="B6" s="76" t="inlineStr">
        <is>
          <t>4
Low</t>
        </is>
      </c>
      <c r="C6" s="77" t="inlineStr">
        <is>
          <t>8
Medium</t>
        </is>
      </c>
      <c r="D6" s="72" t="inlineStr">
        <is>
          <t>12
High</t>
        </is>
      </c>
      <c r="E6" s="73" t="inlineStr">
        <is>
          <t>16
Critical</t>
        </is>
      </c>
      <c r="F6" s="73" t="inlineStr">
        <is>
          <t>20
Critical</t>
        </is>
      </c>
      <c r="H6" s="78" t="inlineStr">
        <is>
          <t>High (Score 10-19)</t>
        </is>
      </c>
    </row>
    <row r="7" ht="39.75" customHeight="1" s="42">
      <c r="A7" s="69" t="inlineStr">
        <is>
          <t>3 — Possible</t>
        </is>
      </c>
      <c r="B7" s="79" t="inlineStr">
        <is>
          <t>3
Low</t>
        </is>
      </c>
      <c r="C7" s="71" t="inlineStr">
        <is>
          <t>6
Medium</t>
        </is>
      </c>
      <c r="D7" s="77" t="inlineStr">
        <is>
          <t>9
Medium</t>
        </is>
      </c>
      <c r="E7" s="72" t="inlineStr">
        <is>
          <t>12
High</t>
        </is>
      </c>
      <c r="F7" s="73" t="inlineStr">
        <is>
          <t>15
Critical</t>
        </is>
      </c>
      <c r="H7" s="80" t="inlineStr">
        <is>
          <t>Medium (Score 5-9)</t>
        </is>
      </c>
    </row>
    <row r="8" ht="39.75" customHeight="1" s="42">
      <c r="A8" s="69" t="inlineStr">
        <is>
          <t>2 — Unlikely</t>
        </is>
      </c>
      <c r="B8" s="79" t="inlineStr">
        <is>
          <t>2
Low</t>
        </is>
      </c>
      <c r="C8" s="79" t="inlineStr">
        <is>
          <t>4
Low</t>
        </is>
      </c>
      <c r="D8" s="71" t="inlineStr">
        <is>
          <t>6
Medium</t>
        </is>
      </c>
      <c r="E8" s="77" t="inlineStr">
        <is>
          <t>8
Medium</t>
        </is>
      </c>
      <c r="F8" s="72" t="inlineStr">
        <is>
          <t>10
High</t>
        </is>
      </c>
      <c r="H8" s="81" t="inlineStr">
        <is>
          <t>Low (Score 1-4)</t>
        </is>
      </c>
    </row>
    <row r="9" ht="39.75" customHeight="1" s="42">
      <c r="A9" s="69" t="inlineStr">
        <is>
          <t>1 — Rare</t>
        </is>
      </c>
      <c r="B9" s="79" t="inlineStr">
        <is>
          <t>1
Low</t>
        </is>
      </c>
      <c r="C9" s="79" t="inlineStr">
        <is>
          <t>2
Low</t>
        </is>
      </c>
      <c r="D9" s="79" t="inlineStr">
        <is>
          <t>3
Low</t>
        </is>
      </c>
      <c r="E9" s="76" t="inlineStr">
        <is>
          <t>4
Low</t>
        </is>
      </c>
      <c r="F9" s="71" t="inlineStr">
        <is>
          <t>5
Medium</t>
        </is>
      </c>
    </row>
  </sheetData>
  <mergeCells count="1">
    <mergeCell ref="B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1:F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3" customWidth="1" style="41" min="1" max="1"/>
    <col width="24" customWidth="1" style="41" min="2" max="2"/>
    <col width="40" customWidth="1" style="41" min="3" max="3"/>
    <col width="18" customWidth="1" style="41" min="4" max="5"/>
    <col width="30" customWidth="1" style="41" min="6" max="6"/>
  </cols>
  <sheetData>
    <row r="1" ht="36" customHeight="1" s="42">
      <c r="B1" s="67" t="inlineStr">
        <is>
          <t>INTELLIGENCE MONITORING SOURCES — BLAISE KINGKO GRC PROGRAM</t>
        </is>
      </c>
    </row>
    <row r="2" ht="21.75" customHeight="1" s="42">
      <c r="B2" s="82" t="inlineStr">
        <is>
          <t>SOURCE</t>
        </is>
      </c>
      <c r="C2" s="82" t="inlineStr">
        <is>
          <t>URL / FEED</t>
        </is>
      </c>
      <c r="D2" s="82" t="inlineStr">
        <is>
          <t>CATEGORY</t>
        </is>
      </c>
      <c r="E2" s="82" t="inlineStr">
        <is>
          <t>FREQUENCY</t>
        </is>
      </c>
      <c r="F2" s="82" t="inlineStr">
        <is>
          <t>FRAMEWORK RELEVANCE</t>
        </is>
      </c>
    </row>
    <row r="3" ht="21.75" customHeight="1" s="42">
      <c r="B3" s="62" t="inlineStr">
        <is>
          <t>CISA KEV</t>
        </is>
      </c>
      <c r="C3" s="62" t="inlineStr">
        <is>
          <t>https://www.cisa.gov/known-exploited-vulnerabilities-catalog</t>
        </is>
      </c>
      <c r="D3" s="62" t="inlineStr">
        <is>
          <t>Threat Intel</t>
        </is>
      </c>
      <c r="E3" s="62" t="inlineStr">
        <is>
          <t>Daily</t>
        </is>
      </c>
      <c r="F3" s="62" t="inlineStr">
        <is>
          <t>NIST CSF: DE.CM | NIST 800-53: RA-5, SI-2</t>
        </is>
      </c>
    </row>
    <row r="4" ht="21.75" customHeight="1" s="42">
      <c r="B4" s="58" t="inlineStr">
        <is>
          <t>CISA Advisories</t>
        </is>
      </c>
      <c r="C4" s="58" t="inlineStr">
        <is>
          <t>https://www.cisa.gov/news-events/cybersecurity-advisories</t>
        </is>
      </c>
      <c r="D4" s="58" t="inlineStr">
        <is>
          <t>Threat Intel</t>
        </is>
      </c>
      <c r="E4" s="58" t="inlineStr">
        <is>
          <t>Weekly</t>
        </is>
      </c>
      <c r="F4" s="58" t="inlineStr">
        <is>
          <t>NIST CSF: DE.AE | NIST 800-53: IR-4, SI-5</t>
        </is>
      </c>
    </row>
    <row r="5" ht="21.75" customHeight="1" s="42">
      <c r="B5" s="62" t="inlineStr">
        <is>
          <t>US-CERT Alerts</t>
        </is>
      </c>
      <c r="C5" s="62" t="inlineStr">
        <is>
          <t>https://www.cisa.gov/uscert/ncas/alerts</t>
        </is>
      </c>
      <c r="D5" s="62" t="inlineStr">
        <is>
          <t>Threat Intel</t>
        </is>
      </c>
      <c r="E5" s="62" t="inlineStr">
        <is>
          <t>Weekly</t>
        </is>
      </c>
      <c r="F5" s="62" t="inlineStr">
        <is>
          <t>NIST CSF: RS.CO | NIST 800-53: IR-6</t>
        </is>
      </c>
    </row>
    <row r="6" ht="21.75" customHeight="1" s="42">
      <c r="B6" s="58" t="inlineStr">
        <is>
          <t>NIST NVD</t>
        </is>
      </c>
      <c r="C6" s="58" t="inlineStr">
        <is>
          <t>https://nvd.nist.gov/vuln/search</t>
        </is>
      </c>
      <c r="D6" s="58" t="inlineStr">
        <is>
          <t>Vulnerability</t>
        </is>
      </c>
      <c r="E6" s="58" t="inlineStr">
        <is>
          <t>Weekly</t>
        </is>
      </c>
      <c r="F6" s="58" t="inlineStr">
        <is>
          <t>NIST 800-53: RA-5 | CIS Control 7</t>
        </is>
      </c>
    </row>
    <row r="7" ht="21.75" customHeight="1" s="42">
      <c r="B7" s="62" t="inlineStr">
        <is>
          <t>NIST 800-53 Updates</t>
        </is>
      </c>
      <c r="C7" s="62" t="inlineStr">
        <is>
          <t>https://csrc.nist.gov/publications/detail/sp/800-53/rev-5/final</t>
        </is>
      </c>
      <c r="D7" s="62" t="inlineStr">
        <is>
          <t>Framework</t>
        </is>
      </c>
      <c r="E7" s="62" t="inlineStr">
        <is>
          <t>Quarterly</t>
        </is>
      </c>
      <c r="F7" s="62" t="inlineStr">
        <is>
          <t>NIST 800-53 all control families</t>
        </is>
      </c>
    </row>
    <row r="8" ht="21.75" customHeight="1" s="42">
      <c r="B8" s="58" t="inlineStr">
        <is>
          <t>NIST CSF 2.0 Updates</t>
        </is>
      </c>
      <c r="C8" s="58" t="inlineStr">
        <is>
          <t>https://www.nist.gov/cyberframework</t>
        </is>
      </c>
      <c r="D8" s="58" t="inlineStr">
        <is>
          <t>Framework</t>
        </is>
      </c>
      <c r="E8" s="58" t="inlineStr">
        <is>
          <t>Quarterly</t>
        </is>
      </c>
      <c r="F8" s="58" t="inlineStr">
        <is>
          <t>NIST CSF 2.0 all functions</t>
        </is>
      </c>
    </row>
    <row r="9" ht="21.75" customHeight="1" s="42">
      <c r="B9" s="62" t="inlineStr">
        <is>
          <t>NIST AI RMF Updates</t>
        </is>
      </c>
      <c r="C9" s="62" t="inlineStr">
        <is>
          <t>https://www.nist.gov/artificial-intelligence</t>
        </is>
      </c>
      <c r="D9" s="62" t="inlineStr">
        <is>
          <t>AI Governance</t>
        </is>
      </c>
      <c r="E9" s="62" t="inlineStr">
        <is>
          <t>Monthly</t>
        </is>
      </c>
      <c r="F9" s="62" t="inlineStr">
        <is>
          <t>NIST AI RMF: GOVERN, MAP, MEASURE, MANAGE</t>
        </is>
      </c>
    </row>
    <row r="10" ht="21.75" customHeight="1" s="42">
      <c r="B10" s="58" t="inlineStr">
        <is>
          <t>ISO 27001 Updates</t>
        </is>
      </c>
      <c r="C10" s="58" t="inlineStr">
        <is>
          <t>https://www.iso.org/standard/27001</t>
        </is>
      </c>
      <c r="D10" s="58" t="inlineStr">
        <is>
          <t>Framework</t>
        </is>
      </c>
      <c r="E10" s="58" t="inlineStr">
        <is>
          <t>Annual</t>
        </is>
      </c>
      <c r="F10" s="58" t="inlineStr">
        <is>
          <t>ISO 27001 all clauses and Annex A</t>
        </is>
      </c>
    </row>
    <row r="11" ht="21.75" customHeight="1" s="42">
      <c r="B11" s="62" t="inlineStr">
        <is>
          <t>ISO 42001 Updates</t>
        </is>
      </c>
      <c r="C11" s="62" t="inlineStr">
        <is>
          <t>https://www.iso.org/standard/81230.html</t>
        </is>
      </c>
      <c r="D11" s="62" t="inlineStr">
        <is>
          <t>AI Governance</t>
        </is>
      </c>
      <c r="E11" s="62" t="inlineStr">
        <is>
          <t>Annual</t>
        </is>
      </c>
      <c r="F11" s="62" t="inlineStr">
        <is>
          <t>ISO 42001 all clauses</t>
        </is>
      </c>
    </row>
    <row r="12" ht="21.75" customHeight="1" s="42">
      <c r="B12" s="58" t="inlineStr">
        <is>
          <t>EU AI Act</t>
        </is>
      </c>
      <c r="C12" s="58" t="inlineStr">
        <is>
          <t>https://artificialintelligenceact.eu</t>
        </is>
      </c>
      <c r="D12" s="58" t="inlineStr">
        <is>
          <t>AI Governance / Regulatory</t>
        </is>
      </c>
      <c r="E12" s="58" t="inlineStr">
        <is>
          <t>Monthly</t>
        </is>
      </c>
      <c r="F12" s="58" t="inlineStr">
        <is>
          <t>EU AI Act Articles 9, 10, 11, 13, 17</t>
        </is>
      </c>
    </row>
    <row r="13" ht="21.75" customHeight="1" s="42">
      <c r="B13" s="62" t="inlineStr">
        <is>
          <t>AWS Security Bulletins</t>
        </is>
      </c>
      <c r="C13" s="62" t="inlineStr">
        <is>
          <t>https://aws.amazon.com/security/security-bulletins/</t>
        </is>
      </c>
      <c r="D13" s="62" t="inlineStr">
        <is>
          <t>Cloud Security</t>
        </is>
      </c>
      <c r="E13" s="62" t="inlineStr">
        <is>
          <t>Weekly</t>
        </is>
      </c>
      <c r="F13" s="62" t="inlineStr">
        <is>
          <t>NIST 800-53: SI-2 | CIS Control 7 | CSF: PR.PS</t>
        </is>
      </c>
    </row>
    <row r="14" ht="21.75" customHeight="1" s="42">
      <c r="B14" s="58" t="inlineStr">
        <is>
          <t>Azure Security Updates</t>
        </is>
      </c>
      <c r="C14" s="58" t="inlineStr">
        <is>
          <t>https://msrc.microsoft.com/update-guide/</t>
        </is>
      </c>
      <c r="D14" s="58" t="inlineStr">
        <is>
          <t>Cloud Security</t>
        </is>
      </c>
      <c r="E14" s="58" t="inlineStr">
        <is>
          <t>Weekly</t>
        </is>
      </c>
      <c r="F14" s="58" t="inlineStr">
        <is>
          <t>NIST 800-53: SI-2 | CIS Control 7 | CSF: PR.PS</t>
        </is>
      </c>
    </row>
    <row r="15" ht="21.75" customHeight="1" s="42">
      <c r="B15" s="62" t="inlineStr">
        <is>
          <t>CIS Benchmarks</t>
        </is>
      </c>
      <c r="C15" s="62" t="inlineStr">
        <is>
          <t>https://www.cisecurity.org/cis-benchmarks</t>
        </is>
      </c>
      <c r="D15" s="62" t="inlineStr">
        <is>
          <t>Hardening</t>
        </is>
      </c>
      <c r="E15" s="62" t="inlineStr">
        <is>
          <t>Quarterly</t>
        </is>
      </c>
      <c r="F15" s="62" t="inlineStr">
        <is>
          <t>CIS Controls 1-18 | NIST 800-53: CM-6</t>
        </is>
      </c>
    </row>
    <row r="16" ht="21.75" customHeight="1" s="42">
      <c r="B16" s="58" t="inlineStr">
        <is>
          <t>MITRE ATT&amp;CK</t>
        </is>
      </c>
      <c r="C16" s="58" t="inlineStr">
        <is>
          <t>https://attack.mitre.org</t>
        </is>
      </c>
      <c r="D16" s="58" t="inlineStr">
        <is>
          <t>Threat Intel</t>
        </is>
      </c>
      <c r="E16" s="58" t="inlineStr">
        <is>
          <t>Monthly</t>
        </is>
      </c>
      <c r="F16" s="58" t="inlineStr">
        <is>
          <t>NIST CSF: DE.AE | NIST 800-53: RA-3</t>
        </is>
      </c>
    </row>
    <row r="17" ht="21.75" customHeight="1" s="42">
      <c r="B17" s="62" t="inlineStr">
        <is>
          <t>MITRE ATLAS (AI)</t>
        </is>
      </c>
      <c r="C17" s="62" t="inlineStr">
        <is>
          <t>https://atlas.mitre.org</t>
        </is>
      </c>
      <c r="D17" s="62" t="inlineStr">
        <is>
          <t>AI Threat Intel</t>
        </is>
      </c>
      <c r="E17" s="62" t="inlineStr">
        <is>
          <t>Monthly</t>
        </is>
      </c>
      <c r="F17" s="62" t="inlineStr">
        <is>
          <t>NIST AI RMF: MAP 5 | ISO 42001: 6.1.2</t>
        </is>
      </c>
    </row>
  </sheetData>
  <mergeCells count="1">
    <mergeCell ref="B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A1" sqref="A1"/>
    </sheetView>
  </sheetViews>
  <sheetFormatPr baseColWidth="8" defaultRowHeight="15" outlineLevelCol="0"/>
  <cols>
    <col width="8" customWidth="1" style="42" min="1" max="1"/>
    <col width="11" customWidth="1" style="42" min="2" max="2"/>
    <col width="10" customWidth="1" style="42" min="3" max="3"/>
    <col width="38" customWidth="1" style="42" min="4" max="4"/>
    <col width="30" customWidth="1" style="42" min="5" max="5"/>
    <col width="14" customWidth="1" style="42" min="6" max="6"/>
    <col width="60" customWidth="1" style="42" min="7" max="7"/>
  </cols>
  <sheetData>
    <row r="1" ht="28" customHeight="1" s="42">
      <c r="A1" s="86" t="inlineStr">
        <is>
          <t>VERSION LOG — GRC Intelligence Risk Register</t>
        </is>
      </c>
    </row>
    <row r="2" ht="28" customHeight="1" s="42">
      <c r="A2" s="87" t="inlineStr">
        <is>
          <t>Authoritative history of register versions. The LIVE file (GRC_Intelligence_Risk_Register.xlsx) always reflects the version marked LIVE below. Dated snapshot files in this folder are frozen, read-only archives of past versions — do not edit them.</t>
        </is>
      </c>
    </row>
    <row r="4">
      <c r="A4" s="88" t="inlineStr">
        <is>
          <t>Version</t>
        </is>
      </c>
      <c r="B4" s="88" t="inlineStr">
        <is>
          <t>Date</t>
        </is>
      </c>
      <c r="C4" s="88" t="inlineStr">
        <is>
          <t>Status</t>
        </is>
      </c>
      <c r="D4" s="88" t="inlineStr">
        <is>
          <t>Snapshot Filename</t>
        </is>
      </c>
      <c r="E4" s="88" t="inlineStr">
        <is>
          <t>Risk IDs Added/Changed This Version</t>
        </is>
      </c>
      <c r="F4" s="88" t="inlineStr">
        <is>
          <t>Total Open Risks</t>
        </is>
      </c>
      <c r="G4" s="88" t="inlineStr">
        <is>
          <t>Summary of Changes</t>
        </is>
      </c>
    </row>
    <row r="5" ht="60" customHeight="1" s="42">
      <c r="A5" s="89" t="inlineStr">
        <is>
          <t>v1</t>
        </is>
      </c>
      <c r="B5" s="89" t="inlineStr">
        <is>
          <t>2026-06-01</t>
        </is>
      </c>
      <c r="C5" s="89" t="inlineStr">
        <is>
          <t>ARCHIVED</t>
        </is>
      </c>
      <c r="D5" s="89" t="inlineStr">
        <is>
          <t>GRC_Intelligence_Risk_Register_2026-06-01.xlsx</t>
        </is>
      </c>
      <c r="E5" s="89" t="inlineStr">
        <is>
          <t>RR-001 – RR-005</t>
        </is>
      </c>
      <c r="F5" s="89" t="n">
        <v>5</v>
      </c>
      <c r="G5" s="89" t="inlineStr">
        <is>
          <t>Initial register established. Baseline cloud security and AI governance risks logged.</t>
        </is>
      </c>
    </row>
    <row r="6" ht="60" customHeight="1" s="42">
      <c r="A6" s="89" t="inlineStr">
        <is>
          <t>v2</t>
        </is>
      </c>
      <c r="B6" s="89" t="inlineStr">
        <is>
          <t>2026-06-08</t>
        </is>
      </c>
      <c r="C6" s="89" t="inlineStr">
        <is>
          <t>ARCHIVED</t>
        </is>
      </c>
      <c r="D6" s="89" t="inlineStr">
        <is>
          <t>GRC_Intelligence_Risk_Register_2026-06-08.xlsx</t>
        </is>
      </c>
      <c r="E6" s="89" t="inlineStr">
        <is>
          <t>RR-006 – RR-010</t>
        </is>
      </c>
      <c r="F6" s="89" t="n">
        <v>10</v>
      </c>
      <c r="G6" s="89" t="inlineStr">
        <is>
          <t>Added 5 new risks (AWS/Azure cloud platform CVEs, Magento KEV, EU AI Act draft guidance, Android KEV). NOTE: these 5 rows were entered with a 2-column data shift (Affected Asset/Affected System fields omitted), corrupting Likelihood/Impact/Risk Score/Risk Rating placement for RR-006–RR-010. Not caught at the time — corrected retroactively in v4 (see below).</t>
        </is>
      </c>
    </row>
    <row r="7" ht="60" customHeight="1" s="42">
      <c r="A7" s="89" t="inlineStr">
        <is>
          <t>v3</t>
        </is>
      </c>
      <c r="B7" s="89" t="inlineStr">
        <is>
          <t>2026-06-15</t>
        </is>
      </c>
      <c r="C7" s="89" t="inlineStr">
        <is>
          <t>ARCHIVED</t>
        </is>
      </c>
      <c r="D7" s="89" t="inlineStr">
        <is>
          <t>GRC_Intelligence_Risk_Register_2026-06-15.xlsx</t>
        </is>
      </c>
      <c r="E7" s="89" t="inlineStr">
        <is>
          <t>RR-011 – RR-016</t>
        </is>
      </c>
      <c r="F7" s="89" t="n">
        <v>16</v>
      </c>
      <c r="G7" s="89" t="inlineStr">
        <is>
          <t>Added 6 new risks. No structural issues introduced this version.</t>
        </is>
      </c>
    </row>
    <row r="8" ht="60" customHeight="1" s="42">
      <c r="A8" s="90" t="inlineStr">
        <is>
          <t>v4</t>
        </is>
      </c>
      <c r="B8" s="90" t="inlineStr">
        <is>
          <t>2026-06-22</t>
        </is>
      </c>
      <c r="C8" s="90" t="inlineStr">
        <is>
          <t>ARCHIVED</t>
        </is>
      </c>
      <c r="D8" s="90" t="inlineStr">
        <is>
          <t>GRC_Intelligence_Risk_Register_2026-06-22.xlsx (archived copy of this version)</t>
        </is>
      </c>
      <c r="E8" s="90" t="inlineStr">
        <is>
          <t>RR-017 – RR-022 (new); RR-017 escalated (-UPDATE) over prior Cisco SD-WAN entry; RR-006–RR-010 DATA QUALITY FIX (column alignment corrected, Affected Asset/Affected System reconstructed and backfilled)</t>
        </is>
      </c>
      <c r="F8" s="90" t="n">
        <v>22</v>
      </c>
      <c r="G8" s="90" t="inlineStr">
        <is>
          <t>Added 6 new risks. Fixed the v2 column-misalignment defect in RR-006–RR-010: shifted FRAMEWORK MAPPING through NOTES back into their correct columns and reconstructed the missing Affected Asset/Affected System values from each row's threat description. Verified Likelihood × Impact = Risk Score and Risk Score → Risk Rating banding for all 5 corrected rows. Introduced this version-labeling convention (LIVE vs. ARCHIVED banners + this log) so the canonical file is always unambiguous.</t>
        </is>
      </c>
    </row>
    <row r="9">
      <c r="A9" s="90" t="inlineStr">
        <is>
          <t>v5</t>
        </is>
      </c>
      <c r="B9" s="90" t="inlineStr">
        <is>
          <t>2026-06-29</t>
        </is>
      </c>
      <c r="C9" s="90" t="inlineStr">
        <is>
          <t>ARCHIVED</t>
        </is>
      </c>
      <c r="D9" s="90" t="inlineStr">
        <is>
          <t>GRC_Intelligence_Risk_Register_2026-06-29.xlsx (archived copy of this version)</t>
        </is>
      </c>
      <c r="E9" s="90" t="inlineStr">
        <is>
          <t>RR-023 – RR-027 (new); RR-004 and RR-009 REVISED in place (EU AI Act deadline-delay amendments)</t>
        </is>
      </c>
      <c r="F9" s="90" t="n">
        <v>27</v>
      </c>
      <c r="G9" s="90" t="inlineStr">
        <is>
          <t>Added 5 new risks (Lantronix EDS5000 KEV, Ubiquiti UniFi OS KEV triple-CVE chain, PTC Windchill/FlexPLM KEV, Cisco Unified CM KEV, Daktronics ICS Advisory). Revised RR-004 and RR-009 in place to reflect European Parliament's finalized EU AI Act deadline-delay amendments (approved 2026-06-16) and consultation closure (2026-06-23) — no new rows created for this regulatory update per dedup/escalation rules. Dedup check performed against all CVE/Advisory IDs on file; no duplicate rows found.</t>
        </is>
      </c>
    </row>
    <row r="10">
      <c r="A10" s="90" t="inlineStr">
        <is>
          <t>v6</t>
        </is>
      </c>
      <c r="B10" s="90" t="inlineStr">
        <is>
          <t>2026-07-13</t>
        </is>
      </c>
      <c r="C10" s="90" t="inlineStr">
        <is>
          <t>ARCHIVED</t>
        </is>
      </c>
      <c r="D10" s="90" t="inlineStr">
        <is>
          <t>GRC_Intelligence_Risk_Register_2026-07-13.xlsx (archived copy of this version)</t>
        </is>
      </c>
      <c r="E10" s="90" t="inlineStr">
        <is>
          <t>RR-028 – RR-034 (new)</t>
        </is>
      </c>
      <c r="F10" s="90" t="n">
        <v>34</v>
      </c>
      <c r="G10" s="90" t="inlineStr">
        <is>
          <t>Added 7 new risks: Langflow AI agent platform auth bypass (CVE-2026-55255, dual-category AI-Governance/Cloud-Security, first AI agent platform in CISA KEV), Adobe ColdFusion RDS path traversal RCE (CVE-2026-48282), and a 4-CVE combined Joomla extension ecosystem file-upload RCE finding (SP Page Builder, Joomlack Page Builder, iCagenda, Balbooa Forms — CVE-2026-48908/56290/48939/56291), plus a register-only entry for the joint NSA/CISA/FBI router-hygiene advisory (Russian FSB Center 16 targeting). Dedup check performed against all CVE/Advisory IDs on file; no duplicate rows found. Column-alignment spot check run and passed programmatically for all 7 new rows before save.</t>
        </is>
      </c>
    </row>
    <row r="11">
      <c r="A11" s="90" t="inlineStr">
        <is>
          <t>v7</t>
        </is>
      </c>
      <c r="B11" s="90" t="inlineStr">
        <is>
          <t>2026-07-27</t>
        </is>
      </c>
      <c r="C11" s="90" t="inlineStr">
        <is>
          <t>ARCHIVED</t>
        </is>
      </c>
      <c r="D11" s="90" t="inlineStr">
        <is>
          <t>GRC_Intelligence_Risk_Register_2026-07-27.xlsx (archived copy of this version)</t>
        </is>
      </c>
      <c r="E11" s="90" t="inlineStr">
        <is>
          <t>RR-035 – RR-039 (new)</t>
        </is>
      </c>
      <c r="F11" s="90" t="n">
        <v>39</v>
      </c>
      <c r="G11" s="90" t="inlineStr">
        <is>
          <t>Added 5 new risks from the 2026-07-20 to 2026-07-27 sweep: Langflow unauthenticated root RCE via exec_globals (CVE-2026-0770, dual-category AI-Governance/Cloud-Security — Langflow's fourth KEV entry in 14 months), WordPress Core "wp2shell" unauthenticated RCE chain (CVE-2026-63030 + CVE-2026-60137, first critical unauthenticated WordPress Core RCE in ~10 years), Check Point SmartConsole authentication bypass with full firewall-management-plane takeover (CVE-2026-16232; related CVE-2026-62144/62145 patched same cycle, not separately registered), and Microsoft SharePoint Server deserialization RCE with IIS machine-key theft (CVE-2026-50522, third of four related SharePoint CVEs exploited this month — patching alone explicitly insufficient per researcher guidance). Plus one register-only entry: DD-WRT UPnP buffer overflow (CVE-2021-27137, narrow non-default exploitation prerequisite, no full bundle per RR-021/RR-034 precedent). Dedup check performed against all CVE/Advisory IDs on file; no duplicate rows found. Risk ID sequence continued as RR-0NN per established register convention (this program's governing methodology specifies a GRC-YYYY-NNN format; this register has used sequential RR-0NN IDs since inception — continued for internal consistency, noted here for reviewer awareness).</t>
        </is>
      </c>
    </row>
    <row r="12">
      <c r="A12" s="90" t="inlineStr">
        <is>
          <t>v8</t>
        </is>
      </c>
      <c r="B12" s="90" t="inlineStr">
        <is>
          <t>2026-08-03</t>
        </is>
      </c>
      <c r="C12" s="90" t="inlineStr">
        <is>
          <t>ARCHIVED</t>
        </is>
      </c>
      <c r="D12" s="90" t="inlineStr">
        <is>
          <t>GRC_Intelligence_Risk_Register_2026-08-03.xlsx (archived copy of this version)</t>
        </is>
      </c>
      <c r="E12" s="90" t="inlineStr">
        <is>
          <t>RR-040 – RR-044 (new)</t>
        </is>
      </c>
      <c r="F12" s="90" t="n">
        <v>44</v>
      </c>
      <c r="G12" s="90" t="inlineStr">
        <is>
          <t>Added 5 new risks from the 2026-07-27 to 2026-08-03 sweep: Arista VeloCloud Orchestrator unauthenticated OS command injection (CVE-2026-16812, CVSS 10.0, actively exploited, 3-day CISA remediation window), Cisco Secure FMC hard-coded credential zero-day (CVE-2026-20316, actively exploited, Security Impact Rating 8.9), Azure Cosmos DB "CosmosEscape" cross-tenant sandbox-escape vulnerability (CVE-2026-66803, Wiz Research, fully remediated by Microsoft pre-disclosure — logged as a third-party/CSP risk governance item, not an active customer-side vulnerability), and the EU AI Act Article 50 transparency-obligation enforcement start (2026-08-02, fines up to €15M/3% global turnover under Art. 99, parallel to California SB 942 taking effect the same day). Plus one register-only entry: Fortinet FortiOS sensitive-information exposure (CVE-2025-68686, CVSS 5.3, narrow precondition requiring prior compromise — no full bundle per RR-021/RR-034/RR-039 precedent). Dedup check performed against all CVE/Advisory IDs on file; no duplicate rows found. Row 4 (blank spacer row between header and RR-001) intentionally left unused rather than reused for new data, because Risk Dashboard and Heat Map tab formulas reference the fixed range Risk Register!A5:X500 — writing a risk into row 4 would have silently excluded it from all dashboard/heat-map metrics. Flagged here for reviewer awareness; row 4 remains available for a future register cleanup pass if desired.</t>
        </is>
      </c>
    </row>
    <row r="13">
      <c r="A13" s="90" t="inlineStr">
        <is>
          <t>v9</t>
        </is>
      </c>
      <c r="B13" s="90" t="inlineStr">
        <is>
          <t>2026-08-10</t>
        </is>
      </c>
      <c r="C13" s="90" t="inlineStr">
        <is>
          <t>ARCHIVED</t>
        </is>
      </c>
      <c r="D13" s="90" t="inlineStr">
        <is>
          <t>GRC_Intelligence_Risk_Register_2026-08-10.xlsx</t>
        </is>
      </c>
      <c r="E13" s="90" t="inlineStr">
        <is>
          <t>RR-045 - RR-050 (new)</t>
        </is>
      </c>
      <c r="F13" s="90" t="n">
        <v>50</v>
      </c>
      <c r="G13" s="90" t="inlineStr">
        <is>
          <t>Added 6 new risks from the 2026-08-03 to 2026-08-10 sweep: IBM Langflow auto-login-to-exec() unauthenticated RCE (CVE-2026-9198, CVSS 9.8, third Langflow KEV entry in 90 days, dual-category AI-Governance/Cloud-Security), N-able N-central authentication bypass with an incomplete first vendor fix requiring a second CVE (CVE-2026-18556/CVE-2026-18577, MSP RMM platform, Take Control + Cloudflare Tunnel abuse observed), Apache Tomcat EncryptInterceptor bypass exploited by an AI-assisted threat actor per Unit 42 (CVE-2026-34486), Progress Kemp LoadMaster pre-auth root command injection actively exploited for 5+ weeks before KEV listing (CVE-2026-8037), and the first cross-vendor AI-agent-architecture finding logged in this register - "CoreBreak", a tool-invocation authorization bypass pattern independently found in AWS Bedrock AgentCore, Google ADK, and Vercel AI SDK, disclosed at Black Hat USA 2026 with no confirmed in-the-wild exploitation (CVE-2026-18830/CVE-2026-18236/CVE-2026-64650/CVE-2026-64651, dual-category AI-Governance/Cloud-Security). Also added Jenkins agent-to-controller deserialization filter bypass plus two companion arbitrary-file-write findings, responsibly disclosed via the EU-sponsored Jenkins Bug Bounty Program with no confirmed ITW exploitation (CVE-2026-70426/70427/70428, High rating - first CI/CD-platform finding in this register). Dedup check performed against all CVE/Advisory IDs on file; no duplicate rows found. Column-alignment spot check run and passed for all 6 new rows before save. Two ICS advisories reviewed and screened out as sub-threshold (Thermo Fisher Genetic Analyzer data-integrity issue, no remote exploit path; Acrisure KARR/DR-100 vehicle Bluetooth key reuse, consumer-automotive scope outside this program's enterprise GRC focus) - noted here per the no-padding/no-silent-drop principle rather than added as rows.</t>
        </is>
      </c>
    </row>
    <row r="14">
      <c r="A14" s="90" t="inlineStr">
        <is>
          <t>v10</t>
        </is>
      </c>
      <c r="B14" s="90" t="inlineStr">
        <is>
          <t>2026-09-07</t>
        </is>
      </c>
      <c r="C14" s="90" t="inlineStr">
        <is>
          <t>ARCHIVED</t>
        </is>
      </c>
      <c r="D14" s="90" t="inlineStr">
        <is>
          <t>GRC_Intelligence_Risk_Register_2026-09-07.xlsx (archived copy of this version)</t>
        </is>
      </c>
      <c r="E14" s="90" t="inlineStr">
        <is>
          <t>RR-051 - RR-060 (new)</t>
        </is>
      </c>
      <c r="F14" s="90" t="n">
        <v>60</v>
      </c>
      <c r="G14" s="90" t="inlineStr">
        <is>
          <t>Added 10 new risks from the 2026-08-31 to 2026-09-07 sweep, resuming monitoring after a gap (prior run 2026-08-10; no sweeps recorded for 2026-08-17, 2026-08-24, or 2026-08-31 report periods — flagged here, not backfilled, per report-period discipline). New risks: AWS Labs MCP servers for postgres/DynamoDB AI-agent tooling with trust-boundary defects (CVE-2026-85787, CVE-2026-85654; second consecutive week of this pattern after RR-049 CoreBreak); AWS SageMaker Python SDK cleartext HMAC key enabling cross-user pipeline code execution (CVE-2026-83551); SonicWall SMA1000 chained SSRF + OS command injection under active exploitation with a 3-day CISA deadline, third SMA1000 security event of 2026 per public reporting (CVE-2026-83548, CVE-2026-83549); PaperCut NG/MF chained auth-bypass + unsafe-reflection RCE, same product line with 2023 ransomware-initial-access history (CVE-2026-81578, CVE-2026-82078). Plus five register-only entries from the 2026-09-02 seven-CVE KEV batch and related coverage: JFrog Artifactory admin-auth bypass (CVE-2026-82329), Kestra OSS unauthenticated RCE (CVE-2026-49869), Sangoma Switchvox SQLi (CVE-2026-9586), Starlette HTTP smuggling (CVE-2026-48710), Chromium V8 type confusion (CVE-2026-85046, references precedent case), and one governance/incident entry for the ShinyHunders vishing-to-Okta-SSO campaign linked to a reported 284M-record breach at McKesson (no CVE — identity/social-engineering hardening item). ServiceNow AI Platform triple-CVSS-10.0 disclosure (2026-08-27, CVE-2026-18885/18886/74820) reviewed and found to predate this report's 7-day window (falls in the un-swept gap) — flagged here as a recommended manual catch-up item rather than logged with a misdated entry. Dedup check performed against all CVE/Advisory IDs on file; no duplicate rows found. Column-alignment spot check run and passed programmatically for all 10 new rows before save.</t>
        </is>
      </c>
    </row>
    <row r="15">
      <c r="A15" s="41" t="inlineStr">
        <is>
          <t>v11</t>
        </is>
      </c>
      <c r="B15" s="41" t="inlineStr">
        <is>
          <t>2026-09-21</t>
        </is>
      </c>
      <c r="C15" s="41" t="inlineStr">
        <is>
          <t>ARCHIVED</t>
        </is>
      </c>
      <c r="D15" s="41" t="inlineStr">
        <is>
          <t>GRC_Intelligence_Risk_Register_2026-09-21.xlsx (archived copy of this version)</t>
        </is>
      </c>
      <c r="E15" s="41" t="inlineStr">
        <is>
          <t>RR-061 - RR-078 (new)</t>
        </is>
      </c>
      <c r="F15" s="41" t="n">
        <v>78</v>
      </c>
      <c r="G15" s="41" t="inlineStr">
        <is>
          <t>Added 18 new risks from the 2026-09-14 to 2026-09-21 sweep, resuming after the prior run (v10, 2026-09-07) — no sweep was recorded for the 2026-09-14 report period; flagged here, not backfilled, per report-period discipline established in v10. Seven full case-study bundles built: Cisco ISE unauthenticated privileged-API auth bypass (CVE-2026-76460 + 6 companion CVEs, CVSS up to 10.0, actively exploited, dual-category IT-OT-Threats/Cloud-Security — highest-priority finding this run); Cisco Secure Email Gateway SQLi-to-RCE (CVE-2026-76461, actively exploited, CISA deadline already elapsed); Linux kernel triple-CVE actively-exploited batch (CVE-2025-39964, CVE-2026-53266, CVE-2025-39682); Azure AI Foundry + M365 Copilot missing-auth/command-injection batch (CVE-2026-85889, CVE-2026-85885, both CVSS ~10.0, Microsoft-fixed pre-disclosure, second consecutive week of critical Azure AI-platform finding); AWS TEAM + EKS Network Policy Agent IAM/multi-tenant-isolation batch (CVE-2026-86830, CVE-2026-86831); IBM Langflow root RCE via unsandboxed socket/urllib imports (CVE-2026-12944 — fifth Langflow finding logged by this program since June, reclassified as standing elevated-risk AI platform); and a six-CVE MCP-server/AI-agent trust-boundary batch (LightLLM, GitLab MCP, Lokka, docker/mcp-gateway, ToolHive, atomic-agents-stack — third consecutive week of this finding category, program now recommends a standing MCP register category). Eleven register-only entries (no full bundle, per no-padding/narrow-precedent principle): Acronis Backup cPanel/WHM/Plesk plugin (CVE-2026-87886, KEV, local-precondition); Siemens Reyrolle 7SR5 protection relay missing-auth (CVE-2026-62645 batch, ICS advisory, no confirmed exploitation); Schneider Electric SCADAPack Secure Lock bypass (CVE-2026-81861, public PoC on GitHub); Keycloak SSO replay-protection bypass (CVE-2026-90997); kcp Kubernetes multi-tenant control-plane escape (CVE-2026-61682); Docker Desktop Sandboxes host-escape pair (CVE-2026-77179, CVE-2026-79994); Envoy Gateway path-bypass pair (CVE-2026-53713, CVE-2026-53714); Jenkins 11-CVE plugin security batch; Traefik Kubernetes Ingress auth-bypass pair [MODIFIED — ESCALATED: published 2026-09-04 before this window, but NVD added a primary CVSS 9.8 score and exploit-tagged references on 2026-09-16, a qualifying escalation under Section 3's modified-CVE rule — logged as a new entry, not a REV update, since neither CVE had a prior register row]; OpenAI Model Misalignment Reporting Framework vendor-disclosure (non-CVE AI governance item, feeds Executive Report AI Governance Watch); California SB 1050 AI-generated-advertising disclosure law (non-CVE compliance item, effective date unconfirmed — flagged for follow-up verification). Screened out and NOT logged (no-padding principle, noted here rather than silently dropped): CVE-2026-58704 (Google Pixel cellular-modem privilege escalation, KEV-listed but consumer-device/individual-targeting scope, outside this program's enterprise GRC focus, consistent with the Acrisure vehicle-Bluetooth precedent from RR-050's run). Dedup check performed against all CVE/Advisory IDs on file; no duplicate rows found — Traefik pair confirmed as new entries despite pre-window publish date. Column-alignment spot check run and passed programmatically for all 18 new rows before save (K/L numeric 1-5, M=K*L formula, N banded 1-4/5-9/10-19/20-25, Affected Asset and Affected System populated for every row). DATA-QUALITY FIX (caught and corrected within this same run, before shipping): the initial row-write for all 18 new rows (RR-061–RR-078) omitted the INHERENT RISK value entirely, causing a 1-column left shift from INHERENT RISK (O) through LAST UPDATED (W) into CURRENT CONTROLS through NOTES, leaving NOTES (X) blank for every new row — the same defect class as the RR-006–RR-010 incident (v2/v2.2), but shifted by one column instead of two and with Affected Asset/Affected System unaffected, so the standard spot check (which verifies G/H populated and K/L numeric) did not catch it. Caught this run by an added post-write verification pass comparing INHERENT RISK against RISK RATING for all prior rows (92% historical match rate) and checking NOTES for unexpected blanks. Corrected by shifting CURRENT CONTROLS through NOTES back one column into their correct positions and setting INHERENT RISK equal to RISK RATING for all 18 rows (the majority-precedent relationship confirmed across RR-001–RR-060, with 5 of 60 historical rows showing analyst-adjusted exceptions that could not be reconstructed after the fact since the original INHERENT RISK values were never written, not merely misplaced). Recommend adding an explicit "no blank NOTES field" and "INHERENT RISK populated" check to the standing column-alignment spot check procedure in Section 7 going forward.</t>
        </is>
      </c>
    </row>
    <row r="16">
      <c r="A16" s="41" t="inlineStr">
        <is>
          <t>v12</t>
        </is>
      </c>
      <c r="B16" s="41" t="inlineStr">
        <is>
          <t>2026-09-28</t>
        </is>
      </c>
      <c r="C16" s="41" t="inlineStr">
        <is>
          <t>ARCHIVED</t>
        </is>
      </c>
      <c r="D16" s="41" t="inlineStr">
        <is>
          <t>GRC_Intelligence_Risk_Register_2026-09-28.xlsx (archived copy of this version)</t>
        </is>
      </c>
      <c r="E16" s="41" t="inlineStr">
        <is>
          <t>RR-079 - RR-088 (new)</t>
        </is>
      </c>
      <c r="F16" s="41" t="n">
        <v>88</v>
      </c>
      <c r="G16" s="41" t="inlineStr">
        <is>
          <t>Added 10 new risks from the 2026-09-21 to 2026-09-28 sweep. Six full case-study bundles built: Citrix NetScaler ADC/Gateway unauthenticated zero-day command-execution chain (CVE-2026-88771 + CVE-2026-88772 in KEV, plus 6 companion CVEs, confirmed active exploitation globally, 3-day CISA deadline); Check Point Quantum Security Gateway + Management Server chained vulnerabilities (CVE-2026-85102 cert-validation-bypass VPN RCE + CVE-2026-93616 management-server path traversal, both CVSS 9.8, both KEV-listed the same day); WSO2 multiple-products path traversal on identity/API-gateway infrastructure (CVE-2026-5430, reported CVSS 10.0 pending direct NVD confirmation); F5 BIG-IP APM heap overflow enabling unauthenticated RCE when configured as an OAuth Authorization Server (CVE-2026-94127, CVSS4 9.3, conditional on APM's OAuth-AS role); Adobe Commerce/Magento incorrect-authorization privilege escalation exploited almost immediately after disclosure (CVE-2026-71362, reported CVSS 9.1, PCI-DSS mapped per this program's June 2026 Magento precedent — second Adobe Commerce/Magento KEV entry logged since then); and Microsoft SharePoint code injection (CVE-2026-65660, CVSS 8.8, PR:L precondition). RATING METHODOLOGY EXCEPTION (flagged here for reviewer judgment): RR-084 (SharePoint) scores 20 under this register's own Likelihood×Impact banding (which places 20 in the Critical band per the Risk Heat Map legend), but was deliberately rated High instead, documented as a standing exception for PR:L-precondition findings that require an attacker to already hold authenticated access — distinguishing it from this run's five other findings, all of which are fully unauthenticated (PR:N) and rated Critical. This is the first time this program has knowingly diverged from its own strict numeric banding on a rating (as opposed to a bundle-inclusion) decision; recommend confirming this precedent should stand before it is applied to future PR:L cases. Four register-only entries (no full bundle, per narrow-footprint/conditional-precondition precedent): Arista VeloCloud Orchestrator on-prem privileged-access flaw (CVE-2026-93952, CVSS4 9.5, Hosted/Dedicated already patched pre-disclosure, on-prem-only scope); Mikrotik RouterOS unauthenticated SSH file-write (CVE-2026-67279, CVSS4 6.9 Medium); WordPress Core remote file inclusion with conditional RCE preconditions (CVE-2026-87902, CVSS 8.1, active probing observed within hours of patch); and Zyxel GS1900 switch stack-based buffer overflow publicly attributed to Chinese state-linked actors (CVE-2026-7273, CVSS 8.8, LAN-adjacent vector, logged primarily for threat-actor-attribution governance awareness despite narrow entry-level-switch footprint). Dedup check performed against all CVE/Advisory IDs on file; no duplicate rows found — note CVE-2026-7273 (Zyxel) was added to KEV on 2026-09-21, the boundary date of the PRIOR run's window (v11 covered through 2026-09-21), but was not logged in v11, so it is logged this run rather than left permanently unswept, consistent with this program's no-silent-drop principle. Column-alignment spot check run and passed for all 10 new rows before save (G/H populated for every row, K/L numeric 1-5, M=K×L formula verified, INHERENT RISK explicitly populated for every row — the same field the v11 data-quality defect omitted — and NOTES populated for every row, per the v11 corrective-action recommendation). No new frameworks used this run; Frameworks README reviewed, no update needed — PCI-DSS v4.0 (already documented, first added 2026-06-08) was reapplied to RR-083. No material AI-governance or AI/ML-platform findings met this run's threshold — notable in its own right after three consecutive prior weeks (v9-v11) of AI-agent/AI-platform trust-boundary findings; flagged as a genuine quiet week for that category, not a coverage gap (EU AI Board's 17 September meeting was reviewed and screened out — its own public account states it set no new AI Act obligation or deadline).</t>
        </is>
      </c>
    </row>
    <row r="17">
      <c r="A17" s="41" t="inlineStr">
        <is>
          <t>v13</t>
        </is>
      </c>
      <c r="B17" s="41" t="inlineStr">
        <is>
          <t>2026-09-28</t>
        </is>
      </c>
      <c r="C17" s="41" t="inlineStr">
        <is>
          <t>ARCHIVED</t>
        </is>
      </c>
      <c r="D17" s="41" t="inlineStr">
        <is>
          <t>GRC_Intelligence_Risk_Register_2026-09-28b.xlsx (archived copy of this version; "b" suffix used because a v12 snapshot already exists under this same calendar date — see process note below)</t>
        </is>
      </c>
      <c r="E17" s="41" t="inlineStr">
        <is>
          <t>RR-089 - RR-092 (new)</t>
        </is>
      </c>
      <c r="F17" s="41" t="n">
        <v>92</v>
      </c>
      <c r="G17" s="41" t="inlineStr">
        <is>
          <t>SAME-DAY SUPPLEMENTAL UPDATE to v12, issued after v12 was already finalized. Prompted by a review of a supplementary daily news log that this program had not previously cross-referenced. Reviewed all log entries falling in this run's report period (2026-09-21 through 2026-09-25; no entries exist yet for 9/26-9/28). The log is a general news feed rather than a curated GRC case-triage source, so its cybersecurity items are incidental mentions, not pre-vetted candidates. Four items from that log were independently verified against primary/vendor sources and met this program's logging threshold; none were already captured by the initial 2026-09-28 sweep. Added: Next.js next/og ImageResponse RCE (CVE-2026-94545, Critical per Vercel, disclosed 2026-09-22, conditional on untrusted input reaching ImageResponse); Roundcube Webmail pre-auth SQL injection (CVE-2026-48842, CVSS 8.1, patched May 2026 but newly confirmed under active exploitation via a Canadian Centre for Cyber Security advisory dated 2026-09-21 — a strong candidate for a full case-study bundle given its unauthenticated profile and documented history of nation-state targeting, flagged here for a future bundle-upgrade decision rather than decided unilaterally in this pass); JetBrains TeamCity auth-bypass-to-RCE (CVE-2026-63077, CVSS 9.8) — a genuine PROGRAM GAP: this CVE was KEV-listed 2026-08-05, inside the v9 report window (2026-08-03 to 2026-08-10), but does not appear among RR-045–RR-050 (v9's additions); it was missed at the time, not deliberately screened out, and is logged now (dated to this week's new information — CISA's 2026-09-24 update flagging confirmed ransomware-campaign use — rather than backdated to August) per this program's no-silent-drop principle; and Kiteworks' precautionary customer-wide server-shutdown advisory (non-CVE, 2026-09-25, based on law-enforcement threat intelligence, no confirmed vulnerability or breach) as a governance/vendor-risk item given the managed-file-transfer product class's history as a ransomware target (Clop / Accellion FTA / GoAnywhere MFT / MOVEit Transfer precedent, cited directly in the source reporting). All four logged register-only pending further review; none were built into full case-study bundles or added to this week's executive report narrative in this pass, to keep the supplemental update itself reviewable as a discrete unit — recommend a future decision on whether Roundcube and/or TeamCity warrant upgrading to full bundles, and whether the TeamCity gap warrants a spot-check of other August/September windows for similar misses. PROCESS NOTE: this is the first time this program has issued a same-day supplemental version; the dated-snapshot filename convention (YYYY-MM-DD) does not natively support two snapshots on one calendar date, so this snapshot uses a "b" suffix (GRC_Intelligence_Risk_Register_2026-09-28b.xlsx) — flagged here as a naming-convention gap worth a formal fix if same-day supplements become a recurring pattern, e.g. adding a run-sequence suffix to the convention. Dedup check performed against all CVE/Advisory IDs on file for these 4 additions; no duplicate rows found. Column-alignment spot check run and passed (G/H populated, K/L numeric 1-5, M=K×L formula verified, INHERENT RISK and NOTES populated for all 4 rows). Going forward, the supplementary news log is read as a standing cross-check source in every future run.</t>
        </is>
      </c>
    </row>
    <row r="18">
      <c r="A18" s="41" t="inlineStr">
        <is>
          <t>v14</t>
        </is>
      </c>
      <c r="B18" s="41" t="inlineStr">
        <is>
          <t>2026-10-05</t>
        </is>
      </c>
      <c r="C18" s="41" t="inlineStr">
        <is>
          <t>LIVE</t>
        </is>
      </c>
      <c r="D18" s="41" t="inlineStr">
        <is>
          <t>GRC_Intelligence_Risk_Register_2026-10-05.xlsx</t>
        </is>
      </c>
      <c r="E18" s="41" t="inlineStr">
        <is>
          <t>RR-093 - RR-099 (new)</t>
        </is>
      </c>
      <c r="F18" s="41" t="n">
        <v>99</v>
      </c>
      <c r="G18" s="41" t="inlineStr">
        <is>
          <t>Added 7 new risks from the 2026-09-28 to 2026-10-05 sweep. Three full case-study bundles built: Fortinet FortiMail unauthenticated path-traversal arbitrary-file-write backdoor (CVE-2026-104286, CVSS 9.8, actively exploited, no vendor patch currently available, interim workaround only); Cisco Catalyst SD-WAN Manager hex-encoding authentication bypass (CVE-2026-76504, CVSS 9.8, discovered via an active Cisco TAC support case, meaning exploitation preceded disclosure); and Storm-3168 (JADEPUFFER), a confirmed real-world incident in which a single exposed Azure service-principal credential enabled mass cloud-resource destruction including deliberate backup/recovery sabotage in approximately 7 minutes, which Microsoft attributes to AI-orchestrated/agentic attack automation, this program's first documented case of this attack class, built as a dual-category bundle (AI-Governance and Cloud-Security). PROGRAM GAP IDENTIFIED: Storm-3168 was publicly disclosed by Microsoft on 2026-09-25, inside the prior run's (v13) report window, but was not captured at the time; logged this run dated to its original disclosure, consistent with this program's no-silent-drop principle (same pattern as the v13 TeamCity gap). Four register-only entries (no full bundle, per narrow-footprint/companion-finding precedent): Citrix NetScaler denial-of-service flaw (CVE-2026-88779, KEV-added 2026-10-04) logged as a companion finding to the already-bundled 2026-09-28 Citrix NetScaler case rather than a duplicate bundle; Apple CoreGraphics out-of-bounds write (CVE-2026-86950) exploited in a narrowly targeted, sophisticated attack per Meta's reporting, Likelihood scored 4 rather than 5 to reflect the targeted (not broadly opportunistic) exploitation pattern, a documented rating judgment call; a two-CVE Zammad helpdesk-platform chain (CVE-2026-102489 session fixation to RCE, CVE-2026-102490 local privilege escalation to root) tracked as one combined row; and a non-CVE governance item for a malicious-Custom-GPT/ClickFix malware-delivery campaign abusing the ChatGPT platform via sponsored search ads, folded into this week's Executive Report AI Governance Watch narrative. Dedup check performed against all CVE/Advisory IDs on file; no duplicate rows found. Column-alignment spot check run and passed programmatically for all 7 new rows before save (G/H populated, K/L numeric 1-5, M=K×L formula verified, INHERENT RISK and NOTES populated for every row). No new frameworks used this run; Frameworks README reviewed, no update needed. DATA-QUALITY / HYGIENE PASS (this run): corrected hand-off process wording and reveal of this program's internal governing-document structure in six historical Version Log entries (v6, v8, v10, v11, v12, v13) and three historical Risk Register Notes cells (RR-084, RR-089, RR-090), replacing them with reviewer-neutral phrasing consistent with this program's public-artifact hygiene standard, no factual content was altered, only process/hand-off wording and internal-process references.</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2026-05-29T00:08:36Z</dcterms:created>
  <dcterms:modified xmlns:dcterms="http://purl.org/dc/terms/" xmlns:xsi="http://www.w3.org/2001/XMLSchema-instance" xsi:type="dcterms:W3CDTF">2026-10-05T16:04:59Z</dcterms:modified>
  <cp:revision>0</cp:revision>
</cp:coreProperties>
</file>