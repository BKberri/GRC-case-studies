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8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ARCHIVED SNAPSHOT: v11 — 2026-09-21 — NOT LIVE ]</t>
        </is>
      </c>
    </row>
    <row r="2" ht="18" customHeight="1" s="42">
      <c r="A2" s="44" t="inlineStr">
        <is>
          <t>ARCHIVED SNAPSHOT: v11 — 2026-09-21 — NOT LIVE. This is a frozen historical copy — do not edit. The current, authoritative register is GRC_Intelligence_Risk_Register.xlsx.   |   Sources: CISA KEV | US-CERT | NIST NVD | AWS/Azure Bulletins | AI Governance Updates | CISA/NSA/FBI Advisories   |   Frameworks: NIST CSF 2.0 | ISO 27001 | NIST 800-53 | CIS Controls | NIST AI RMF | ISO 42001 | EU AI Act   |   Last Updated: 2026-09-21   |   See '📋 Version Log' tab for history.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2026-06-29</t>
        </is>
      </c>
      <c r="X8" s="51" t="inlineStr">
        <is>
          <t>Regulatory deadline risk. EU AI Act enforcement begins Aug 2026. High-risk classification triggers conformity assessment requirement. REVISED 2026-06-29: European Parliament finalized amendments (approved 2026-06-16) delaying specific Annex III high-risk compliance deadlines; classification criteria unchanged. See AI-Governance/2026-06-EU-AI-Act-HighRisk-Classification-UPDATE for full change analysis.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closed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2026-06-29</t>
        </is>
      </c>
      <c r="X13" s="85" t="inlineStr">
        <is>
          <t>18-month runway to Dec 2027 milestone; full bundle in AI-Governance/2026-06-EU-AI-Act-HighRisk-Classification. REVISED 2026-06-29: Public consultation closed as scheduled 2026-06-23; European Parliament finalized deadline-delay amendments (approved 2026-06-16) for certain Annex III high-risk categories. Recommend maintaining program momentum despite timeline relief — see AI-Governance/2026-06-EU-AI-Act-HighRisk-Classification-UPDATE.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  <row r="27">
      <c r="A27" s="52" t="inlineStr">
        <is>
          <t>RR-023</t>
        </is>
      </c>
      <c r="B27" s="53" t="inlineStr">
        <is>
          <t>2026-06-29</t>
        </is>
      </c>
      <c r="C27" s="53" t="inlineStr">
        <is>
          <t>CISA KEV</t>
        </is>
      </c>
      <c r="D27" s="53" t="inlineStr">
        <is>
          <t>CVE-2025-67038</t>
        </is>
      </c>
      <c r="E27" s="53" t="inlineStr">
        <is>
          <t>Lantronix EDS5000 series (EDS5008/5016/5032) HTTP RPC module OS command injection via unsanitized username field; CVSS 9.8; root-level RCE; KEV added 2026-06-23; CISA 3-day emergency mandate (BOD 26-04)</t>
        </is>
      </c>
      <c r="F27" s="52" t="inlineStr">
        <is>
          <t>IT-OT-Threats</t>
        </is>
      </c>
      <c r="G27" s="53" t="inlineStr">
        <is>
          <t>OT/ICS Remote Device Server Infrastructure</t>
        </is>
      </c>
      <c r="H27" s="53" t="inlineStr">
        <is>
          <t>Lantronix EDS5000 series (EDS5008/EDS5016/EDS5032)</t>
        </is>
      </c>
      <c r="I27" s="53" t="inlineStr">
        <is>
          <t>NIST CSF 2.0: PR.PS-04/DE.CM-09 | NIST 800-53: SI-2/SI-10/AC-3 | ISO 27001: A.8.8 | CIS Controls v8: 4,7 | IEC 62443: SR 3.1/SR 7.6</t>
        </is>
      </c>
      <c r="J27" s="53" t="inlineStr">
        <is>
          <t>SI-2, SI-10, AC-3</t>
        </is>
      </c>
      <c r="K27" s="52" t="n">
        <v>5</v>
      </c>
      <c r="L27" s="52" t="n">
        <v>5</v>
      </c>
      <c r="M27" s="52" t="n">
        <v>25</v>
      </c>
      <c r="N27" s="52" t="inlineStr">
        <is>
          <t>Critical</t>
        </is>
      </c>
      <c r="O27" s="52" t="inlineStr">
        <is>
          <t>Critical</t>
        </is>
      </c>
      <c r="P27" s="53" t="inlineStr">
        <is>
          <t>Standard network perimeter controls (insufficient against unauthenticated RCE)</t>
        </is>
      </c>
      <c r="Q27" s="52" t="inlineStr">
        <is>
          <t>Critical until patched; High with network isolation pending patch</t>
        </is>
      </c>
      <c r="R27" s="53" t="inlineStr">
        <is>
          <t>Apply Lantronix firmware 2.2.0.0R1 immediately to all EDS5000 series devices. Restrict HTTP RPC module access to management network only pending patch.</t>
        </is>
      </c>
      <c r="S27" s="52" t="inlineStr">
        <is>
          <t>Control 4, 7</t>
        </is>
      </c>
      <c r="T27" s="53" t="inlineStr">
        <is>
          <t>OT/ICS Engineering</t>
        </is>
      </c>
      <c r="U27" s="52" t="inlineStr">
        <is>
          <t>Open — Emergency</t>
        </is>
      </c>
      <c r="V27" s="52" t="inlineStr">
        <is>
          <t>2026-06-26</t>
        </is>
      </c>
      <c r="W27" s="52" t="inlineStr">
        <is>
          <t>2026-06-29</t>
        </is>
      </c>
      <c r="X27" s="53" t="inlineStr">
        <is>
          <t>3-day CISA emergency mandate (BOD 26-04); full bundle in IT-OT-Threats/2026-06-CISA-KEV-Lantronix-EDS5000</t>
        </is>
      </c>
    </row>
    <row r="28">
      <c r="A28" s="52" t="inlineStr">
        <is>
          <t>RR-024</t>
        </is>
      </c>
      <c r="B28" s="53" t="inlineStr">
        <is>
          <t>2026-06-29</t>
        </is>
      </c>
      <c r="C28" s="53" t="inlineStr">
        <is>
          <t>CISA KEV</t>
        </is>
      </c>
      <c r="D28" s="53" t="inlineStr">
        <is>
          <t>CVE-2026-34908; CVE-2026-34909; CVE-2026-34910</t>
        </is>
      </c>
      <c r="E28" s="53" t="inlineStr">
        <is>
          <t>Ubiquiti UniFi OS chained vulnerabilities — improper access control, path traversal, command injection; CVSS 10.0 each; unauthenticated full device takeover; confirmed active exploitation via Mirai/Gafgyt botnet campaign; KEV added 2026-06-23</t>
        </is>
      </c>
      <c r="F28" s="52" t="inlineStr">
        <is>
          <t>IT-OT-Threats</t>
        </is>
      </c>
      <c r="G28" s="53" t="inlineStr">
        <is>
          <t>Network Infrastructure / Physical Security Systems</t>
        </is>
      </c>
      <c r="H28" s="53" t="inlineStr">
        <is>
          <t>UniFi OS-powered devices (Cloud Gateways, Network Controllers, Protect NVRs, Access Hubs, Talk)</t>
        </is>
      </c>
      <c r="I28" s="53" t="inlineStr">
        <is>
          <t>NIST CSF 2.0: PR.AA-05/PR.PS-04/DE.CM-01 | NIST 800-53: AC-3/SI-2/SI-10/SC-7 | ISO 27001: A.8.8/A.8.9/A.8.16 | CIS Controls v8: 4,7,13</t>
        </is>
      </c>
      <c r="J28" s="53" t="inlineStr">
        <is>
          <t>AC-3, SI-2, SI-10, SC-7</t>
        </is>
      </c>
      <c r="K28" s="52" t="n">
        <v>5</v>
      </c>
      <c r="L28" s="52" t="n">
        <v>5</v>
      </c>
      <c r="M28" s="52" t="n">
        <v>25</v>
      </c>
      <c r="N28" s="52" t="inlineStr">
        <is>
          <t>Critical</t>
        </is>
      </c>
      <c r="O28" s="52" t="inlineStr">
        <is>
          <t>Critical</t>
        </is>
      </c>
      <c r="P28" s="53" t="inlineStr">
        <is>
          <t>Standard network perimeter controls (insufficient against unauthenticated takeover chain)</t>
        </is>
      </c>
      <c r="Q28" s="52" t="inlineStr">
        <is>
          <t>High until patched; Low-Medium with patch plus removal of direct internet exposure</t>
        </is>
      </c>
      <c r="R28" s="53" t="inlineStr">
        <is>
          <t>Upgrade all UniFi OS devices to UniFi OS Server v5.0.8+ immediately. Restrict management interfaces to VPN-only access pending fleet-wide patch.</t>
        </is>
      </c>
      <c r="S28" s="52" t="inlineStr">
        <is>
          <t>Control 4, 7, 13</t>
        </is>
      </c>
      <c r="T28" s="53" t="inlineStr">
        <is>
          <t>Network Engineering / Security Operations</t>
        </is>
      </c>
      <c r="U28" s="52" t="inlineStr">
        <is>
          <t>Open — Emergency</t>
        </is>
      </c>
      <c r="V28" s="52" t="inlineStr">
        <is>
          <t>2026-06-26</t>
        </is>
      </c>
      <c r="W28" s="52" t="inlineStr">
        <is>
          <t>2026-06-29</t>
        </is>
      </c>
      <c r="X28" s="53" t="inlineStr">
        <is>
          <t>Confirmed botnet (Mirai/Gafgyt) active exploitation; ~1-month patch-deployment gap (vendor fix available 2026-05-21); full bundle in IT-OT-Threats/2026-06-CISA-KEV-Ubiquiti-UniFiOS</t>
        </is>
      </c>
    </row>
    <row r="29">
      <c r="A29" s="52" t="inlineStr">
        <is>
          <t>RR-025</t>
        </is>
      </c>
      <c r="B29" s="53" t="inlineStr">
        <is>
          <t>2026-06-29</t>
        </is>
      </c>
      <c r="C29" s="53" t="inlineStr">
        <is>
          <t>CISA KEV</t>
        </is>
      </c>
      <c r="D29" s="53" t="inlineStr">
        <is>
          <t>CVE-2026-12569</t>
        </is>
      </c>
      <c r="E29" s="53" t="inlineStr">
        <is>
          <t>PTC Windchill/FlexPLM unauthenticated remote code execution; CVSS 9.8; confirmed active exploitation; KEV added 2026-06-23; CISA 3-day emergency mandate (BOD 26-04)</t>
        </is>
      </c>
      <c r="F29" s="52" t="inlineStr">
        <is>
          <t>IT-OT-Threats</t>
        </is>
      </c>
      <c r="G29" s="53" t="inlineStr">
        <is>
          <t>Product Lifecycle Management (PLM) Platform</t>
        </is>
      </c>
      <c r="H29" s="53" t="inlineStr">
        <is>
          <t>PTC Windchill / FlexPLM</t>
        </is>
      </c>
      <c r="I29" s="53" t="inlineStr">
        <is>
          <t>NIST CSF 2.0: PR.PS-04/PR.DS-01/DE.CM-01 | NIST 800-53: SI-2/SC-7/AC-3 | ISO 27001: A.8.8/A.8.12 | CIS Controls v8: 3,7</t>
        </is>
      </c>
      <c r="J29" s="53" t="inlineStr">
        <is>
          <t>SI-2, SC-7, AC-3</t>
        </is>
      </c>
      <c r="K29" s="52" t="n">
        <v>5</v>
      </c>
      <c r="L29" s="52" t="n">
        <v>5</v>
      </c>
      <c r="M29" s="52" t="n">
        <v>25</v>
      </c>
      <c r="N29" s="52" t="inlineStr">
        <is>
          <t>Critical</t>
        </is>
      </c>
      <c r="O29" s="52" t="inlineStr">
        <is>
          <t>Critical</t>
        </is>
      </c>
      <c r="P29" s="53" t="inlineStr">
        <is>
          <t>Standard application-layer authentication (bypassed by this vulnerability)</t>
        </is>
      </c>
      <c r="Q29" s="52" t="inlineStr">
        <is>
          <t>High until patched; Medium with patch plus network segmentation</t>
        </is>
      </c>
      <c r="R29" s="53" t="inlineStr">
        <is>
          <t>Apply PTC vendor patch for CVE-2026-12569 immediately. Remove direct internet exposure on Windchill/FlexPLM instances pending patch; restrict to VPN-gated access.</t>
        </is>
      </c>
      <c r="S29" s="52" t="inlineStr">
        <is>
          <t>Control 3, 7</t>
        </is>
      </c>
      <c r="T29" s="53" t="inlineStr">
        <is>
          <t>IT/Engineering Systems</t>
        </is>
      </c>
      <c r="U29" s="52" t="inlineStr">
        <is>
          <t>Open — Emergency</t>
        </is>
      </c>
      <c r="V29" s="52" t="inlineStr">
        <is>
          <t>2026-06-28</t>
        </is>
      </c>
      <c r="W29" s="52" t="inlineStr">
        <is>
          <t>2026-06-29</t>
        </is>
      </c>
      <c r="X29" s="53" t="inlineStr">
        <is>
          <t>3-day CISA emergency mandate (BOD 26-04); potential CUI/export-control data exposure for defense/aerospace deployments (CMMC/DFARS nexus); full bundle in IT-OT-Threats/2026-06-CISA-KEV-PTC-WindchillFlexPLM</t>
        </is>
      </c>
    </row>
    <row r="30">
      <c r="A30" s="52" t="inlineStr">
        <is>
          <t>RR-026</t>
        </is>
      </c>
      <c r="B30" s="53" t="inlineStr">
        <is>
          <t>2026-06-29</t>
        </is>
      </c>
      <c r="C30" s="53" t="inlineStr">
        <is>
          <t>CISA KEV</t>
        </is>
      </c>
      <c r="D30" s="53" t="inlineStr">
        <is>
          <t>CVE-2026-20384</t>
        </is>
      </c>
      <c r="E30" s="53" t="inlineStr">
        <is>
          <t>Cisco Unified Communications Manager (Unified CM) and Unified CM Session Management Edition static/undocumented credential enabling authentication bypass and root-level RCE; CVSS 10.0; confirmed active exploitation; KEV added 2026-06-24</t>
        </is>
      </c>
      <c r="F30" s="52" t="inlineStr">
        <is>
          <t>IT-OT-Threats</t>
        </is>
      </c>
      <c r="G30" s="53" t="inlineStr">
        <is>
          <t>Enterprise Voice / Call-Control Infrastructure</t>
        </is>
      </c>
      <c r="H30" s="53" t="inlineStr">
        <is>
          <t>Cisco Unified Communications Manager / Unified CM Session Management Edition</t>
        </is>
      </c>
      <c r="I30" s="53" t="inlineStr">
        <is>
          <t>NIST CSF 2.0: PR.AA-01/PR.PS-04/DE.CM-01 | NIST 800-53: IA-5/SI-2/AC-6 | ISO 27001: A.8.5/A.8.8 | CIS Controls v8: 5,7</t>
        </is>
      </c>
      <c r="J30" s="53" t="inlineStr">
        <is>
          <t>IA-5, SI-2, AC-6</t>
        </is>
      </c>
      <c r="K30" s="52" t="n">
        <v>5</v>
      </c>
      <c r="L30" s="52" t="n">
        <v>5</v>
      </c>
      <c r="M30" s="52" t="n">
        <v>25</v>
      </c>
      <c r="N30" s="52" t="inlineStr">
        <is>
          <t>Critical</t>
        </is>
      </c>
      <c r="O30" s="52" t="inlineStr">
        <is>
          <t>Critical</t>
        </is>
      </c>
      <c r="P30" s="53" t="inlineStr">
        <is>
          <t>Standard authentication (bypassed via undocumented static credential)</t>
        </is>
      </c>
      <c r="Q30" s="52" t="inlineStr">
        <is>
          <t>High until patched; Medium with patch plus credential rotation and network restriction</t>
        </is>
      </c>
      <c r="R30" s="53" t="inlineStr">
        <is>
          <t>Apply Cisco patch removing/rotating the static credential immediately. Audit authentication logs and CDRs for use of the affected credential; restrict management plane to internal/VPN-only access.</t>
        </is>
      </c>
      <c r="S30" s="52" t="inlineStr">
        <is>
          <t>Control 5, 7</t>
        </is>
      </c>
      <c r="T30" s="53" t="inlineStr">
        <is>
          <t>IT/Telecom Engineering / Security Operations</t>
        </is>
      </c>
      <c r="U30" s="52" t="inlineStr">
        <is>
          <t>Open — Emergency</t>
        </is>
      </c>
      <c r="V30" s="52" t="inlineStr">
        <is>
          <t>2026-06-27</t>
        </is>
      </c>
      <c r="W30" s="52" t="inlineStr">
        <is>
          <t>2026-06-29</t>
        </is>
      </c>
      <c r="X30" s="53" t="inlineStr">
        <is>
          <t>3-day CISA emergency mandate (BOD 26-04); potential wiretapping/communications-privacy exposure under GLBA/HIPAA if interception confirmed; full bundle in IT-OT-Threats/2026-06-CISA-KEV-Cisco-UnifiedCM</t>
        </is>
      </c>
    </row>
    <row r="31">
      <c r="A31" s="52" t="inlineStr">
        <is>
          <t>RR-027</t>
        </is>
      </c>
      <c r="B31" s="53" t="inlineStr">
        <is>
          <t>2026-06-29</t>
        </is>
      </c>
      <c r="C31" s="53" t="inlineStr">
        <is>
          <t>CISA ICS Advisory</t>
        </is>
      </c>
      <c r="D31" s="53" t="inlineStr">
        <is>
          <t>ICSA-26-176-04</t>
        </is>
      </c>
      <c r="E31" s="53" t="inlineStr">
        <is>
          <t>Daktronics controller firmware — chained vulnerabilities (authentication weakness, improper input validation, insecure firmware update mechanism); CVSS up to 9.3; root-level device access; not KEV-listed, no confirmed active exploitation</t>
        </is>
      </c>
      <c r="F31" s="52" t="inlineStr">
        <is>
          <t>IT-OT-Threats</t>
        </is>
      </c>
      <c r="G31" s="53" t="inlineStr">
        <is>
          <t>Public Display / Signage Controller Infrastructure</t>
        </is>
      </c>
      <c r="H31" s="53" t="inlineStr">
        <is>
          <t>Daktronics controller firmware (multiple controller models)</t>
        </is>
      </c>
      <c r="I31" s="53" t="inlineStr">
        <is>
          <t>NIST CSF 2.0: PR.AA-01/PR.PS-04/PR.IR-01 | NIST 800-53: IA-2/SI-10/SC-7 | IEC 62443: SR 1.1/SR 3.1 | CIS Controls v8: 7,12</t>
        </is>
      </c>
      <c r="J31" s="53" t="inlineStr">
        <is>
          <t>IA-2, SI-10, SC-7</t>
        </is>
      </c>
      <c r="K31" s="52" t="n">
        <v>3</v>
      </c>
      <c r="L31" s="52" t="n">
        <v>4</v>
      </c>
      <c r="M31" s="52" t="n">
        <v>12</v>
      </c>
      <c r="N31" s="52" t="inlineStr">
        <is>
          <t>High</t>
        </is>
      </c>
      <c r="O31" s="52" t="inlineStr">
        <is>
          <t>High</t>
        </is>
      </c>
      <c r="P31" s="53" t="inlineStr">
        <is>
          <t>Standard network segmentation (effectiveness unverified for display controller segments)</t>
        </is>
      </c>
      <c r="Q31" s="52" t="inlineStr">
        <is>
          <t>Medium with firmware update and segmentation verification</t>
        </is>
      </c>
      <c r="R31" s="53" t="inlineStr">
        <is>
          <t>Apply Daktronics firmware update addressing authentication, input validation, and insecure update mechanism flaws. Verify network segmentation isolates controllers from other OT/IT systems; prioritize safety-relevant signage deployments.</t>
        </is>
      </c>
      <c r="S31" s="52" t="inlineStr">
        <is>
          <t>Control 7, 12</t>
        </is>
      </c>
      <c r="T31" s="53" t="inlineStr">
        <is>
          <t>Facilities/IT Engineering</t>
        </is>
      </c>
      <c r="U31" s="52" t="inlineStr">
        <is>
          <t>Open — Standard Cycle</t>
        </is>
      </c>
      <c r="V31" s="52" t="inlineStr">
        <is>
          <t>2026-07-13</t>
        </is>
      </c>
      <c r="W31" s="52" t="inlineStr">
        <is>
          <t>2026-06-29</t>
        </is>
      </c>
      <c r="X31" s="53" t="inlineStr">
        <is>
          <t>CISA ICS Advisory ICSA-26-176-04; no confirmed active exploitation; comparable to RR-020 precedent (multi-CVE chain to root, full bundle warranted by severity/footprint); full bundle in IT-OT-Threats/2026-06-CISA-Advisory-Daktronics-ControllerFirmware</t>
        </is>
      </c>
    </row>
    <row r="32">
      <c r="A32" s="52" t="inlineStr">
        <is>
          <t>RR-028</t>
        </is>
      </c>
      <c r="B32" s="53" t="inlineStr">
        <is>
          <t>2026-07-13</t>
        </is>
      </c>
      <c r="C32" s="53" t="inlineStr">
        <is>
          <t>CISA KEV</t>
        </is>
      </c>
      <c r="D32" s="53" t="inlineStr">
        <is>
          <t>CVE-2026-55255</t>
        </is>
      </c>
      <c r="E32" s="53" t="inlineStr">
        <is>
          <t>Langflow AI agent platform — Authorization bypass through user-controlled key (IDOR) in /api/v1/responses endpoint enabling execution of another user's AI agent flow; CVSS 9.9; first AI agent platform added to CISA KEV; actively exploited</t>
        </is>
      </c>
      <c r="F32" s="52" t="inlineStr">
        <is>
          <t>AI-Governance / Cloud-Security (dual-category)</t>
        </is>
      </c>
      <c r="G32" s="53" t="inlineStr">
        <is>
          <t>AI/LLM Infrastructure — Agent Orchestration Platform</t>
        </is>
      </c>
      <c r="H32" s="53" t="inlineStr">
        <is>
          <t>Langflow (versions prior to 1.9.2)</t>
        </is>
      </c>
      <c r="I32" s="53" t="inlineStr">
        <is>
          <t>NIST AI RMF GOVERN 1.1/MAP 4.1/MANAGE 2.3 | ISO/IEC 42001 Clause 6.1.2/8.1 | NIST CSF 2.0 PR.AA-05/DE.CM-09 | NIST 800-53 AC-3/IA-2/SI-2 | EU AI Act Article 9/15</t>
        </is>
      </c>
      <c r="J32" s="53" t="inlineStr">
        <is>
          <t>AC-3, IA-2, SI-2</t>
        </is>
      </c>
      <c r="K32" s="52" t="n">
        <v>5</v>
      </c>
      <c r="L32" s="52" t="n">
        <v>5</v>
      </c>
      <c r="M32" s="52" t="n">
        <v>25</v>
      </c>
      <c r="N32" s="52" t="inlineStr">
        <is>
          <t>Critical</t>
        </is>
      </c>
      <c r="O32" s="52" t="inlineStr">
        <is>
          <t>Critical</t>
        </is>
      </c>
      <c r="P32" s="53" t="inlineStr">
        <is>
          <t>Standard application authentication (insufficient — flaw is in authorization/ownership check, not authentication)</t>
        </is>
      </c>
      <c r="Q32" s="52" t="inlineStr">
        <is>
          <t>High</t>
        </is>
      </c>
      <c r="R32" s="53" t="inlineStr">
        <is>
          <t>Upgrade Langflow to v1.9.2+ immediately; rotate all credentials reachable by any agent flow; review flow-execution logs for cross-user access since 2026-07-07; complete AI agent inventory</t>
        </is>
      </c>
      <c r="S32" s="52" t="inlineStr">
        <is>
          <t>N/A (AI governance context)</t>
        </is>
      </c>
      <c r="T32" s="53" t="inlineStr">
        <is>
          <t>AI/Platform Engineering</t>
        </is>
      </c>
      <c r="U32" s="52" t="inlineStr">
        <is>
          <t>Open — Emergency</t>
        </is>
      </c>
      <c r="V32" s="52" t="inlineStr">
        <is>
          <t>2026-07-10</t>
        </is>
      </c>
      <c r="W32" s="52" t="inlineStr">
        <is>
          <t>2026-07-13</t>
        </is>
      </c>
      <c r="X32" s="53" t="inlineStr">
        <is>
          <t>CISA KEV added 2026-07-07; 3-day BOD 26-04 mandate; first AI agent orchestration platform in KEV catalog; related precedent — "agentic ransomware" via earlier Langflow CVE-2025-3248 (Sysdig); full bundle duplicated in AI-Governance/2026-07-CISA-KEV-Langflow and Cloud-Security/2026-07-CISA-KEV-Langflow</t>
        </is>
      </c>
    </row>
    <row r="33">
      <c r="A33" s="52" t="inlineStr">
        <is>
          <t>RR-029</t>
        </is>
      </c>
      <c r="B33" s="53" t="inlineStr">
        <is>
          <t>2026-07-13</t>
        </is>
      </c>
      <c r="C33" s="53" t="inlineStr">
        <is>
          <t>CISA KEV</t>
        </is>
      </c>
      <c r="D33" s="53" t="inlineStr">
        <is>
          <t>CVE-2026-48282</t>
        </is>
      </c>
      <c r="E33" s="53" t="inlineStr">
        <is>
          <t>Adobe ColdFusion RDS FILEIO path traversal enabling arbitrary file write and unauthenticated RCE as ColdFusion service account (SYSTEM on Windows); CVSS 10.0; actively exploited within approximately 2 hours of public technical disclosure</t>
        </is>
      </c>
      <c r="F33" s="52" t="inlineStr">
        <is>
          <t>IT-OT-Threats</t>
        </is>
      </c>
      <c r="G33" s="53" t="inlineStr">
        <is>
          <t>Enterprise Web Application Platform</t>
        </is>
      </c>
      <c r="H33" s="53" t="inlineStr">
        <is>
          <t>Adobe ColdFusion 2025 (Update 9 and earlier) / ColdFusion 2023 (Update 20 and earlier)</t>
        </is>
      </c>
      <c r="I33" s="53" t="inlineStr">
        <is>
          <t>NIST CSF 2.0 PR.PS-04/DE.CM-01/RS.AN-03 | NIST 800-53 SI-2/SI-3/SI-10/AC-3 | ISO 27001 A.8.8/A.8.28 | CIS Control 7/16</t>
        </is>
      </c>
      <c r="J33" s="53" t="inlineStr">
        <is>
          <t>SI-2, SI-3, SI-10</t>
        </is>
      </c>
      <c r="K33" s="52" t="n">
        <v>5</v>
      </c>
      <c r="L33" s="52" t="n">
        <v>5</v>
      </c>
      <c r="M33" s="52" t="n">
        <v>25</v>
      </c>
      <c r="N33" s="52" t="inlineStr">
        <is>
          <t>Critical</t>
        </is>
      </c>
      <c r="O33" s="52" t="inlineStr">
        <is>
          <t>Critical</t>
        </is>
      </c>
      <c r="P33" s="53" t="inlineStr">
        <is>
          <t>Vendor patch available (APSB26-68, released 2026-06-30); WAF may provide interim compensating control on RDS/CFIDE endpoints</t>
        </is>
      </c>
      <c r="Q33" s="52" t="inlineStr">
        <is>
          <t>Medium</t>
        </is>
      </c>
      <c r="R33" s="53" t="inlineStr">
        <is>
          <t>Apply ColdFusion 2025 Update 10 / 2023 Update 21 immediately; disable RDS where not required; block external access to /CFIDE/administrator and RDS endpoints via WAF; forensic sweep for unauthorized .cfm/.cfc/.jsp files</t>
        </is>
      </c>
      <c r="S33" s="52" t="inlineStr">
        <is>
          <t>Control 7 (7.4) / Control 16</t>
        </is>
      </c>
      <c r="T33" s="53" t="inlineStr">
        <is>
          <t>Enterprise Application Engineering</t>
        </is>
      </c>
      <c r="U33" s="52" t="inlineStr">
        <is>
          <t>Open — Emergency</t>
        </is>
      </c>
      <c r="V33" s="52" t="inlineStr">
        <is>
          <t>2026-07-10</t>
        </is>
      </c>
      <c r="W33" s="52" t="inlineStr">
        <is>
          <t>2026-07-13</t>
        </is>
      </c>
      <c r="X33" s="53" t="inlineStr">
        <is>
          <t>CISA KEV added 2026-07-07; 3-day BOD 26-04 mandate; Adobe patch available 2026-06-30 (APSB26-68); active exploitation confirmed by KEVIntel honeypots within ~2 hours of technical disclosure; full bundle in IT-OT-Threats/2026-07-CISA-KEV-Adobe-ColdFusion</t>
        </is>
      </c>
    </row>
    <row r="34">
      <c r="A34" s="52" t="inlineStr">
        <is>
          <t>RR-030</t>
        </is>
      </c>
      <c r="B34" s="53" t="inlineStr">
        <is>
          <t>2026-07-13</t>
        </is>
      </c>
      <c r="C34" s="53" t="inlineStr">
        <is>
          <t>CISA KEV</t>
        </is>
      </c>
      <c r="D34" s="53" t="inlineStr">
        <is>
          <t>CVE-2026-48908</t>
        </is>
      </c>
      <c r="E34" s="53" t="inlineStr">
        <is>
          <t>SP Page Builder for Joomla (JoomShaper) — unauthenticated arbitrary file upload via uploadCustomIcon functionality enabling RCE; CVSS 10.0; actively exploited as zero-day; affects versions &lt;= 6.6.1</t>
        </is>
      </c>
      <c r="F34" s="52" t="inlineStr">
        <is>
          <t>IT-OT-Threats</t>
        </is>
      </c>
      <c r="G34" s="53" t="inlineStr">
        <is>
          <t>Public-Facing CMS Web Applications</t>
        </is>
      </c>
      <c r="H34" s="53" t="inlineStr">
        <is>
          <t>Joomla! — SP Page Builder extension (JoomShaper) &lt;= 6.6.1</t>
        </is>
      </c>
      <c r="I34" s="53" t="inlineStr">
        <is>
          <t>NIST CSF 2.0 PR.PS-04/DE.CM-09 | NIST 800-53 SI-2/SI-10/SC-7 | ISO 27001 A.8.8 | CIS Control 7/16</t>
        </is>
      </c>
      <c r="J34" s="53" t="inlineStr">
        <is>
          <t>SI-2, SI-10, SC-7</t>
        </is>
      </c>
      <c r="K34" s="52" t="n">
        <v>5</v>
      </c>
      <c r="L34" s="52" t="n">
        <v>5</v>
      </c>
      <c r="M34" s="52" t="n">
        <v>25</v>
      </c>
      <c r="N34" s="52" t="inlineStr">
        <is>
          <t>Critical</t>
        </is>
      </c>
      <c r="O34" s="52" t="inlineStr">
        <is>
          <t>Critical</t>
        </is>
      </c>
      <c r="P34" s="53" t="inlineStr">
        <is>
          <t>WAF (variable); no default protection against unauthenticated upload-endpoint abuse</t>
        </is>
      </c>
      <c r="Q34" s="52" t="inlineStr">
        <is>
          <t>Medium</t>
        </is>
      </c>
      <c r="R34" s="53" t="inlineStr">
        <is>
          <t>Upgrade SP Page Builder to v6.6.2+ on all Joomla sites; scan web roots for unauthorized files; deploy WAF rule on upload endpoint pending patch</t>
        </is>
      </c>
      <c r="S34" s="52" t="inlineStr">
        <is>
          <t>Control 7 / Control 16</t>
        </is>
      </c>
      <c r="T34" s="53" t="inlineStr">
        <is>
          <t>Web/IT Operations</t>
        </is>
      </c>
      <c r="U34" s="52" t="inlineStr">
        <is>
          <t>Open — Emergency</t>
        </is>
      </c>
      <c r="V34" s="52" t="inlineStr">
        <is>
          <t>2026-07-10</t>
        </is>
      </c>
      <c r="W34" s="52" t="inlineStr">
        <is>
          <t>2026-07-13</t>
        </is>
      </c>
      <c r="X34" s="53" t="inlineStr">
        <is>
          <t>KEV added 2026-07-07; one of four unrelated Joomla extensions with the identical unauthenticated file-upload RCE class added to KEV this week (see RR-031/032/033); combined bundle in IT-OT-Threats/2026-07-CISA-KEV-Joomla-ExtensionFileUpload</t>
        </is>
      </c>
    </row>
    <row r="35">
      <c r="A35" s="52" t="inlineStr">
        <is>
          <t>RR-031</t>
        </is>
      </c>
      <c r="B35" s="53" t="inlineStr">
        <is>
          <t>2026-07-13</t>
        </is>
      </c>
      <c r="C35" s="53" t="inlineStr">
        <is>
          <t>CISA KEV</t>
        </is>
      </c>
      <c r="D35" s="53" t="inlineStr">
        <is>
          <t>CVE-2026-56290</t>
        </is>
      </c>
      <c r="E35" s="53" t="inlineStr">
        <is>
          <t>Joomlack Page Builder for Joomla — improper access control enabling unauthenticated arbitrary file upload and RCE; CVSS 10.0; actively exploited</t>
        </is>
      </c>
      <c r="F35" s="52" t="inlineStr">
        <is>
          <t>IT-OT-Threats</t>
        </is>
      </c>
      <c r="G35" s="53" t="inlineStr">
        <is>
          <t>Public-Facing CMS Web Applications</t>
        </is>
      </c>
      <c r="H35" s="53" t="inlineStr">
        <is>
          <t>Joomla! — Page Builder extension (Joomlack)</t>
        </is>
      </c>
      <c r="I35" s="53" t="inlineStr">
        <is>
          <t>NIST CSF 2.0 PR.PS-04/DE.CM-09 | NIST 800-53 SI-2/SI-10/SC-7 | ISO 27001 A.8.8 | CIS Control 7/16</t>
        </is>
      </c>
      <c r="J35" s="53" t="inlineStr">
        <is>
          <t>SI-2, SI-10, SC-7</t>
        </is>
      </c>
      <c r="K35" s="52" t="n">
        <v>5</v>
      </c>
      <c r="L35" s="52" t="n">
        <v>5</v>
      </c>
      <c r="M35" s="52" t="n">
        <v>25</v>
      </c>
      <c r="N35" s="52" t="inlineStr">
        <is>
          <t>Critical</t>
        </is>
      </c>
      <c r="O35" s="52" t="inlineStr">
        <is>
          <t>Critical</t>
        </is>
      </c>
      <c r="P35" s="53" t="inlineStr">
        <is>
          <t>WAF (variable); no default protection against unauthenticated upload-endpoint abuse</t>
        </is>
      </c>
      <c r="Q35" s="52" t="inlineStr">
        <is>
          <t>Medium</t>
        </is>
      </c>
      <c r="R35" s="53" t="inlineStr">
        <is>
          <t>Apply vendor patch for Joomlack Page Builder immediately on all Joomla sites; scan web roots for unauthorized files; deploy WAF rule on upload endpoint pending patch</t>
        </is>
      </c>
      <c r="S35" s="52" t="inlineStr">
        <is>
          <t>Control 7 / Control 16</t>
        </is>
      </c>
      <c r="T35" s="53" t="inlineStr">
        <is>
          <t>Web/IT Operations</t>
        </is>
      </c>
      <c r="U35" s="52" t="inlineStr">
        <is>
          <t>Open — Emergency</t>
        </is>
      </c>
      <c r="V35" s="52" t="inlineStr">
        <is>
          <t>2026-07-10</t>
        </is>
      </c>
      <c r="W35" s="52" t="inlineStr">
        <is>
          <t>2026-07-13</t>
        </is>
      </c>
      <c r="X35" s="53" t="inlineStr">
        <is>
          <t>KEV added 2026-07-07; one of four unrelated Joomla extensions with the identical unauthenticated file-upload RCE class added to KEV this week; combined bundle in IT-OT-Threats/2026-07-CISA-KEV-Joomla-ExtensionFileUpload</t>
        </is>
      </c>
    </row>
    <row r="36">
      <c r="A36" s="52" t="inlineStr">
        <is>
          <t>RR-032</t>
        </is>
      </c>
      <c r="B36" s="53" t="inlineStr">
        <is>
          <t>2026-07-13</t>
        </is>
      </c>
      <c r="C36" s="53" t="inlineStr">
        <is>
          <t>CISA KEV</t>
        </is>
      </c>
      <c r="D36" s="53" t="inlineStr">
        <is>
          <t>CVE-2026-48939</t>
        </is>
      </c>
      <c r="E36" s="53" t="inlineStr">
        <is>
          <t>iCagenda extension for Joomla — unauthenticated arbitrary file upload via file-attachment functionality enabling RCE; CVSS 10.0; actively exploited as zero-day; affects versions &lt;= 4.0.7</t>
        </is>
      </c>
      <c r="F36" s="52" t="inlineStr">
        <is>
          <t>IT-OT-Threats</t>
        </is>
      </c>
      <c r="G36" s="53" t="inlineStr">
        <is>
          <t>Public-Facing CMS Web Applications / Event Registration Systems (PII)</t>
        </is>
      </c>
      <c r="H36" s="53" t="inlineStr">
        <is>
          <t>Joomla! — iCagenda extension &lt;= 4.0.7</t>
        </is>
      </c>
      <c r="I36" s="53" t="inlineStr">
        <is>
          <t>NIST CSF 2.0 PR.PS-04/DE.CM-09 | NIST 800-53 SI-2/SI-10/SC-7 | ISO 27001 A.8.8 | CIS Control 7/16</t>
        </is>
      </c>
      <c r="J36" s="53" t="inlineStr">
        <is>
          <t>SI-2, SI-10, SC-7</t>
        </is>
      </c>
      <c r="K36" s="52" t="n">
        <v>5</v>
      </c>
      <c r="L36" s="52" t="n">
        <v>5</v>
      </c>
      <c r="M36" s="52" t="n">
        <v>25</v>
      </c>
      <c r="N36" s="52" t="inlineStr">
        <is>
          <t>Critical</t>
        </is>
      </c>
      <c r="O36" s="52" t="inlineStr">
        <is>
          <t>Critical</t>
        </is>
      </c>
      <c r="P36" s="53" t="inlineStr">
        <is>
          <t>WAF (variable); no default protection against unauthenticated upload-endpoint abuse</t>
        </is>
      </c>
      <c r="Q36" s="52" t="inlineStr">
        <is>
          <t>Medium</t>
        </is>
      </c>
      <c r="R36" s="53" t="inlineStr">
        <is>
          <t>Upgrade iCagenda to v4.0.8+ on all Joomla sites; scan web roots for unauthorized files; deploy WAF rule on upload endpoint pending patch</t>
        </is>
      </c>
      <c r="S36" s="52" t="inlineStr">
        <is>
          <t>Control 7 / Control 16</t>
        </is>
      </c>
      <c r="T36" s="53" t="inlineStr">
        <is>
          <t>Web/IT Operations</t>
        </is>
      </c>
      <c r="U36" s="52" t="inlineStr">
        <is>
          <t>Open — Emergency</t>
        </is>
      </c>
      <c r="V36" s="52" t="inlineStr">
        <is>
          <t>2026-07-13</t>
        </is>
      </c>
      <c r="W36" s="52" t="inlineStr">
        <is>
          <t>2026-07-13</t>
        </is>
      </c>
      <c r="X36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7">
      <c r="A37" s="52" t="inlineStr">
        <is>
          <t>RR-033</t>
        </is>
      </c>
      <c r="B37" s="53" t="inlineStr">
        <is>
          <t>2026-07-13</t>
        </is>
      </c>
      <c r="C37" s="53" t="inlineStr">
        <is>
          <t>CISA KEV</t>
        </is>
      </c>
      <c r="D37" s="53" t="inlineStr">
        <is>
          <t>CVE-2026-56291</t>
        </is>
      </c>
      <c r="E37" s="53" t="inlineStr">
        <is>
          <t>Balbooa Forms extension for Joomla — unauthenticated arbitrary file upload enabling RCE; CVSS 10.0; actively exploited as zero-day</t>
        </is>
      </c>
      <c r="F37" s="52" t="inlineStr">
        <is>
          <t>IT-OT-Threats</t>
        </is>
      </c>
      <c r="G37" s="53" t="inlineStr">
        <is>
          <t>Public-Facing CMS Web Applications / Form-Intake Systems (PII)</t>
        </is>
      </c>
      <c r="H37" s="53" t="inlineStr">
        <is>
          <t>Joomla! — Balbooa Forms extension</t>
        </is>
      </c>
      <c r="I37" s="53" t="inlineStr">
        <is>
          <t>NIST CSF 2.0 PR.PS-04/DE.CM-09 | NIST 800-53 SI-2/SI-10/SC-7 | ISO 27001 A.8.8 | CIS Control 7/16</t>
        </is>
      </c>
      <c r="J37" s="53" t="inlineStr">
        <is>
          <t>SI-2, SI-10, SC-7</t>
        </is>
      </c>
      <c r="K37" s="52" t="n">
        <v>5</v>
      </c>
      <c r="L37" s="52" t="n">
        <v>5</v>
      </c>
      <c r="M37" s="52" t="n">
        <v>25</v>
      </c>
      <c r="N37" s="52" t="inlineStr">
        <is>
          <t>Critical</t>
        </is>
      </c>
      <c r="O37" s="52" t="inlineStr">
        <is>
          <t>Critical</t>
        </is>
      </c>
      <c r="P37" s="53" t="inlineStr">
        <is>
          <t>WAF (variable); no default protection against unauthenticated upload-endpoint abuse</t>
        </is>
      </c>
      <c r="Q37" s="52" t="inlineStr">
        <is>
          <t>Medium</t>
        </is>
      </c>
      <c r="R37" s="53" t="inlineStr">
        <is>
          <t>Apply vendor patch for Balbooa Forms immediately on all Joomla sites; scan web roots for unauthorized files; deploy WAF rule on upload endpoint pending patch</t>
        </is>
      </c>
      <c r="S37" s="52" t="inlineStr">
        <is>
          <t>Control 7 / Control 16</t>
        </is>
      </c>
      <c r="T37" s="53" t="inlineStr">
        <is>
          <t>Web/IT Operations</t>
        </is>
      </c>
      <c r="U37" s="52" t="inlineStr">
        <is>
          <t>Open — Emergency</t>
        </is>
      </c>
      <c r="V37" s="52" t="inlineStr">
        <is>
          <t>2026-07-13</t>
        </is>
      </c>
      <c r="W37" s="52" t="inlineStr">
        <is>
          <t>2026-07-13</t>
        </is>
      </c>
      <c r="X37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8" s="42">
      <c r="A38" s="52" t="inlineStr">
        <is>
          <t>RR-034</t>
        </is>
      </c>
      <c r="B38" s="53" t="inlineStr">
        <is>
          <t>2026-07-13</t>
        </is>
      </c>
      <c r="C38" s="53" t="inlineStr">
        <is>
          <t>CISA/NSA/FBI Advisory</t>
        </is>
      </c>
      <c r="D38" s="53" t="inlineStr">
        <is>
          <t>U/OO/6042849-26 | PP-26-2829</t>
        </is>
      </c>
      <c r="E38" s="53" t="inlineStr">
        <is>
          <t>Joint NSA/CISA/FBI/DC3 + international partners advisory — Russian FSB Center 16 actors scanning internet-connected routers for default/common SNMP authentication strings, then issuing spoofed-IP commands to copy device configuration files and exfiltrate via TFTP to actor-controlled infrastructure</t>
        </is>
      </c>
      <c r="F38" s="52" t="inlineStr">
        <is>
          <t>IT-OT-Threats</t>
        </is>
      </c>
      <c r="G38" s="53" t="inlineStr">
        <is>
          <t>Enterprise Network Infrastructure</t>
        </is>
      </c>
      <c r="H38" s="53" t="inlineStr">
        <is>
          <t>Internet-connected routers with default/weak SNMP community strings</t>
        </is>
      </c>
      <c r="I38" s="53" t="inlineStr">
        <is>
          <t>NIST CSF 2.0 PR.AA-01/PR.PS-01/DE.CM-01 | NIST 800-53 IA-5/CM-6/SC-7 | ISO 27001 A.8.20/A.8.9 | CIS Control 4/12</t>
        </is>
      </c>
      <c r="J38" s="53" t="inlineStr">
        <is>
          <t>IA-5, CM-6, SC-7</t>
        </is>
      </c>
      <c r="K38" s="52" t="n">
        <v>4</v>
      </c>
      <c r="L38" s="52" t="n">
        <v>4</v>
      </c>
      <c r="M38" s="52" t="n">
        <v>16</v>
      </c>
      <c r="N38" s="52" t="inlineStr">
        <is>
          <t>High</t>
        </is>
      </c>
      <c r="O38" s="52" t="inlineStr">
        <is>
          <t>High</t>
        </is>
      </c>
      <c r="P38" s="53" t="inlineStr">
        <is>
          <t>Standard network perimeter controls; SNMP typically not hardened by default configuration</t>
        </is>
      </c>
      <c r="Q38" s="52" t="inlineStr">
        <is>
          <t>Medium</t>
        </is>
      </c>
      <c r="R38" s="53" t="inlineStr">
        <is>
          <t>Disable SNMP where not required; change default/common community strings; restrict SNMP access to management network only; monitor for anomalous TFTP egress; apply router hygiene guidance per joint advisory</t>
        </is>
      </c>
      <c r="S38" s="52" t="inlineStr">
        <is>
          <t>Control 4 / Control 12</t>
        </is>
      </c>
      <c r="T38" s="53" t="inlineStr">
        <is>
          <t>Network Engineering</t>
        </is>
      </c>
      <c r="U38" s="52" t="inlineStr">
        <is>
          <t>Open</t>
        </is>
      </c>
      <c r="V38" s="52" t="inlineStr">
        <is>
          <t>2026-08-09</t>
        </is>
      </c>
      <c r="W38" s="52" t="inlineStr">
        <is>
          <t>2026-07-13</t>
        </is>
      </c>
      <c r="X38" s="53" t="inlineStr">
        <is>
          <t>Joint advisory published 2026-07-09 by NSA/CISA/FBI/DC3 + ASD ACSC and international partners (Australia, Canada, Czech Republic, Denmark, Estonia, Finland, France, Italy, New Zealand, Poland, Sweden, UK NCSC); attributes activity to Russian FSB Center 16; register-entry only — TTP/hygiene advisory, no specific CVE; no full case-study bundle built, consistent with RR-005 precedent</t>
        </is>
      </c>
    </row>
    <row r="39" s="42">
      <c r="A39" s="52" t="inlineStr">
        <is>
          <t>RR-035</t>
        </is>
      </c>
      <c r="B39" s="53" t="inlineStr">
        <is>
          <t>2026-07-27</t>
        </is>
      </c>
      <c r="C39" s="53" t="inlineStr">
        <is>
          <t>CISA KEV</t>
        </is>
      </c>
      <c r="D39" s="53" t="inlineStr">
        <is>
          <t>CVE-2026-0770</t>
        </is>
      </c>
      <c r="E39" s="53" t="inlineStr">
        <is>
          <t>Langflow AI agent/workflow platform — unauthenticated remote code execution as root via the exec_globals parameter in the /api/v1/validate/code endpoint; CVSS 9.8; actively exploited since 2026-06-27 (220+ attempts, 64 source IPs) with observed AWS credential and container metadata theft attempts</t>
        </is>
      </c>
      <c r="F39" s="52" t="inlineStr">
        <is>
          <t>AI-Governance / Cloud-Security (dual-category)</t>
        </is>
      </c>
      <c r="G39" s="53" t="inlineStr">
        <is>
          <t>AI/LLM Infrastructure — Agent Orchestration Platform</t>
        </is>
      </c>
      <c r="H39" s="53" t="inlineStr">
        <is>
          <t>Langflow (versions 0 through 1.7.3)</t>
        </is>
      </c>
      <c r="I39" s="53" t="inlineStr">
        <is>
          <t>NIST AI RMF GOVERN 1.1/MAP 4.1/MANAGE 2.3 | ISO/IEC 42001 Clause 6.1.2/8.1 | NIST CSF 2.0 PR.AA-01/DE.CM-09 | NIST 800-53 IA-2/AC-3/SC-7 | EU AI Act Article 9</t>
        </is>
      </c>
      <c r="J39" s="53" t="inlineStr">
        <is>
          <t>IA-2, AC-3, SC-7</t>
        </is>
      </c>
      <c r="K39" s="52" t="n">
        <v>5</v>
      </c>
      <c r="L39" s="52" t="n">
        <v>5</v>
      </c>
      <c r="M39" s="52" t="n">
        <v>25</v>
      </c>
      <c r="N39" s="52" t="inlineStr">
        <is>
          <t>Critical</t>
        </is>
      </c>
      <c r="O39" s="52" t="inlineStr">
        <is>
          <t>Critical</t>
        </is>
      </c>
      <c r="P39" s="53" t="inlineStr">
        <is>
          <t>Standard application authentication (endpoint required none — root-cause control failure)</t>
        </is>
      </c>
      <c r="Q39" s="52" t="inlineStr">
        <is>
          <t>High until patched and credentials rotated</t>
        </is>
      </c>
      <c r="R39" s="53" t="inlineStr">
        <is>
          <t>Upgrade Langflow to the vendor-patched release addressing CVE-2026-0770 immediately; restrict /api/v1/validate/code to authenticated/internal-network access pending patch; rotate all AWS credentials and secrets reachable by any affected instance; review logs for exploitation since 2026-06-27</t>
        </is>
      </c>
      <c r="S39" s="52" t="inlineStr">
        <is>
          <t>N/A (AI governance context)</t>
        </is>
      </c>
      <c r="T39" s="53" t="inlineStr">
        <is>
          <t>AI/Platform Engineering / Security Operations</t>
        </is>
      </c>
      <c r="U39" s="52" t="inlineStr">
        <is>
          <t>Open — Emergency</t>
        </is>
      </c>
      <c r="V39" s="52" t="inlineStr">
        <is>
          <t>2026-07-24</t>
        </is>
      </c>
      <c r="W39" s="52" t="inlineStr">
        <is>
          <t>2026-07-27</t>
        </is>
      </c>
      <c r="X39" s="53" t="inlineStr">
        <is>
          <t>KEV added 2026-07-21; 3-day BOD 26-04 mandate; fourth actively-exploited Langflow KEV entry in 14 months (after CVE-2025-3248, CVE-2026-33017, CVE-2026-55255/RR-028); distinct vulnerability from RR-028 (no auth required at all, root-level); dual-category bundle duplicated in AI-Governance and Cloud-Security</t>
        </is>
      </c>
    </row>
    <row r="40" s="42">
      <c r="A40" s="52" t="inlineStr">
        <is>
          <t>RR-036</t>
        </is>
      </c>
      <c r="B40" s="53" t="inlineStr">
        <is>
          <t>2026-07-27</t>
        </is>
      </c>
      <c r="C40" s="53" t="inlineStr">
        <is>
          <t>CISA KEV</t>
        </is>
      </c>
      <c r="D40" s="53" t="inlineStr">
        <is>
          <t>CVE-2026-63030; CVE-2026-60137</t>
        </is>
      </c>
      <c r="E40" s="53" t="inlineStr">
        <is>
          <t>WordPress Core "wp2shell" exploit chain — REST API batch-route confusion (CVE-2026-63030) chained with unauthenticated SQL injection in WP_Query author__not_in (CVE-2026-60137) enabling full unauthenticated remote code execution; CVSS 9.8 (CNA/Wordfence/WPScan; CISA-ADP secondary score 7.5); actively exploited with webshell and rogue-admin-account deployment; first critical unauthenticated WordPress Core RCE in nearly a decade</t>
        </is>
      </c>
      <c r="F40" s="52" t="inlineStr">
        <is>
          <t>IT-OT-Threats</t>
        </is>
      </c>
      <c r="G40" s="53" t="inlineStr">
        <is>
          <t>Public-Facing CMS Web Applications</t>
        </is>
      </c>
      <c r="H40" s="53" t="inlineStr">
        <is>
          <t>WordPress Core 6.8.0-6.8.5 / 6.9.0-6.9.4 / 7.0.0-7.0.1</t>
        </is>
      </c>
      <c r="I40" s="53" t="inlineStr">
        <is>
          <t>NIST CSF 2.0 PR.PS-04/DE.CM-09 | NIST 800-53 SI-2/SI-10/AC-3 | ISO 27001 A.8.8 | CIS Control 7/16</t>
        </is>
      </c>
      <c r="J40" s="53" t="inlineStr">
        <is>
          <t>SI-2, SI-10, AC-3</t>
        </is>
      </c>
      <c r="K40" s="52" t="n">
        <v>5</v>
      </c>
      <c r="L40" s="52" t="n">
        <v>5</v>
      </c>
      <c r="M40" s="52" t="n">
        <v>25</v>
      </c>
      <c r="N40" s="52" t="inlineStr">
        <is>
          <t>Critical</t>
        </is>
      </c>
      <c r="O40" s="52" t="inlineStr">
        <is>
          <t>Critical</t>
        </is>
      </c>
      <c r="P40" s="53" t="inlineStr">
        <is>
          <t>WordPress Core auto-update (effective only where not disabled); no default WAF coverage of the vulnerable REST route</t>
        </is>
      </c>
      <c r="Q40" s="52" t="inlineStr">
        <is>
          <t>High until patched and compromise-swept</t>
        </is>
      </c>
      <c r="R40" s="53" t="inlineStr">
        <is>
          <t>Upgrade WordPress Core to 7.0.2 / 6.9.5 / 6.8.6 on all sites immediately; sweep web roots (especially /wp-content/cache/) for webshells; audit administrator accounts and installed plugins for unauthorized additions; rotate database credentials and authentication keys if sweep findings are positive</t>
        </is>
      </c>
      <c r="S40" s="52" t="inlineStr">
        <is>
          <t>Control 7 / Control 16</t>
        </is>
      </c>
      <c r="T40" s="53" t="inlineStr">
        <is>
          <t>Web/IT Operations / Security Operations</t>
        </is>
      </c>
      <c r="U40" s="52" t="inlineStr">
        <is>
          <t>Open — Emergency</t>
        </is>
      </c>
      <c r="V40" s="52" t="inlineStr">
        <is>
          <t>2026-07-24</t>
        </is>
      </c>
      <c r="W40" s="52" t="inlineStr">
        <is>
          <t>2026-07-27</t>
        </is>
      </c>
      <c r="X40" s="53" t="inlineStr">
        <is>
          <t>KEV added 2026-07-21; exploitation confirmed predating public disclosure (probing observed 2026-07-17); patch rate ~81.6% of sampled sites as of run date; full bundle in IT-OT-Threats/2026-07-CISA-KEV-WordPress-Core-wp2shell</t>
        </is>
      </c>
    </row>
    <row r="41" s="42">
      <c r="A41" s="52" t="inlineStr">
        <is>
          <t>RR-037</t>
        </is>
      </c>
      <c r="B41" s="53" t="inlineStr">
        <is>
          <t>2026-07-27</t>
        </is>
      </c>
      <c r="C41" s="53" t="inlineStr">
        <is>
          <t>CISA KEV</t>
        </is>
      </c>
      <c r="D41" s="53" t="inlineStr">
        <is>
          <t>CVE-2026-16232 (related: CVE-2026-62144, CVE-2026-62145)</t>
        </is>
      </c>
      <c r="E41" s="53" t="inlineStr">
        <is>
          <t>Check Point SmartConsole authentication bypass — unauthenticated attacker obtains application login token and authenticates with full administrative privileges over Security Management/MDSM, enabling security policy modification; CVSS 9.3; confirmed active exploitation against a limited customer set; exploitation requires Management Server internet exposure without Trusted Client IP restriction</t>
        </is>
      </c>
      <c r="F41" s="52" t="inlineStr">
        <is>
          <t>IT-OT-Threats</t>
        </is>
      </c>
      <c r="G41" s="53" t="inlineStr">
        <is>
          <t>Security Management / Firewall Control-Plane Infrastructure</t>
        </is>
      </c>
      <c r="H41" s="53" t="inlineStr">
        <is>
          <t>Check Point Security Management / Multi-Domain Security Management, R77.30-R82.10</t>
        </is>
      </c>
      <c r="I41" s="53" t="inlineStr">
        <is>
          <t>NIST CSF 2.0 PR.AA-05/DE.CM-01 | NIST 800-53 IA-2/AC-6/SC-7 | ISO 27001 A.8.20/A.8.9 | CIS Control 4/12</t>
        </is>
      </c>
      <c r="J41" s="53" t="inlineStr">
        <is>
          <t>IA-2, AC-6, SC-7</t>
        </is>
      </c>
      <c r="K41" s="52" t="n">
        <v>4</v>
      </c>
      <c r="L41" s="52" t="n">
        <v>5</v>
      </c>
      <c r="M41" s="52" t="n">
        <v>20</v>
      </c>
      <c r="N41" s="52" t="inlineStr">
        <is>
          <t>Critical</t>
        </is>
      </c>
      <c r="O41" s="52" t="inlineStr">
        <is>
          <t>Critical</t>
        </is>
      </c>
      <c r="P41" s="53" t="inlineStr">
        <is>
          <t>Trusted Client IP allowlist (frequently unconfigured/unrestricted in practice)</t>
        </is>
      </c>
      <c r="Q41" s="52" t="inlineStr">
        <is>
          <t>Low-Medium once hotfix applied and Trusted Clients restricted</t>
        </is>
      </c>
      <c r="R41" s="53" t="inlineStr">
        <is>
          <t>Apply the July 22 Jumbo hotfix to all Management Servers; restrict Trusted Clients (GUI clients) to known administrative IP ranges; place Management Server behind VPN/firewall; compare live firewall policy and admin accounts against last known-good baseline</t>
        </is>
      </c>
      <c r="S41" s="52" t="inlineStr">
        <is>
          <t>Control 4 / Control 12</t>
        </is>
      </c>
      <c r="T41" s="53" t="inlineStr">
        <is>
          <t>Security Architecture / Network Engineering</t>
        </is>
      </c>
      <c r="U41" s="52" t="inlineStr">
        <is>
          <t>Open — Emergency</t>
        </is>
      </c>
      <c r="V41" s="52" t="inlineStr">
        <is>
          <t>2026-07-25</t>
        </is>
      </c>
      <c r="W41" s="52" t="inlineStr">
        <is>
          <t>2026-07-27</t>
        </is>
      </c>
      <c r="X41" s="53" t="inlineStr">
        <is>
          <t>KEV added 2026-07-22; related CVE-2026-62144 (CVSS 9.3, admin command execution bypass) and CVE-2026-62145 (CVSS 7.5, Gaia Portal root privilege escalation) patched in same hotfix — not separately KEV-listed/exploited, tracked here as context rather than separate register rows per program precedent for non-independently-triaged companion CVEs; full bundle in IT-OT-Threats/2026-07-CISA-KEV-CheckPoint-SmartConsole</t>
        </is>
      </c>
    </row>
    <row r="42" s="42">
      <c r="A42" s="52" t="inlineStr">
        <is>
          <t>RR-038</t>
        </is>
      </c>
      <c r="B42" s="53" t="inlineStr">
        <is>
          <t>2026-07-27</t>
        </is>
      </c>
      <c r="C42" s="53" t="inlineStr">
        <is>
          <t>CISA KEV</t>
        </is>
      </c>
      <c r="D42" s="53" t="inlineStr">
        <is>
          <t>CVE-2026-50522</t>
        </is>
      </c>
      <c r="E42" s="53" t="inlineStr">
        <is>
          <t>Microsoft SharePoint Server (on-premises) deserialization of untrusted data enabling RCE for an attacker authenticated as at least Site Owner; CVSS 9.8; public PoC released 2026-07-20, active exploitation within hours including theft of IIS machine keys enabling forged authentication tokens that persist after patching; third SharePoint Server CVE exploited in an ongoing July attack wave</t>
        </is>
      </c>
      <c r="F42" s="52" t="inlineStr">
        <is>
          <t>IT-OT-Threats</t>
        </is>
      </c>
      <c r="G42" s="53" t="inlineStr">
        <is>
          <t>Enterprise Collaboration / Document Management Platform</t>
        </is>
      </c>
      <c r="H42" s="53" t="inlineStr">
        <is>
          <t>Microsoft SharePoint Server — Subscription Edition, 2019, 2016 (on-premises)</t>
        </is>
      </c>
      <c r="I42" s="53" t="inlineStr">
        <is>
          <t>NIST CSF 2.0 PR.PS-04/RS.AN-03/DE.CM-01 | NIST 800-53 SI-2/SI-3/IA-5 | ISO 27001 A.8.8 | CIS Control 7/16</t>
        </is>
      </c>
      <c r="J42" s="53" t="inlineStr">
        <is>
          <t>SI-2, SI-3, IA-5</t>
        </is>
      </c>
      <c r="K42" s="52" t="n">
        <v>5</v>
      </c>
      <c r="L42" s="52" t="n">
        <v>5</v>
      </c>
      <c r="M42" s="52" t="n">
        <v>25</v>
      </c>
      <c r="N42" s="52" t="inlineStr">
        <is>
          <t>Critical</t>
        </is>
      </c>
      <c r="O42" s="52" t="inlineStr">
        <is>
          <t>Critical</t>
        </is>
      </c>
      <c r="P42" s="53" t="inlineStr">
        <is>
          <t>Standard Site Owner-level authorization (insufficient — vulnerability exploitable at that privilege tier)</t>
        </is>
      </c>
      <c r="Q42" s="52" t="inlineStr">
        <is>
          <t>High until patched AND machine keys rotated — patching alone is explicitly insufficient per researcher guidance</t>
        </is>
      </c>
      <c r="R42" s="53" t="inlineStr">
        <is>
          <t>Apply Microsoft's security update for CVE-2026-50522 to all on-prem SharePoint servers; sweep for web shells/persistence artifacts BEFORE rotating machine keys; rotate IIS machine keys and invalidate existing sessions only after sweep confirms clean; remediate jointly with related CVE-2026-32201/-45659/-56164/-58644</t>
        </is>
      </c>
      <c r="S42" s="52" t="inlineStr">
        <is>
          <t>Control 7 (7.4) / Control 16</t>
        </is>
      </c>
      <c r="T42" s="53" t="inlineStr">
        <is>
          <t>Enterprise Application Engineering</t>
        </is>
      </c>
      <c r="U42" s="52" t="inlineStr">
        <is>
          <t>Open — Emergency</t>
        </is>
      </c>
      <c r="V42" s="52" t="inlineStr">
        <is>
          <t>2026-07-25</t>
        </is>
      </c>
      <c r="W42" s="52" t="inlineStr">
        <is>
          <t>2026-07-27</t>
        </is>
      </c>
      <c r="X42" s="53" t="inlineStr">
        <is>
          <t>KEV added 2026-07-22; watchTowr confirmed active exploitation and explicitly warned patching alone is insufficient (machine key theft survives patch); third of four related SharePoint CVEs exploited this month; full bundle in IT-OT-Threats/2026-07-CISA-KEV-SharePoint-MachineKeyTheft</t>
        </is>
      </c>
    </row>
    <row r="43" s="42">
      <c r="A43" s="52" t="inlineStr">
        <is>
          <t>RR-039</t>
        </is>
      </c>
      <c r="B43" s="53" t="inlineStr">
        <is>
          <t>2026-07-27</t>
        </is>
      </c>
      <c r="C43" s="53" t="inlineStr">
        <is>
          <t>CISA KEV</t>
        </is>
      </c>
      <c r="D43" s="53" t="inlineStr">
        <is>
          <t>CVE-2021-27137</t>
        </is>
      </c>
      <c r="E43" s="53" t="inlineStr">
        <is>
          <t>DD-WRT router firmware — stack-based buffer overflow in UPnP SSDP M-SEARCH handling (unsafe strcpy) allowing unauthenticated remote attacker to overflow a fixed internal buffer; CVSS 8.1; KEV-listed based on confirmed exploitation, but requires UPnP enabled (off by default) and listening on an externally-reachable interface (internal-only by default)</t>
        </is>
      </c>
      <c r="F43" s="52" t="inlineStr">
        <is>
          <t>IT-OT-Threats</t>
        </is>
      </c>
      <c r="G43" s="53" t="inlineStr">
        <is>
          <t>SOHO/SMB Network Infrastructure</t>
        </is>
      </c>
      <c r="H43" s="53" t="inlineStr">
        <is>
          <t>DD-WRT firmware, builds prior to 45724</t>
        </is>
      </c>
      <c r="I43" s="53" t="inlineStr">
        <is>
          <t>NIST CSF 2.0 PR.PS-04 | NIST 800-53 SI-2/SI-10 | CIS Control 4</t>
        </is>
      </c>
      <c r="J43" s="53" t="inlineStr">
        <is>
          <t>SI-2, SI-10</t>
        </is>
      </c>
      <c r="K43" s="52" t="n">
        <v>3</v>
      </c>
      <c r="L43" s="52" t="n">
        <v>4</v>
      </c>
      <c r="M43" s="52" t="n">
        <v>12</v>
      </c>
      <c r="N43" s="52" t="inlineStr">
        <is>
          <t>High</t>
        </is>
      </c>
      <c r="O43" s="52" t="inlineStr">
        <is>
          <t>High</t>
        </is>
      </c>
      <c r="P43" s="53" t="inlineStr">
        <is>
          <t>UPnP disabled by default; internal-interface-only listening by default</t>
        </is>
      </c>
      <c r="Q43" s="52" t="inlineStr">
        <is>
          <t>Low-Medium given non-default exploitation prerequisite; High if UPnP is enabled and reachable</t>
        </is>
      </c>
      <c r="R43" s="53" t="inlineStr">
        <is>
          <t>Update DD-WRT firmware to build 45724 or later; disable UPnP where not operationally required; if UPnP must remain enabled, confirm it is not reachable from external interfaces</t>
        </is>
      </c>
      <c r="S43" s="52" t="inlineStr">
        <is>
          <t>Control 4</t>
        </is>
      </c>
      <c r="T43" s="53" t="inlineStr">
        <is>
          <t>Network Engineering</t>
        </is>
      </c>
      <c r="U43" s="52" t="inlineStr">
        <is>
          <t>Open — Standard Cycle</t>
        </is>
      </c>
      <c r="V43" s="52" t="inlineStr">
        <is>
          <t>2026-08-17</t>
        </is>
      </c>
      <c r="W43" s="52" t="inlineStr">
        <is>
          <t>2026-07-27</t>
        </is>
      </c>
      <c r="X43" s="53" t="inlineStr">
        <is>
          <t>KEV added 2026-07-21 alongside Langflow/WordPress additions; register-entry only — no full case-study bundle built; narrow, non-default exploitation prerequisite places this below full-bundle threshold, consistent with RR-021/RR-034 precedent</t>
        </is>
      </c>
    </row>
    <row r="44" s="42">
      <c r="A44" s="52" t="inlineStr">
        <is>
          <t>RR-040</t>
        </is>
      </c>
      <c r="B44" s="53" t="inlineStr">
        <is>
          <t>2026-07-27</t>
        </is>
      </c>
      <c r="C44" s="53" t="inlineStr">
        <is>
          <t>CISA KEV</t>
        </is>
      </c>
      <c r="D44" s="53" t="inlineStr">
        <is>
          <t>CVE-2026-16812</t>
        </is>
      </c>
      <c r="E44" s="53" t="inlineStr">
        <is>
          <t>Arista VeloCloud Orchestrator (VCO) — unauthenticated OS command injection enabling full orchestrator compromise; actively exploited</t>
        </is>
      </c>
      <c r="F44" s="52" t="inlineStr">
        <is>
          <t>IT — Network (SD-WAN)</t>
        </is>
      </c>
      <c r="G44" s="53" t="inlineStr">
        <is>
          <t>SD-WAN Management Plane</t>
        </is>
      </c>
      <c r="H44" s="53" t="inlineStr">
        <is>
          <t>Arista VeloCloud Orchestrator (on-prem)</t>
        </is>
      </c>
      <c r="I44" s="53" t="inlineStr">
        <is>
          <t>NIST CSF 2.0: PR.PS-04, PR.AA-05, DE.CM-01 | NIST 800-53: SI-10, SC-7, SI-2 | ISO 27001: A.8.8, A.8.20 | CIS Control 12</t>
        </is>
      </c>
      <c r="J44" s="53" t="inlineStr">
        <is>
          <t>SC — System &amp; Comms Protection</t>
        </is>
      </c>
      <c r="K44" s="52" t="n">
        <v>5</v>
      </c>
      <c r="L44" s="52" t="n">
        <v>5</v>
      </c>
      <c r="M44" s="52" t="n">
        <v>25</v>
      </c>
      <c r="N44" s="52" t="inlineStr">
        <is>
          <t>Critical</t>
        </is>
      </c>
      <c r="O44" s="52" t="inlineStr">
        <is>
          <t>Critical</t>
        </is>
      </c>
      <c r="P44" s="53" t="inlineStr">
        <is>
          <t>Vendor patch available; network segmentation varies by deployment</t>
        </is>
      </c>
      <c r="Q44" s="52" t="inlineStr">
        <is>
          <t>Low (post-patch + isolation)</t>
        </is>
      </c>
      <c r="R44" s="53" t="inlineStr">
        <is>
          <t>Upgrade to VCO 5.2.3.14 / 6.1.3.4 / 6.4.2.4 / 7.0.0.1+; restrict management interface to admin network</t>
        </is>
      </c>
      <c r="S44" s="52" t="inlineStr">
        <is>
          <t>CIS Control 12.2 — Establish and Maintain a Secure Network Architecture</t>
        </is>
      </c>
      <c r="T44" s="53" t="inlineStr">
        <is>
          <t>Blaise Kingko</t>
        </is>
      </c>
      <c r="U44" s="52" t="inlineStr">
        <is>
          <t>Open</t>
        </is>
      </c>
      <c r="V44" s="52" t="inlineStr">
        <is>
          <t>2026-07-30</t>
        </is>
      </c>
      <c r="W44" s="52" t="inlineStr">
        <is>
          <t>2026-08-03</t>
        </is>
      </c>
      <c r="X44" s="53" t="inlineStr">
        <is>
          <t>Actively exploited per CISA KEV; 3-day federal remediation window. CVSS 10.0. Case folder: IT-OT-Threats/2026-08-CISA-KEV-Arista-VeloCloud-CommandInjection</t>
        </is>
      </c>
    </row>
    <row r="45" s="42">
      <c r="A45" s="52" t="inlineStr">
        <is>
          <t>RR-041</t>
        </is>
      </c>
      <c r="B45" s="53" t="inlineStr">
        <is>
          <t>2026-07-29</t>
        </is>
      </c>
      <c r="C45" s="53" t="inlineStr">
        <is>
          <t>CISA KEV</t>
        </is>
      </c>
      <c r="D45" s="53" t="inlineStr">
        <is>
          <t>CVE-2026-20316</t>
        </is>
      </c>
      <c r="E45" s="53" t="inlineStr">
        <is>
          <t>Cisco Secure Firewall Management Center — hard-coded low-privileged credential; actively exploited zero-day</t>
        </is>
      </c>
      <c r="F45" s="52" t="inlineStr">
        <is>
          <t>IT — Network (Firewall Management)</t>
        </is>
      </c>
      <c r="G45" s="53" t="inlineStr">
        <is>
          <t>Firewall Management Plane</t>
        </is>
      </c>
      <c r="H45" s="53" t="inlineStr">
        <is>
          <t>Cisco Secure Firewall Management Center</t>
        </is>
      </c>
      <c r="I45" s="53" t="inlineStr">
        <is>
          <t>NIST CSF 2.0: PR.AA-01, DE.CM-03 | NIST 800-53: IA-5, AC-2, CM-6 | ISO 27001: A.5.17, A.8.5 | CIS Control 5</t>
        </is>
      </c>
      <c r="J45" s="53" t="inlineStr">
        <is>
          <t>IA — Identification &amp; Authentication</t>
        </is>
      </c>
      <c r="K45" s="52" t="n">
        <v>5</v>
      </c>
      <c r="L45" s="52" t="n">
        <v>4</v>
      </c>
      <c r="M45" s="52" t="n">
        <v>20</v>
      </c>
      <c r="N45" s="52" t="inlineStr">
        <is>
          <t>Critical</t>
        </is>
      </c>
      <c r="O45" s="52" t="inlineStr">
        <is>
          <t>Critical</t>
        </is>
      </c>
      <c r="P45" s="53" t="inlineStr">
        <is>
          <t>Vendor hot fix/patch available; no customer-side workaround pre-patch</t>
        </is>
      </c>
      <c r="Q45" s="52" t="inlineStr">
        <is>
          <t>Low-Medium (post-patch + credential rotation)</t>
        </is>
      </c>
      <c r="R45" s="53" t="inlineStr">
        <is>
          <t>Upgrade to FMC 7.0.9+ / 7.2.11+ / 7.4.6+ per branch; rotate all managed credentials, certificates, and keys</t>
        </is>
      </c>
      <c r="S45" s="52" t="inlineStr">
        <is>
          <t>CIS Control 5.1 — Establish and Maintain an Inventory of Accounts</t>
        </is>
      </c>
      <c r="T45" s="53" t="inlineStr">
        <is>
          <t>Blaise Kingko</t>
        </is>
      </c>
      <c r="U45" s="52" t="inlineStr">
        <is>
          <t>Open</t>
        </is>
      </c>
      <c r="V45" s="52" t="inlineStr">
        <is>
          <t>2026-08-01</t>
        </is>
      </c>
      <c r="W45" s="52" t="inlineStr">
        <is>
          <t>2026-08-03</t>
        </is>
      </c>
      <c r="X45" s="53" t="inlineStr">
        <is>
          <t>Zero-day, actively exploited. Cisco Security Impact Rating 8.9 (High). Case folder: IT-OT-Threats/2026-08-CISA-KEV-Cisco-FMC-HardcodedPassword</t>
        </is>
      </c>
    </row>
    <row r="46" s="42">
      <c r="A46" s="52" t="inlineStr">
        <is>
          <t>RR-042</t>
        </is>
      </c>
      <c r="B46" s="53" t="inlineStr">
        <is>
          <t>2026-07-30</t>
        </is>
      </c>
      <c r="C46" s="53" t="inlineStr">
        <is>
          <t>MSRC / Microsoft Security Advisory</t>
        </is>
      </c>
      <c r="D46" s="53" t="inlineStr">
        <is>
          <t>CVE-2026-66803</t>
        </is>
      </c>
      <c r="E46" s="53" t="inlineStr">
        <is>
          <t>Azure Cosmos DB "CosmosEscape" — Gremlin API sandbox escape exposing platform-wide signing secret, enabling cross-tenant database compromise (Wiz Research; fully remediated by Microsoft pre-disclosure)</t>
        </is>
      </c>
      <c r="F46" s="52" t="inlineStr">
        <is>
          <t>Cloud — Data Platform (CSP-side)</t>
        </is>
      </c>
      <c r="G46" s="53" t="inlineStr">
        <is>
          <t>Cloud Database Platform (multi-tenant control plane)</t>
        </is>
      </c>
      <c r="H46" s="53" t="inlineStr">
        <is>
          <t>Microsoft Azure Cosmos DB (Gremlin API)</t>
        </is>
      </c>
      <c r="I46" s="53" t="inlineStr">
        <is>
          <t>NIST CSF 2.0: GV.SC-06, GV.SC-07 | NIST 800-53: SA-9, CA-3 | ISO 27001: A.5.23, A.5.19 | CIS Control 3.11</t>
        </is>
      </c>
      <c r="J46" s="53" t="inlineStr">
        <is>
          <t>SA — System &amp; Services Acquisition (Third-Party Risk)</t>
        </is>
      </c>
      <c r="K46" s="52" t="n">
        <v>2</v>
      </c>
      <c r="L46" s="52" t="n">
        <v>5</v>
      </c>
      <c r="M46" s="52" t="n">
        <v>10</v>
      </c>
      <c r="N46" s="52" t="inlineStr">
        <is>
          <t>High</t>
        </is>
      </c>
      <c r="O46" s="52" t="inlineStr">
        <is>
          <t>Critical (pre-remediation)</t>
        </is>
      </c>
      <c r="P46" s="53" t="inlineStr">
        <is>
          <t>Fully remediated by Microsoft platform-wide prior to disclosure; no evidence of customer impact</t>
        </is>
      </c>
      <c r="Q46" s="52" t="inlineStr">
        <is>
          <t>Low</t>
        </is>
      </c>
      <c r="R46" s="53" t="inlineStr">
        <is>
          <t>Log in cloud vendor risk register; confirm remediation coverage with Azure account team; no customer-side technical action required</t>
        </is>
      </c>
      <c r="S46" s="52" t="inlineStr">
        <is>
          <t>CIS Control 3.11 — Encrypt Sensitive Data at Rest (defense-in-depth, CMK)</t>
        </is>
      </c>
      <c r="T46" s="53" t="inlineStr">
        <is>
          <t>Blaise Kingko</t>
        </is>
      </c>
      <c r="U46" s="52" t="inlineStr">
        <is>
          <t>Monitoring — Register-Only Governance Item</t>
        </is>
      </c>
      <c r="V46" s="52" t="inlineStr">
        <is>
          <t>2026-08-17</t>
        </is>
      </c>
      <c r="W46" s="52" t="inlineStr">
        <is>
          <t>2026-08-03</t>
        </is>
      </c>
      <c r="X46" s="53" t="inlineStr">
        <is>
          <t>Wiz Research responsible disclosure; reported to Microsoft Nov 2025, hotfixed within 2 days, full platform remediation completed July 2026. No known exploitation. Case folder: Cloud-Security/2026-08-MSRC-Azure-CosmosDB-CrossTenantEscape</t>
        </is>
      </c>
    </row>
    <row r="47" s="42">
      <c r="A47" s="52" t="inlineStr">
        <is>
          <t>RR-043</t>
        </is>
      </c>
      <c r="B47" s="53" t="inlineStr">
        <is>
          <t>2026-08-02</t>
        </is>
      </c>
      <c r="C47" s="53" t="inlineStr">
        <is>
          <t>EU AI Act / European Commission AI Office</t>
        </is>
      </c>
      <c r="D47" s="53" t="inlineStr">
        <is>
          <t>N/A — Regulation (EU) 2024/1689, Art. 50/99</t>
        </is>
      </c>
      <c r="E47" s="53" t="inlineStr">
        <is>
          <t>EU AI Act Article 50 transparency obligations now actively enforced — AI-interaction disclosure, deepfake labeling, and generative-content watermarking required; non-compliance risk for EU-facing AI chatbots/content tools</t>
        </is>
      </c>
      <c r="F47" s="52" t="inlineStr">
        <is>
          <t>AI Governance — Regulatory Compliance</t>
        </is>
      </c>
      <c r="G47" s="53" t="inlineStr">
        <is>
          <t>Customer-facing AI/chatbot and generative content systems</t>
        </is>
      </c>
      <c r="H47" s="53" t="inlineStr">
        <is>
          <t>Any EU-facing AI interaction or generative content feature</t>
        </is>
      </c>
      <c r="I47" s="53" t="inlineStr">
        <is>
          <t>NIST AI RMF: GOVERN 1.1, MAP 1.1, MANAGE 4.1 | ISO 42001: Cl. 8.4, Cl. 6.1.3 | EU AI Act: Art. 50, Art. 99</t>
        </is>
      </c>
      <c r="J47" s="53" t="inlineStr">
        <is>
          <t>GV — Govern (AI Governance)</t>
        </is>
      </c>
      <c r="K47" s="52" t="n">
        <v>5</v>
      </c>
      <c r="L47" s="52" t="n">
        <v>4</v>
      </c>
      <c r="M47" s="52" t="n">
        <v>20</v>
      </c>
      <c r="N47" s="52" t="inlineStr">
        <is>
          <t>Critical</t>
        </is>
      </c>
      <c r="O47" s="52" t="inlineStr">
        <is>
          <t>High</t>
        </is>
      </c>
      <c r="P47" s="53" t="inlineStr">
        <is>
          <t>Varies by organization; many EU-facing AI deployments lack conspicuous disclosure/watermarking today</t>
        </is>
      </c>
      <c r="Q47" s="52" t="inlineStr">
        <is>
          <t>Low (post-implementation of disclosure UI + watermarking)</t>
        </is>
      </c>
      <c r="R47" s="53" t="inlineStr">
        <is>
          <t>Implement AI-interaction disclosure UI, deepfake labeling, C2PA-compliant watermarking; publish compliance attestation</t>
        </is>
      </c>
      <c r="S47" s="52" t="inlineStr">
        <is>
          <t>N/A — regulatory/governance control, not CIS-mapped</t>
        </is>
      </c>
      <c r="T47" s="53" t="inlineStr">
        <is>
          <t>Blaise Kingko</t>
        </is>
      </c>
      <c r="U47" s="52" t="inlineStr">
        <is>
          <t>Open</t>
        </is>
      </c>
      <c r="V47" s="52" t="inlineStr">
        <is>
          <t>2026-11-01</t>
        </is>
      </c>
      <c r="W47" s="52" t="inlineStr">
        <is>
          <t>2026-08-03</t>
        </is>
      </c>
      <c r="X47" s="53" t="inlineStr">
        <is>
          <t>Enforcement began 2026-08-02; fines up to €15M or 3% global turnover (Art. 99 Tier 2). Parallel California SB 942 obligation, same effective date. High-risk AI system obligations separately delayed to Dec 2027 via Digital Omnibus — do not conflate the two timelines. Case folder: AI-Governance/2026-08-EU-AI-Act-Transparency-Enforcement</t>
        </is>
      </c>
    </row>
    <row r="48" s="42">
      <c r="A48" s="52" t="inlineStr">
        <is>
          <t>RR-044</t>
        </is>
      </c>
      <c r="B48" s="53" t="inlineStr">
        <is>
          <t>2026-07-27</t>
        </is>
      </c>
      <c r="C48" s="53" t="inlineStr">
        <is>
          <t>CISA KEV</t>
        </is>
      </c>
      <c r="D48" s="53" t="inlineStr">
        <is>
          <t>CVE-2025-68686</t>
        </is>
      </c>
      <c r="E48" s="53" t="inlineStr">
        <is>
          <t>Fortinet FortiOS — Exposure of Sensitive Information allowing bypass of symlink-persistence patch; requires prior filesystem-level compromise via separate vulnerability</t>
        </is>
      </c>
      <c r="F48" s="52" t="inlineStr">
        <is>
          <t>IT — Network (Register-Only)</t>
        </is>
      </c>
      <c r="G48" s="53" t="inlineStr">
        <is>
          <t>Network Security Appliance</t>
        </is>
      </c>
      <c r="H48" s="53" t="inlineStr">
        <is>
          <t>Fortinet FortiOS 6.4 – 7.6.1</t>
        </is>
      </c>
      <c r="I48" s="53" t="inlineStr">
        <is>
          <t>NIST CSF 2.0: PR.PS-04 | NIST 800-53: SI-2, CM-6 | CIS Control 7</t>
        </is>
      </c>
      <c r="J48" s="53" t="inlineStr">
        <is>
          <t>SI — System Integrity</t>
        </is>
      </c>
      <c r="K48" s="52" t="n">
        <v>3</v>
      </c>
      <c r="L48" s="52" t="n">
        <v>2</v>
      </c>
      <c r="M48" s="52" t="n">
        <v>6</v>
      </c>
      <c r="N48" s="52" t="inlineStr">
        <is>
          <t>Medium</t>
        </is>
      </c>
      <c r="O48" s="52" t="inlineStr">
        <is>
          <t>Medium</t>
        </is>
      </c>
      <c r="P48" s="53" t="inlineStr">
        <is>
          <t>Vendor patch available</t>
        </is>
      </c>
      <c r="Q48" s="52" t="inlineStr">
        <is>
          <t>Low</t>
        </is>
      </c>
      <c r="R48" s="53" t="inlineStr">
        <is>
          <t>Apply FortiOS patch; verify no symlink-based persistence remains from any prior compromise</t>
        </is>
      </c>
      <c r="S48" s="52" t="inlineStr">
        <is>
          <t>CIS Control 7.4</t>
        </is>
      </c>
      <c r="T48" s="53" t="inlineStr">
        <is>
          <t>Blaise Kingko</t>
        </is>
      </c>
      <c r="U48" s="52" t="inlineStr">
        <is>
          <t>Open — Register-Only</t>
        </is>
      </c>
      <c r="V48" s="52" t="inlineStr">
        <is>
          <t>2026-08-17</t>
        </is>
      </c>
      <c r="W48" s="52" t="inlineStr">
        <is>
          <t>2026-08-03</t>
        </is>
      </c>
      <c r="X48" s="53" t="inlineStr">
        <is>
          <t>KEV-listed (active exploitation confirmed) but CVSS 5.3 with narrow precondition — requires prior compromise via separate vulnerability to exploit. Register-only entry, no full case bundle, per RR-021/RR-034 precedent for narrow-precondition KEV findings.</t>
        </is>
      </c>
    </row>
    <row r="49">
      <c r="A49" s="52" t="inlineStr">
        <is>
          <t>RR-045</t>
        </is>
      </c>
      <c r="B49" s="53" t="inlineStr">
        <is>
          <t>2026-08-04</t>
        </is>
      </c>
      <c r="C49" s="53" t="inlineStr">
        <is>
          <t>CISA KEV</t>
        </is>
      </c>
      <c r="D49" s="53" t="inlineStr">
        <is>
          <t>CVE-2026-9198</t>
        </is>
      </c>
      <c r="E49" s="53" t="inlineStr">
        <is>
          <t>IBM Langflow OSS — unauthenticated auto-login token forge chained with code-validation exec() RCE; actively exploited</t>
        </is>
      </c>
      <c r="F49" s="52" t="inlineStr">
        <is>
          <t>AI — Agent/Workflow Platform</t>
        </is>
      </c>
      <c r="G49" s="53" t="inlineStr">
        <is>
          <t>AI Agent/Workflow Orchestration Platform</t>
        </is>
      </c>
      <c r="H49" s="53" t="inlineStr">
        <is>
          <t>IBM Langflow OSS (1.0.0-1.10.0)</t>
        </is>
      </c>
      <c r="I49" s="53" t="inlineStr">
        <is>
          <t>NIST AI RMF: MAP 5.1, GOVERN 1.1 | ISO 42001: 8.4 | NIST CSF 2.0: PR.PS-01 | NIST 800-53: IA-2, SI-2 | CIS Control 16.1</t>
        </is>
      </c>
      <c r="J49" s="53" t="inlineStr">
        <is>
          <t>IA — Identification &amp; Authentication</t>
        </is>
      </c>
      <c r="K49" s="52" t="n">
        <v>5</v>
      </c>
      <c r="L49" s="52" t="n">
        <v>5</v>
      </c>
      <c r="M49" s="52" t="n">
        <v>25</v>
      </c>
      <c r="N49" s="52" t="inlineStr">
        <is>
          <t>Critical</t>
        </is>
      </c>
      <c r="O49" s="52" t="inlineStr">
        <is>
          <t>Critical</t>
        </is>
      </c>
      <c r="P49" s="53" t="inlineStr">
        <is>
          <t>Vendor patch available (1.10.1); no customer-side workaround pre-patch beyond network isolation</t>
        </is>
      </c>
      <c r="Q49" s="52" t="inlineStr">
        <is>
          <t>Low-Medium (post-patch + full credential rotation)</t>
        </is>
      </c>
      <c r="R49" s="53" t="inlineStr">
        <is>
          <t>Upgrade to Langflow 1.10.1+; rotate all credentials/API keys wired into flows on affected instance</t>
        </is>
      </c>
      <c r="S49" s="52" t="inlineStr">
        <is>
          <t>CIS Control 16.1 — Application Software Security</t>
        </is>
      </c>
      <c r="T49" s="53" t="inlineStr">
        <is>
          <t>Blaise Kingko</t>
        </is>
      </c>
      <c r="U49" s="52" t="inlineStr">
        <is>
          <t>Open — Emergency</t>
        </is>
      </c>
      <c r="V49" s="52" t="inlineStr">
        <is>
          <t>2026-08-15</t>
        </is>
      </c>
      <c r="W49" s="52" t="inlineStr">
        <is>
          <t>2026-08-10</t>
        </is>
      </c>
      <c r="X49" s="53" t="inlineStr">
        <is>
          <t>Third Langflow CVE logged in 90 days (see RR-028, RR-035) — platform-level trust pattern. Case folder: AI-Governance/2026-08-CISA-KEV-Langflow-AutoLoginRCE (dual: Cloud-Security)</t>
        </is>
      </c>
    </row>
    <row r="50">
      <c r="A50" s="52" t="inlineStr">
        <is>
          <t>RR-046</t>
        </is>
      </c>
      <c r="B50" s="53" t="inlineStr">
        <is>
          <t>2026-08-03</t>
        </is>
      </c>
      <c r="C50" s="53" t="inlineStr">
        <is>
          <t>CISA KEV</t>
        </is>
      </c>
      <c r="D50" s="53" t="inlineStr">
        <is>
          <t>CVE-2026-18556; CVE-2026-18577</t>
        </is>
      </c>
      <c r="E50" s="53" t="inlineStr">
        <is>
          <t>N-able N-central RMM platform — authentication bypass (incomplete first fix, second CVE for bypass of same logic); actively exploited, Take Control abuse + Cloudflare Tunnel persistence</t>
        </is>
      </c>
      <c r="F50" s="52" t="inlineStr">
        <is>
          <t>IT — Network (RMM/Management Plane)</t>
        </is>
      </c>
      <c r="G50" s="53" t="inlineStr">
        <is>
          <t>Remote Monitoring &amp; Management Platform</t>
        </is>
      </c>
      <c r="H50" s="53" t="inlineStr">
        <is>
          <t>N-able N-central (pre-2026.3.1.7)</t>
        </is>
      </c>
      <c r="I50" s="53" t="inlineStr">
        <is>
          <t>NIST CSF 2.0: GV.SC-05, DE.CM-03 | NIST 800-53: IA-2, AC-17, SC-7 | ISO 27001: A.5.19, A.8.16 | CIS Control 13.3</t>
        </is>
      </c>
      <c r="J50" s="53" t="inlineStr">
        <is>
          <t>IA — Identification &amp; Authentication</t>
        </is>
      </c>
      <c r="K50" s="52" t="n">
        <v>5</v>
      </c>
      <c r="L50" s="52" t="n">
        <v>5</v>
      </c>
      <c r="M50" s="52" t="n">
        <v>25</v>
      </c>
      <c r="N50" s="52" t="inlineStr">
        <is>
          <t>Critical</t>
        </is>
      </c>
      <c r="O50" s="52" t="inlineStr">
        <is>
          <t>Critical</t>
        </is>
      </c>
      <c r="P50" s="53" t="inlineStr">
        <is>
          <t>Vendor hotfix available (2026.3.1.7); first fix (2026.2) confirmed incomplete</t>
        </is>
      </c>
      <c r="Q50" s="52" t="inlineStr">
        <is>
          <t>Medium (pending independent verification of second fix + session audit)</t>
        </is>
      </c>
      <c r="R50" s="53" t="inlineStr">
        <is>
          <t>Apply N-central 2026.3 Hotfix 1 (build 2026.3.1.7+); audit Take Control sessions since 2026-08-01; sweep for unauthorized Cloudflare Tunnel instances</t>
        </is>
      </c>
      <c r="S50" s="52" t="inlineStr">
        <is>
          <t>CIS Control 13.3 — Deploy a Network Intrusion Detection Solution</t>
        </is>
      </c>
      <c r="T50" s="53" t="inlineStr">
        <is>
          <t>Blaise Kingko</t>
        </is>
      </c>
      <c r="U50" s="52" t="inlineStr">
        <is>
          <t>Open — Emergency</t>
        </is>
      </c>
      <c r="V50" s="52" t="inlineStr">
        <is>
          <t>2026-08-14</t>
        </is>
      </c>
      <c r="W50" s="52" t="inlineStr">
        <is>
          <t>2026-08-10</t>
        </is>
      </c>
      <c r="X50" s="53" t="inlineStr">
        <is>
          <t>MSP supply-chain-multiplier risk; vendor's first patch (2026.2) confirmed incomplete before second CVE assigned. Case folder: IT-OT-Threats/2026-08-CISA-KEV-Nable-Ncentral-AuthBypass</t>
        </is>
      </c>
    </row>
    <row r="51">
      <c r="A51" s="52" t="inlineStr">
        <is>
          <t>RR-047</t>
        </is>
      </c>
      <c r="B51" s="53" t="inlineStr">
        <is>
          <t>2026-08-04</t>
        </is>
      </c>
      <c r="C51" s="53" t="inlineStr">
        <is>
          <t>CISA KEV</t>
        </is>
      </c>
      <c r="D51" s="53" t="inlineStr">
        <is>
          <t>CVE-2026-34486</t>
        </is>
      </c>
      <c r="E51" s="53" t="inlineStr">
        <is>
          <t>Apache Tomcat — EncryptInterceptor bypass from incomplete prior fix (CVE-2026-29146); actively exploited by AI-assisted threat actor deploying deserialization reverse shells</t>
        </is>
      </c>
      <c r="F51" s="52" t="inlineStr">
        <is>
          <t>IT — Application Server</t>
        </is>
      </c>
      <c r="G51" s="53" t="inlineStr">
        <is>
          <t>Clustered Web Application Server</t>
        </is>
      </c>
      <c r="H51" s="53" t="inlineStr">
        <is>
          <t>Apache Tomcat 11.0.20 / 10.1.53 / 9.0.116</t>
        </is>
      </c>
      <c r="I51" s="53" t="inlineStr">
        <is>
          <t>NIST CSF 2.0: PR.DS-02, DE.CM-01 | NIST 800-53: SC-8, SI-2 | ISO 27001: A.8.24 | CIS Control 7.1</t>
        </is>
      </c>
      <c r="J51" s="53" t="inlineStr">
        <is>
          <t>SC — System &amp; Communications Protection</t>
        </is>
      </c>
      <c r="K51" s="52" t="n">
        <v>5</v>
      </c>
      <c r="L51" s="52" t="n">
        <v>4</v>
      </c>
      <c r="M51" s="52" t="n">
        <v>20</v>
      </c>
      <c r="N51" s="52" t="inlineStr">
        <is>
          <t>Critical</t>
        </is>
      </c>
      <c r="O51" s="52" t="inlineStr">
        <is>
          <t>Critical</t>
        </is>
      </c>
      <c r="P51" s="53" t="inlineStr">
        <is>
          <t>Vendor patch available (11.0.21/10.1.54/9.0.117); no workaround for the code-level regression</t>
        </is>
      </c>
      <c r="Q51" s="52" t="inlineStr">
        <is>
          <t>Low-Medium (post-patch + traffic-encryption verification)</t>
        </is>
      </c>
      <c r="R51" s="53" t="inlineStr">
        <is>
          <t>Upgrade to fixed Tomcat release per branch; verify cluster traffic encryption via network capture; scan for reverse-shell indicators</t>
        </is>
      </c>
      <c r="S51" s="52" t="inlineStr">
        <is>
          <t>CIS Control 7.1 — Establish and Maintain a Vulnerability Management Process</t>
        </is>
      </c>
      <c r="T51" s="53" t="inlineStr">
        <is>
          <t>Blaise Kingko</t>
        </is>
      </c>
      <c r="U51" s="52" t="inlineStr">
        <is>
          <t>Open — Emergency</t>
        </is>
      </c>
      <c r="V51" s="52" t="inlineStr">
        <is>
          <t>2026-08-07</t>
        </is>
      </c>
      <c r="W51" s="52" t="inlineStr">
        <is>
          <t>2026-08-10</t>
        </is>
      </c>
      <c r="X51" s="53" t="inlineStr">
        <is>
          <t>AI-assisted threat-actor tradecraft (Unit 42 attribution) — flagged for AI Governance Watch as adversary-side AI use, not a platform vulnerability. Case folder: IT-OT-Threats/2026-08-CISA-KEV-Apache-Tomcat-EncryptInterceptor</t>
        </is>
      </c>
    </row>
    <row r="52">
      <c r="A52" s="52" t="inlineStr">
        <is>
          <t>RR-048</t>
        </is>
      </c>
      <c r="B52" s="53" t="inlineStr">
        <is>
          <t>2026-08-07</t>
        </is>
      </c>
      <c r="C52" s="53" t="inlineStr">
        <is>
          <t>CISA KEV</t>
        </is>
      </c>
      <c r="D52" s="53" t="inlineStr">
        <is>
          <t>CVE-2026-8037</t>
        </is>
      </c>
      <c r="E52" s="53" t="inlineStr">
        <is>
          <t>Progress Kemp LoadMaster — pre-auth OS command injection via flawed escape_quotes() sanitization; actively exploited since 2026-06-29</t>
        </is>
      </c>
      <c r="F52" s="52" t="inlineStr">
        <is>
          <t>IT — Network (ADC/Load Balancer)</t>
        </is>
      </c>
      <c r="G52" s="53" t="inlineStr">
        <is>
          <t>Application Delivery Controller (perimeter)</t>
        </is>
      </c>
      <c r="H52" s="53" t="inlineStr">
        <is>
          <t>Progress Kemp LoadMaster GA &lt;=7.2.63.1 / LTSF &lt;=7.2.54.17</t>
        </is>
      </c>
      <c r="I52" s="53" t="inlineStr">
        <is>
          <t>NIST CSF 2.0: PR.PS-01 | NIST 800-53: SI-10, SI-2, AC-4 | ISO 27001: A.8.28, A.8.20 | CIS Control 12.2</t>
        </is>
      </c>
      <c r="J52" s="53" t="inlineStr">
        <is>
          <t>SI — System &amp; Information Integrity</t>
        </is>
      </c>
      <c r="K52" s="52" t="n">
        <v>5</v>
      </c>
      <c r="L52" s="52" t="n">
        <v>5</v>
      </c>
      <c r="M52" s="52" t="n">
        <v>25</v>
      </c>
      <c r="N52" s="52" t="inlineStr">
        <is>
          <t>Critical</t>
        </is>
      </c>
      <c r="O52" s="52" t="inlineStr">
        <is>
          <t>Critical</t>
        </is>
      </c>
      <c r="P52" s="53" t="inlineStr">
        <is>
          <t>Vendor patch available since June 2026 (7.2.63.2/7.2.54.18); exploitation continued 5+ weeks post-patch</t>
        </is>
      </c>
      <c r="Q52" s="52" t="inlineStr">
        <is>
          <t>Low-Medium (post-patch + log review back to 2026-06-29)</t>
        </is>
      </c>
      <c r="R52" s="53" t="inlineStr">
        <is>
          <t>Upgrade to GA 7.2.63.2 / LTSF 7.2.54.18; restrict management API to internal network; review logs back to 2026-06-29</t>
        </is>
      </c>
      <c r="S52" s="52" t="inlineStr">
        <is>
          <t>CIS Control 12.2 — Establish and Maintain a Secure Network Architecture</t>
        </is>
      </c>
      <c r="T52" s="53" t="inlineStr">
        <is>
          <t>Blaise Kingko</t>
        </is>
      </c>
      <c r="U52" s="52" t="inlineStr">
        <is>
          <t>Open — Emergency / Overdue</t>
        </is>
      </c>
      <c r="V52" s="52" t="inlineStr">
        <is>
          <t>2026-08-12</t>
        </is>
      </c>
      <c r="W52" s="52" t="inlineStr">
        <is>
          <t>2026-08-10</t>
        </is>
      </c>
      <c r="X52" s="53" t="inlineStr">
        <is>
          <t>Vendor patch predates KEV listing by 5+ weeks with confirmed ongoing exploitation — patch-SLA should not depend on KEV status alone. Case folder: IT-OT-Threats/2026-08-CISA-KEV-Progress-LoadMaster-CommandInjection</t>
        </is>
      </c>
    </row>
    <row r="53">
      <c r="A53" s="52" t="inlineStr">
        <is>
          <t>RR-049</t>
        </is>
      </c>
      <c r="B53" s="53" t="inlineStr">
        <is>
          <t>2026-08-06</t>
        </is>
      </c>
      <c r="C53" s="53" t="inlineStr">
        <is>
          <t>AWS Security Bulletin / Vendor Advisories</t>
        </is>
      </c>
      <c r="D53" s="53" t="inlineStr">
        <is>
          <t>CVE-2026-18830; CVE-2026-18236; CVE-2026-64650; CVE-2026-64651</t>
        </is>
      </c>
      <c r="E53" s="53" t="inlineStr">
        <is>
          <t>Cross-platform "CoreBreak" agentic AI tool-invocation authorization bypass across AWS Bedrock AgentCore, Google ADK, and Vercel AI SDK — no confirmed ITW exploitation, all vendors patched</t>
        </is>
      </c>
      <c r="F53" s="52" t="inlineStr">
        <is>
          <t>AI — Agent/Workflow Platform (multi-vendor architecture class)</t>
        </is>
      </c>
      <c r="G53" s="53" t="inlineStr">
        <is>
          <t>AI Agent Orchestration / Tool-Invocation Layer</t>
        </is>
      </c>
      <c r="H53" s="53" t="inlineStr">
        <is>
          <t>Amazon Bedrock AgentCore InvokeHarness; Google ADK for Python &lt;2.5.0; Vercel @ai-sdk/harness-codex &lt;1.0.29, @ai-sdk/harness-opencode &lt;1.0.28</t>
        </is>
      </c>
      <c r="I53" s="53" t="inlineStr">
        <is>
          <t>NIST AI RMF: MAP 1.1, MANAGE 4.1, GOVERN 1.3 | ISO 42001: 6.1.2, 8.4 | NIST 800-53: AC-3 | MITRE ATLAS: ML Model Access</t>
        </is>
      </c>
      <c r="J53" s="53" t="inlineStr">
        <is>
          <t>AC — Access Control</t>
        </is>
      </c>
      <c r="K53" s="52" t="n">
        <v>4</v>
      </c>
      <c r="L53" s="52" t="n">
        <v>5</v>
      </c>
      <c r="M53" s="52" t="n">
        <v>20</v>
      </c>
      <c r="N53" s="52" t="inlineStr">
        <is>
          <t>Critical</t>
        </is>
      </c>
      <c r="O53" s="52" t="inlineStr">
        <is>
          <t>Critical</t>
        </is>
      </c>
      <c r="P53" s="53" t="inlineStr">
        <is>
          <t>All 3 vendors patched (AWS auto-fixed server-side; Google ADK 2.5.0; Vercel 1.0.29/1.0.28); Strands standalone SDK path documented, not code-fixed</t>
        </is>
      </c>
      <c r="Q53" s="52" t="inlineStr">
        <is>
          <t>Low-Medium (Low for managed services; Medium for standalone Strands deployments and comparable in-house agents)</t>
        </is>
      </c>
      <c r="R53" s="53" t="inlineStr">
        <is>
          <t>Patch all 4 affected packages; apply documented Strands mitigation for standalone deployments; review in-house agentic AI systems for the same trust-boundary pattern</t>
        </is>
      </c>
      <c r="S53" s="52" t="inlineStr">
        <is>
          <t>N/A — architectural finding; see NIST AI RMF MANAGE 4.1</t>
        </is>
      </c>
      <c r="T53" s="53" t="inlineStr">
        <is>
          <t>Blaise Kingko</t>
        </is>
      </c>
      <c r="U53" s="52" t="inlineStr">
        <is>
          <t>Open — Proactive (Architecture Review)</t>
        </is>
      </c>
      <c r="V53" s="52" t="inlineStr">
        <is>
          <t>2026-08-24</t>
        </is>
      </c>
      <c r="W53" s="52" t="inlineStr">
        <is>
          <t>2026-08-10</t>
        </is>
      </c>
      <c r="X53" s="53" t="inlineStr">
        <is>
          <t>First cross-vendor AI-agent-architecture-class finding in this register; disclosed at Black Hat USA 2026 (CoreBreak). No confirmed ITW exploitation. Case folder: AI-Governance/2026-08-AWS-Bulletin-CoreBreak-AgentToolInvocationBypass (dual: Cloud-Security)</t>
        </is>
      </c>
    </row>
    <row r="54" s="42">
      <c r="A54" s="52" t="inlineStr">
        <is>
          <t>RR-050</t>
        </is>
      </c>
      <c r="B54" s="53" t="inlineStr">
        <is>
          <t>2026-08-05</t>
        </is>
      </c>
      <c r="C54" s="53" t="inlineStr">
        <is>
          <t>Jenkins Security Advisory</t>
        </is>
      </c>
      <c r="D54" s="53" t="inlineStr">
        <is>
          <t>CVE-2026-70426; CVE-2026-70427; CVE-2026-70428</t>
        </is>
      </c>
      <c r="E54" s="53" t="inlineStr">
        <is>
          <t>Jenkins — JEP-200 deserialization filter bypass (Remoting fallback path) plus companion arbitrary-file-write findings enabling controller code execution; responsibly disclosed, no known ITW exploitation</t>
        </is>
      </c>
      <c r="F54" s="52" t="inlineStr">
        <is>
          <t>IT — CI/CD Platform</t>
        </is>
      </c>
      <c r="G54" s="53" t="inlineStr">
        <is>
          <t>CI/CD Orchestration Controller</t>
        </is>
      </c>
      <c r="H54" s="53" t="inlineStr">
        <is>
          <t>Jenkins weekly &lt;=2.575 / LTS &lt;=2.568.1</t>
        </is>
      </c>
      <c r="I54" s="53" t="inlineStr">
        <is>
          <t>NIST CSF 2.0: PR.AA-05 | NIST 800-53: SI-2, AC-6, SC-39 | ISO 27001: A.8.25 | CIS Control 16.1, 4.1</t>
        </is>
      </c>
      <c r="J54" s="53" t="inlineStr">
        <is>
          <t>AC — Access Control</t>
        </is>
      </c>
      <c r="K54" s="52" t="n">
        <v>3</v>
      </c>
      <c r="L54" s="52" t="n">
        <v>5</v>
      </c>
      <c r="M54" s="52" t="n">
        <v>15</v>
      </c>
      <c r="N54" s="52" t="inlineStr">
        <is>
          <t>High</t>
        </is>
      </c>
      <c r="O54" s="52" t="inlineStr">
        <is>
          <t>High</t>
        </is>
      </c>
      <c r="P54" s="53" t="inlineStr">
        <is>
          <t>Vendor patch available (2.576/2.568.2); workaround published for orgs unable to upgrade immediately</t>
        </is>
      </c>
      <c r="Q54" s="52" t="inlineStr">
        <is>
          <t>Low (post-patch + permission-scoping review)</t>
        </is>
      </c>
      <c r="R54" s="53" t="inlineStr">
        <is>
          <t>Upgrade to Jenkins weekly 2.576 / LTS 2.568.2; tighten Agent/Connect and Item/Configure/Item/Build permissions; check init.groovy.d/ and plugins/ for unauthorized files</t>
        </is>
      </c>
      <c r="S54" s="52" t="inlineStr">
        <is>
          <t>CIS Control 16.1 — Application Software Security</t>
        </is>
      </c>
      <c r="T54" s="53" t="inlineStr">
        <is>
          <t>Blaise Kingko</t>
        </is>
      </c>
      <c r="U54" s="52" t="inlineStr">
        <is>
          <t>Open — Standard Cycle</t>
        </is>
      </c>
      <c r="V54" s="52" t="inlineStr">
        <is>
          <t>2026-08-17</t>
        </is>
      </c>
      <c r="W54" s="52" t="inlineStr">
        <is>
          <t>2026-08-10</t>
        </is>
      </c>
      <c r="X54" s="53" t="inlineStr">
        <is>
          <t>Responsibly disclosed via Jenkins Bug Bounty Program (European Commission-sponsored); no confirmed ITW exploitation; exploitability gated by Agent/Connect or Item/Configure permissions. Case folder: Cloud-Security/2026-08-NIST-NVD-Jenkins-DeserializationFilterBypass</t>
        </is>
      </c>
    </row>
    <row r="55" s="42">
      <c r="A55" s="52" t="inlineStr">
        <is>
          <t>RR-051</t>
        </is>
      </c>
      <c r="B55" s="53" t="inlineStr">
        <is>
          <t>2026-09-04</t>
        </is>
      </c>
      <c r="C55" s="53" t="inlineStr">
        <is>
          <t>AWS Security Bulletin</t>
        </is>
      </c>
      <c r="D55" s="53" t="inlineStr">
        <is>
          <t>CVE-2026-85787; CVE-2026-85654</t>
        </is>
      </c>
      <c r="E55" s="53" t="inlineStr">
        <is>
          <t>AWS Labs MCP servers for AI agents — incomplete SQL-validation denylist in postgres-mcp-server allows read-only bypass; template injection in dynamodb-mcp-server CDK generator enables code execution</t>
        </is>
      </c>
      <c r="F55" s="52" t="inlineStr">
        <is>
          <t>AI — Agent/Tooling (dual: Cloud-Security)</t>
        </is>
      </c>
      <c r="G55" s="53" t="inlineStr">
        <is>
          <t>AI Agent Database/Infrastructure Tooling</t>
        </is>
      </c>
      <c r="H55" s="53" t="inlineStr">
        <is>
          <t>awslabs.postgres-mcp-server (&lt;1.1.7); awslabs.dynamodb-mcp-server (&lt;=2.0.10)</t>
        </is>
      </c>
      <c r="I55" s="53" t="inlineStr">
        <is>
          <t>NIST AI RMF: MAP 5.1, MANAGE 4.1 | ISO 42001: 8.4 | NIST 800-53: SI-10, SA-11 | MITRE ATLAS: AML.T0053</t>
        </is>
      </c>
      <c r="J55" s="53" t="inlineStr">
        <is>
          <t>SI — System Integrity (AI Agent Trust Boundary)</t>
        </is>
      </c>
      <c r="K55" s="52" t="n">
        <v>3</v>
      </c>
      <c r="L55" s="52" t="n">
        <v>4</v>
      </c>
      <c r="M55" s="52">
        <f>K55*L55</f>
        <v/>
      </c>
      <c r="N55" s="52" t="inlineStr">
        <is>
          <t>High</t>
        </is>
      </c>
      <c r="O55" s="52" t="inlineStr">
        <is>
          <t>High</t>
        </is>
      </c>
      <c r="P55" s="53" t="inlineStr">
        <is>
          <t>No known exploitation; vendor patches available same-day as disclosure</t>
        </is>
      </c>
      <c r="Q55" s="52" t="inlineStr">
        <is>
          <t>Low (post-patch + database-enforced least privilege)</t>
        </is>
      </c>
      <c r="R55" s="53" t="inlineStr">
        <is>
          <t>Upgrade postgres-mcp-server to 1.1.7+ and dynamodb-mcp-server to 2.1.6+; enforce least-privilege DB roles independent of app-level read-only flag</t>
        </is>
      </c>
      <c r="S55" s="52" t="inlineStr">
        <is>
          <t>N/A — AI agent architecture finding; see NIST AI RMF MANAGE 4.1</t>
        </is>
      </c>
      <c r="T55" s="53" t="inlineStr">
        <is>
          <t>Blaise Kingko</t>
        </is>
      </c>
      <c r="U55" s="52" t="inlineStr">
        <is>
          <t>Open</t>
        </is>
      </c>
      <c r="V55" s="52" t="inlineStr">
        <is>
          <t>2026-09-21</t>
        </is>
      </c>
      <c r="W55" s="52" t="inlineStr">
        <is>
          <t>2026-09-07</t>
        </is>
      </c>
      <c r="X55" s="53" t="inlineStr">
        <is>
          <t>Second consecutive week with an AI-agent tool-invocation trust-boundary finding — see RR-049 (CoreBreak) precedent. Case folder: AI-Governance/2026-09-AWS-Bulletin-MCP-Server-InputValidation (dual: Cloud-Security)</t>
        </is>
      </c>
    </row>
    <row r="56" s="42">
      <c r="A56" s="52" t="inlineStr">
        <is>
          <t>RR-052</t>
        </is>
      </c>
      <c r="B56" s="53" t="inlineStr">
        <is>
          <t>2026-09-01</t>
        </is>
      </c>
      <c r="C56" s="53" t="inlineStr">
        <is>
          <t>AWS Security Bulletin</t>
        </is>
      </c>
      <c r="D56" s="53" t="inlineStr">
        <is>
          <t>CVE-2026-83551</t>
        </is>
      </c>
      <c r="E56" s="53" t="inlineStr">
        <is>
          <t>Amazon SageMaker Python SDK — cleartext storage of HMAC signing key in @step/@remote pipeline component allows cross-user code execution in shared accounts</t>
        </is>
      </c>
      <c r="F56" s="52" t="inlineStr">
        <is>
          <t>AI — ML Platform (dual: Cloud-Security)</t>
        </is>
      </c>
      <c r="G56" s="53" t="inlineStr">
        <is>
          <t>ML Pipeline Execution Environment</t>
        </is>
      </c>
      <c r="H56" s="53" t="inlineStr">
        <is>
          <t>Amazon SageMaker Python SDK v3.11.0 and earlier; v2.256.0 and earlier</t>
        </is>
      </c>
      <c r="I56" s="53" t="inlineStr">
        <is>
          <t>NIST AI RMF: MAP 5.1 | ISO 42001: 6.1.2 | NIST 800-53: SC-28, IA-5 | NIST CSF 2.0: PR.AA-05</t>
        </is>
      </c>
      <c r="J56" s="53" t="inlineStr">
        <is>
          <t>SC — System &amp; Communications Protection (Credential Exposure)</t>
        </is>
      </c>
      <c r="K56" s="52" t="n">
        <v>3</v>
      </c>
      <c r="L56" s="52" t="n">
        <v>4</v>
      </c>
      <c r="M56" s="52">
        <f>K56*L56</f>
        <v/>
      </c>
      <c r="N56" s="52" t="inlineStr">
        <is>
          <t>High</t>
        </is>
      </c>
      <c r="O56" s="52" t="inlineStr">
        <is>
          <t>High</t>
        </is>
      </c>
      <c r="P56" s="53" t="inlineStr">
        <is>
          <t>Vendor patch available same day; no confirmed exploitation</t>
        </is>
      </c>
      <c r="Q56" s="52" t="inlineStr">
        <is>
          <t>Low (post-patch + key rotation)</t>
        </is>
      </c>
      <c r="R56" s="53" t="inlineStr">
        <is>
          <t>Upgrade SDK to v3.11.0+/v2.256.0+; rotate all HMAC signing keys in use pre-patch; review shared SageMaker domain tenant isolation</t>
        </is>
      </c>
      <c r="S56" s="52" t="inlineStr">
        <is>
          <t>N/A — credential exposure / AI platform finding</t>
        </is>
      </c>
      <c r="T56" s="53" t="inlineStr">
        <is>
          <t>Blaise Kingko</t>
        </is>
      </c>
      <c r="U56" s="52" t="inlineStr">
        <is>
          <t>Open</t>
        </is>
      </c>
      <c r="V56" s="52" t="inlineStr">
        <is>
          <t>2026-09-21</t>
        </is>
      </c>
      <c r="W56" s="52" t="inlineStr">
        <is>
          <t>2026-09-07</t>
        </is>
      </c>
      <c r="X56" s="53" t="inlineStr">
        <is>
          <t>Third AWS AI/ML-platform finding this run alongside RR-051 — reinforces pattern of AWS AI tooling expansion outpacing trust-boundary maturity. Case folder: AI-Governance/2026-09-AWS-Bulletin-SageMaker-HMACKeyExposure (dual: Cloud-Security)</t>
        </is>
      </c>
    </row>
    <row r="57" s="42">
      <c r="A57" s="52" t="inlineStr">
        <is>
          <t>RR-053</t>
        </is>
      </c>
      <c r="B57" s="53" t="inlineStr">
        <is>
          <t>2026-09-02</t>
        </is>
      </c>
      <c r="C57" s="53" t="inlineStr">
        <is>
          <t>CISA KEV</t>
        </is>
      </c>
      <c r="D57" s="53" t="inlineStr">
        <is>
          <t>CVE-2026-83548; CVE-2026-83549</t>
        </is>
      </c>
      <c r="E57" s="53" t="inlineStr">
        <is>
          <t>SonicWall SMA1000 — pre-auth SSRF chained with OS command injection yields unauthenticated RCE on remote-access appliance; actively exploited</t>
        </is>
      </c>
      <c r="F57" s="52" t="inlineStr">
        <is>
          <t>IT — Network (Remote Access)</t>
        </is>
      </c>
      <c r="G57" s="53" t="inlineStr">
        <is>
          <t>VPN / Remote Access Gateway</t>
        </is>
      </c>
      <c r="H57" s="53" t="inlineStr">
        <is>
          <t>SonicWall SMA1000 (models 6210, 7210, 8200v); firmware 12.4.3 &lt;=03453 / 12.5.0 &lt;=02835</t>
        </is>
      </c>
      <c r="I57" s="53" t="inlineStr">
        <is>
          <t>NIST CSF 2.0: PR.PS-01, DE.CM-01 | NIST 800-53: SC-7, AC-4, SI-10 | ISO 27001: A.8.20 | CIS Control 12.2</t>
        </is>
      </c>
      <c r="J57" s="53" t="inlineStr">
        <is>
          <t>SC — System &amp; Communications Protection (Boundary Protection)</t>
        </is>
      </c>
      <c r="K57" s="52" t="n">
        <v>5</v>
      </c>
      <c r="L57" s="52" t="n">
        <v>5</v>
      </c>
      <c r="M57" s="52">
        <f>K57*L57</f>
        <v/>
      </c>
      <c r="N57" s="52" t="inlineStr">
        <is>
          <t>Critical</t>
        </is>
      </c>
      <c r="O57" s="52" t="inlineStr">
        <is>
          <t>Critical</t>
        </is>
      </c>
      <c r="P57" s="53" t="inlineStr">
        <is>
          <t>Vendor firmware fix available; no workaround for the SSRF/chain itself</t>
        </is>
      </c>
      <c r="Q57" s="52" t="inlineStr">
        <is>
          <t>Low-Medium (post-patch + compromise investigation)</t>
        </is>
      </c>
      <c r="R57" s="53" t="inlineStr">
        <is>
          <t>Upgrade to firmware 12.4.3 build 03526+ or 12.5.0 build 02952+; engage vendor support for compromise assessment given confirmed active exploitation</t>
        </is>
      </c>
      <c r="S57" s="52" t="inlineStr">
        <is>
          <t>CIS Control 12.2 — Establish and Maintain a Secure Network Architecture</t>
        </is>
      </c>
      <c r="T57" s="53" t="inlineStr">
        <is>
          <t>Blaise Kingko</t>
        </is>
      </c>
      <c r="U57" s="52" t="inlineStr">
        <is>
          <t>Open — Emergency</t>
        </is>
      </c>
      <c r="V57" s="52" t="inlineStr">
        <is>
          <t>2026-09-05</t>
        </is>
      </c>
      <c r="W57" s="52" t="inlineStr">
        <is>
          <t>2026-09-07</t>
        </is>
      </c>
      <c r="X57" s="53" t="inlineStr">
        <is>
          <t>3-day CISA deadline (shortest tier), already past at time of this run — treat as overdue-priority. Third publicly-reported SonicWall SMA1000 security event of 2026 (follows July MFA-seed-theft incident; no confirmed technical link). Case folder: IT-OT-Threats/2026-09-CISA-KEV-SonicWall-SMA1000-SSRFChain</t>
        </is>
      </c>
    </row>
    <row r="58" s="42">
      <c r="A58" s="52" t="inlineStr">
        <is>
          <t>RR-054</t>
        </is>
      </c>
      <c r="B58" s="53" t="inlineStr">
        <is>
          <t>2026-08-31</t>
        </is>
      </c>
      <c r="C58" s="53" t="inlineStr">
        <is>
          <t>CISA KEV</t>
        </is>
      </c>
      <c r="D58" s="53" t="inlineStr">
        <is>
          <t>CVE-2026-81578; CVE-2026-82078</t>
        </is>
      </c>
      <c r="E58" s="53" t="inlineStr">
        <is>
          <t>PaperCut NG/MF — missing authentication chained with unsafe reflection yields unauthenticated RCE on print-management server</t>
        </is>
      </c>
      <c r="F58" s="52" t="inlineStr">
        <is>
          <t>IT — Print/Document Infrastructure</t>
        </is>
      </c>
      <c r="G58" s="53" t="inlineStr">
        <is>
          <t>Print Management Server</t>
        </is>
      </c>
      <c r="H58" s="53" t="inlineStr">
        <is>
          <t>PaperCut NG/MF (see 2026-08-27 vendor bulletin for exact version ranges)</t>
        </is>
      </c>
      <c r="I58" s="53" t="inlineStr">
        <is>
          <t>NIST CSF 2.0: PR.AA-01 | NIST 800-53: IA-2, CM-6 | ISO 27001: A.8.9 | CIS Control 12.2</t>
        </is>
      </c>
      <c r="J58" s="53" t="inlineStr">
        <is>
          <t>IA — Identification &amp; Authentication</t>
        </is>
      </c>
      <c r="K58" s="52" t="n">
        <v>4</v>
      </c>
      <c r="L58" s="52" t="n">
        <v>5</v>
      </c>
      <c r="M58" s="52">
        <f>K58*L58</f>
        <v/>
      </c>
      <c r="N58" s="52" t="inlineStr">
        <is>
          <t>Critical</t>
        </is>
      </c>
      <c r="O58" s="52" t="inlineStr">
        <is>
          <t>Critical</t>
        </is>
      </c>
      <c r="P58" s="53" t="inlineStr">
        <is>
          <t>Vendor patch available (2026-08-27 bulletin); &gt;1,000 internet-exposed instances reported industry-wide</t>
        </is>
      </c>
      <c r="Q58" s="52" t="inlineStr">
        <is>
          <t>Low (post-patch + exposure remediation)</t>
        </is>
      </c>
      <c r="R58" s="53" t="inlineStr">
        <is>
          <t>Apply PaperCut fix per 2026-08-27 bulletin; restrict management interface to internal network; review logs for lateral-movement indicators given product's ransomware-initial-access history</t>
        </is>
      </c>
      <c r="S58" s="52" t="inlineStr">
        <is>
          <t>CIS Control 12.2 — Establish and Maintain a Secure Network Architecture</t>
        </is>
      </c>
      <c r="T58" s="53" t="inlineStr">
        <is>
          <t>Blaise Kingko</t>
        </is>
      </c>
      <c r="U58" s="52" t="inlineStr">
        <is>
          <t>Open — Emergency</t>
        </is>
      </c>
      <c r="V58" s="52" t="inlineStr">
        <is>
          <t>2026-09-14</t>
        </is>
      </c>
      <c r="W58" s="52" t="inlineStr">
        <is>
          <t>2026-09-07</t>
        </is>
      </c>
      <c r="X58" s="53" t="inlineStr">
        <is>
          <t>Same product line as 2023 Cl0p/Bl00Dy ransomware initial-access CVEs (different vulnerabilities). Treat print-management infrastructure with perimeter-appliance-level patch urgency. Case folder: IT-OT-Threats/2026-09-CISA-KEV-PaperCut-NGMF-AuthBypassRCE</t>
        </is>
      </c>
    </row>
    <row r="59" s="42">
      <c r="A59" s="52" t="inlineStr">
        <is>
          <t>RR-055</t>
        </is>
      </c>
      <c r="B59" s="53" t="inlineStr">
        <is>
          <t>2026-09-02</t>
        </is>
      </c>
      <c r="C59" s="53" t="inlineStr">
        <is>
          <t>CISA KEV</t>
        </is>
      </c>
      <c r="D59" s="53" t="inlineStr">
        <is>
          <t>CVE-2026-82329</t>
        </is>
      </c>
      <c r="E59" s="53" t="inlineStr">
        <is>
          <t>JFrog Artifactory — improper authentication under default configuration allows unauthenticated attacker to obtain administrative privileges; actively exploited (admin token minting observed)</t>
        </is>
      </c>
      <c r="F59" s="52" t="inlineStr">
        <is>
          <t>IT — CI/CD Platform (Software Supply Chain)</t>
        </is>
      </c>
      <c r="G59" s="53" t="inlineStr">
        <is>
          <t>Artifact Repository / Package Registry</t>
        </is>
      </c>
      <c r="H59" s="53" t="inlineStr">
        <is>
          <t>JFrog Artifactory (self-hosted); patched versions 7.111.21, 7.117.28, 7.125.20, 7.133.29, 7.146.38, 7.161.20</t>
        </is>
      </c>
      <c r="I59" s="53" t="inlineStr">
        <is>
          <t>NIST CSF 2.0: PR.AA-01 | NIST 800-53: IA-2, SR-3 | ISO 27001: A.5.19 | CIS Control 16.1</t>
        </is>
      </c>
      <c r="J59" s="53" t="inlineStr">
        <is>
          <t>IA — Identification &amp; Authentication</t>
        </is>
      </c>
      <c r="K59" s="52" t="n">
        <v>5</v>
      </c>
      <c r="L59" s="52" t="n">
        <v>5</v>
      </c>
      <c r="M59" s="52">
        <f>K59*L59</f>
        <v/>
      </c>
      <c r="N59" s="52" t="inlineStr">
        <is>
          <t>Critical</t>
        </is>
      </c>
      <c r="O59" s="52" t="inlineStr">
        <is>
          <t>Critical</t>
        </is>
      </c>
      <c r="P59" s="53" t="inlineStr">
        <is>
          <t>Vendor patch available; exploitation observed ~96 hours post-disclosure</t>
        </is>
      </c>
      <c r="Q59" s="52" t="inlineStr">
        <is>
          <t>Low (post-patch + admin token audit)</t>
        </is>
      </c>
      <c r="R59" s="53" t="inlineStr">
        <is>
          <t>Upgrade to patched Artifactory version per branch; rotate all administrative and API tokens; audit for unauthorized tokens minted during exposure window</t>
        </is>
      </c>
      <c r="S59" s="52" t="inlineStr">
        <is>
          <t>CIS Control 16.1 — Application Software Security</t>
        </is>
      </c>
      <c r="T59" s="53" t="inlineStr">
        <is>
          <t>Blaise Kingko</t>
        </is>
      </c>
      <c r="U59" s="52" t="inlineStr">
        <is>
          <t>Open — Register-Only</t>
        </is>
      </c>
      <c r="V59" s="52" t="inlineStr">
        <is>
          <t>2026-09-05</t>
        </is>
      </c>
      <c r="W59" s="52" t="inlineStr">
        <is>
          <t>2026-09-07</t>
        </is>
      </c>
      <c r="X59" s="53" t="inlineStr">
        <is>
          <t>Register-only per program scope precedent (RR-021/034/039/044) — full narrative bundle not built this run given case-load prioritization toward AI/AWS and perimeter-appliance findings; remediation guidance above is complete and actionable regardless. CI/CD/software-supply-chain category — same class as RR-050 (Jenkins).</t>
        </is>
      </c>
    </row>
    <row r="60" s="42">
      <c r="A60" s="52" t="inlineStr">
        <is>
          <t>RR-056</t>
        </is>
      </c>
      <c r="B60" s="53" t="inlineStr">
        <is>
          <t>2026-09-02</t>
        </is>
      </c>
      <c r="C60" s="53" t="inlineStr">
        <is>
          <t>CISA KEV</t>
        </is>
      </c>
      <c r="D60" s="53" t="inlineStr">
        <is>
          <t>CVE-2026-49869</t>
        </is>
      </c>
      <c r="E60" s="53" t="inlineStr">
        <is>
          <t>Kestra OSS workflow orchestration engine — unauthenticated OS command injection allows arbitrary workflow creation/execution; actively exploited for reverse shells and cryptocurrency mining</t>
        </is>
      </c>
      <c r="F60" s="52" t="inlineStr">
        <is>
          <t>IT — Workflow/CI-CD Orchestration</t>
        </is>
      </c>
      <c r="G60" s="53" t="inlineStr">
        <is>
          <t>Workflow Orchestration Engine</t>
        </is>
      </c>
      <c r="H60" s="53" t="inlineStr">
        <is>
          <t>Kestra OSS (see GHSA-5vc5-wxxq-3fjx for affected versions)</t>
        </is>
      </c>
      <c r="I60" s="53" t="inlineStr">
        <is>
          <t>NIST CSF 2.0: PR.PS-04 | NIST 800-53: SI-10, AC-3 | CIS Control 16.1</t>
        </is>
      </c>
      <c r="J60" s="53" t="inlineStr">
        <is>
          <t>SI — System Integrity</t>
        </is>
      </c>
      <c r="K60" s="52" t="n">
        <v>5</v>
      </c>
      <c r="L60" s="52" t="n">
        <v>4</v>
      </c>
      <c r="M60" s="52">
        <f>K60*L60</f>
        <v/>
      </c>
      <c r="N60" s="52" t="inlineStr">
        <is>
          <t>Critical</t>
        </is>
      </c>
      <c r="O60" s="52" t="inlineStr">
        <is>
          <t>Critical</t>
        </is>
      </c>
      <c r="P60" s="53" t="inlineStr">
        <is>
          <t>Vendor patch available</t>
        </is>
      </c>
      <c r="Q60" s="52" t="inlineStr">
        <is>
          <t>Low (post-patch)</t>
        </is>
      </c>
      <c r="R60" s="53" t="inlineStr">
        <is>
          <t>Upgrade to patched Kestra release per GHSA-5vc5-wxxq-3fjx; audit for unauthorized workflows, Docker container discovery activity, and cryptocurrency-miner processes</t>
        </is>
      </c>
      <c r="S60" s="52" t="inlineStr">
        <is>
          <t>CIS Control 16.1 — Application Software Security</t>
        </is>
      </c>
      <c r="T60" s="53" t="inlineStr">
        <is>
          <t>Blaise Kingko</t>
        </is>
      </c>
      <c r="U60" s="52" t="inlineStr">
        <is>
          <t>Open — Register-Only</t>
        </is>
      </c>
      <c r="V60" s="52" t="inlineStr">
        <is>
          <t>2026-09-05</t>
        </is>
      </c>
      <c r="W60" s="52" t="inlineStr">
        <is>
          <t>2026-09-07</t>
        </is>
      </c>
      <c r="X60" s="53" t="inlineStr">
        <is>
          <t>Register-only per program scope precedent (RR-021/034/039/044). Same disclosure wave as RR-055 (Artifactory) — both part of the 7-CVE KEV batch added 2026-09-02 covering reverse-shell and crypto-miner deployment activity.</t>
        </is>
      </c>
    </row>
    <row r="61" s="42">
      <c r="A61" s="52" t="inlineStr">
        <is>
          <t>RR-057</t>
        </is>
      </c>
      <c r="B61" s="53" t="inlineStr">
        <is>
          <t>2026-09-02</t>
        </is>
      </c>
      <c r="C61" s="53" t="inlineStr">
        <is>
          <t>CISA KEV</t>
        </is>
      </c>
      <c r="D61" s="53" t="inlineStr">
        <is>
          <t>CVE-2026-9586</t>
        </is>
      </c>
      <c r="E61" s="53" t="inlineStr">
        <is>
          <t>Sangoma Switchvox VoIP/PBX platform — unauthenticated SQL injection allows arbitrary SQL execution against backend PostgreSQL database, including RCE; actively exploited (reverse shells deployed)</t>
        </is>
      </c>
      <c r="F61" s="52" t="inlineStr">
        <is>
          <t>IT — VoIP/Telephony Infrastructure</t>
        </is>
      </c>
      <c r="G61" s="53" t="inlineStr">
        <is>
          <t>VoIP/PBX System</t>
        </is>
      </c>
      <c r="H61" s="53" t="inlineStr">
        <is>
          <t>Sangoma Switchvox (see vendor release notes for affected versions)</t>
        </is>
      </c>
      <c r="I61" s="53" t="inlineStr">
        <is>
          <t>NIST CSF 2.0: PR.PS-04 | NIST 800-53: SI-10 | CIS Control 16.1</t>
        </is>
      </c>
      <c r="J61" s="53" t="inlineStr">
        <is>
          <t>SI — System Integrity</t>
        </is>
      </c>
      <c r="K61" s="52" t="n">
        <v>5</v>
      </c>
      <c r="L61" s="52" t="n">
        <v>4</v>
      </c>
      <c r="M61" s="52">
        <f>K61*L61</f>
        <v/>
      </c>
      <c r="N61" s="52" t="inlineStr">
        <is>
          <t>Critical</t>
        </is>
      </c>
      <c r="O61" s="52" t="inlineStr">
        <is>
          <t>Critical</t>
        </is>
      </c>
      <c r="P61" s="53" t="inlineStr">
        <is>
          <t>Vendor patch available</t>
        </is>
      </c>
      <c r="Q61" s="52" t="inlineStr">
        <is>
          <t>Low (post-patch)</t>
        </is>
      </c>
      <c r="R61" s="53" t="inlineStr">
        <is>
          <t>Apply Sangoma Switchvox patch per vendor release notes; review database and application logs for unauthorized SQL execution or reverse-shell activity</t>
        </is>
      </c>
      <c r="S61" s="52" t="inlineStr">
        <is>
          <t>CIS Control 16.1 — Application Software Security</t>
        </is>
      </c>
      <c r="T61" s="53" t="inlineStr">
        <is>
          <t>Blaise Kingko</t>
        </is>
      </c>
      <c r="U61" s="52" t="inlineStr">
        <is>
          <t>Open — Register-Only</t>
        </is>
      </c>
      <c r="V61" s="52" t="inlineStr">
        <is>
          <t>2026-09-05</t>
        </is>
      </c>
      <c r="W61" s="52" t="inlineStr">
        <is>
          <t>2026-09-07</t>
        </is>
      </c>
      <c r="X61" s="53" t="inlineStr">
        <is>
          <t>Register-only per program scope precedent — narrower enterprise-relevance category (VoIP/PBX) than program's core cloud/AI/network focus, but logged given confirmed active exploitation. Part of 2026-09-02 7-CVE KEV batch.</t>
        </is>
      </c>
    </row>
    <row r="62" s="42">
      <c r="A62" s="52" t="inlineStr">
        <is>
          <t>RR-058</t>
        </is>
      </c>
      <c r="B62" s="53" t="inlineStr">
        <is>
          <t>2026-09-02</t>
        </is>
      </c>
      <c r="C62" s="53" t="inlineStr">
        <is>
          <t>CISA KEV</t>
        </is>
      </c>
      <c r="D62" s="53" t="inlineStr">
        <is>
          <t>CVE-2026-48710</t>
        </is>
      </c>
      <c r="E62" s="53" t="inlineStr">
        <is>
          <t>Kludex Starlette (Python ASGI framework, underlies FastAPI and other frameworks) — HTTP request/response smuggling allows path injection into host, enabling authentication bypass in apps relying on reconstructed URL paths</t>
        </is>
      </c>
      <c r="F62" s="52" t="inlineStr">
        <is>
          <t>IT — Application Framework/Library</t>
        </is>
      </c>
      <c r="G62" s="53" t="inlineStr">
        <is>
          <t>Web Application Framework Component</t>
        </is>
      </c>
      <c r="H62" s="53" t="inlineStr">
        <is>
          <t>Starlette (see GHSA-86qp-5c8j-p5mr for affected versions)</t>
        </is>
      </c>
      <c r="I62" s="53" t="inlineStr">
        <is>
          <t>NIST CSF 2.0: PR.DS-02 | NIST 800-53: SC-8, SR-3 | CIS Control 16.1</t>
        </is>
      </c>
      <c r="J62" s="53" t="inlineStr">
        <is>
          <t>SR — Supply Chain Risk Management</t>
        </is>
      </c>
      <c r="K62" s="52" t="n">
        <v>3</v>
      </c>
      <c r="L62" s="52" t="n">
        <v>3</v>
      </c>
      <c r="M62" s="52">
        <f>K62*L62</f>
        <v/>
      </c>
      <c r="N62" s="52" t="inlineStr">
        <is>
          <t>Medium</t>
        </is>
      </c>
      <c r="O62" s="52" t="inlineStr">
        <is>
          <t>Medium</t>
        </is>
      </c>
      <c r="P62" s="53" t="inlineStr">
        <is>
          <t>Vendor patch available; chainable with CVE-2026-42271 per CISA notes</t>
        </is>
      </c>
      <c r="Q62" s="52" t="inlineStr">
        <is>
          <t>Low (post-patch)</t>
        </is>
      </c>
      <c r="R62" s="53" t="inlineStr">
        <is>
          <t>Upgrade Starlette to patched version per GHSA-86qp-5c8j-p5mr in all applications (including FastAPI-based services) that depend on it; audit any authentication logic that relies on reconstructed URL paths</t>
        </is>
      </c>
      <c r="S62" s="52" t="inlineStr">
        <is>
          <t>CIS Control 16.1 — Application Software Security</t>
        </is>
      </c>
      <c r="T62" s="53" t="inlineStr">
        <is>
          <t>Blaise Kingko</t>
        </is>
      </c>
      <c r="U62" s="52" t="inlineStr">
        <is>
          <t>Open — Register-Only</t>
        </is>
      </c>
      <c r="V62" s="52" t="inlineStr">
        <is>
          <t>2026-09-16</t>
        </is>
      </c>
      <c r="W62" s="52" t="inlineStr">
        <is>
          <t>2026-09-07</t>
        </is>
      </c>
      <c r="X62" s="53" t="inlineStr">
        <is>
          <t>Register-only — open-source library affecting many downstream applications (FastAPI, etc.); no confirmed mass exploitation reported. Recommend inventory of internal apps depending on Starlette given transitive-dependency blast radius.</t>
        </is>
      </c>
    </row>
    <row r="63" s="42">
      <c r="A63" s="52" t="inlineStr">
        <is>
          <t>RR-059</t>
        </is>
      </c>
      <c r="B63" s="53" t="inlineStr">
        <is>
          <t>2026-09-04</t>
        </is>
      </c>
      <c r="C63" s="53" t="inlineStr">
        <is>
          <t>CISA KEV</t>
        </is>
      </c>
      <c r="D63" s="53" t="inlineStr">
        <is>
          <t>CVE-2026-85046</t>
        </is>
      </c>
      <c r="E63" s="53" t="inlineStr">
        <is>
          <t>Google Chromium V8 — type confusion vulnerability allows sandboxed remote code execution via crafted HTML page; affects Chrome, Edge, Opera, and other Chromium-based browsers</t>
        </is>
      </c>
      <c r="F63" s="52" t="inlineStr">
        <is>
          <t>IT — Endpoint (Browser)</t>
        </is>
      </c>
      <c r="G63" s="53" t="inlineStr">
        <is>
          <t>End-User Web Browser</t>
        </is>
      </c>
      <c r="H63" s="53" t="inlineStr">
        <is>
          <t>Chromium-based browsers (Chrome, Edge, Opera) prior to vendor patch</t>
        </is>
      </c>
      <c r="I63" s="53" t="inlineStr">
        <is>
          <t>NIST CSF 2.0: PR.PS-04 | NIST 800-53: SI-2 | CIS Control 7.1</t>
        </is>
      </c>
      <c r="J63" s="53" t="inlineStr">
        <is>
          <t>SI — System Integrity</t>
        </is>
      </c>
      <c r="K63" s="52" t="n">
        <v>4</v>
      </c>
      <c r="L63" s="52" t="n">
        <v>4</v>
      </c>
      <c r="M63" s="52">
        <f>K63*L63</f>
        <v/>
      </c>
      <c r="N63" s="52" t="inlineStr">
        <is>
          <t>High</t>
        </is>
      </c>
      <c r="O63" s="52" t="inlineStr">
        <is>
          <t>High</t>
        </is>
      </c>
      <c r="P63" s="53" t="inlineStr">
        <is>
          <t>Vendor patch available via auto-update (Chrome stable channel update)</t>
        </is>
      </c>
      <c r="Q63" s="52" t="inlineStr">
        <is>
          <t>Low (post-patch, largely auto-remediating via browser auto-update)</t>
        </is>
      </c>
      <c r="R63" s="53" t="inlineStr">
        <is>
          <t>Ensure browser auto-update is enabled fleet-wide; verify enterprise-managed Chrome/Edge deployments have received the patched build</t>
        </is>
      </c>
      <c r="S63" s="52" t="inlineStr">
        <is>
          <t>CIS Control 7.1 — Establish and Maintain a Vulnerability Management Process</t>
        </is>
      </c>
      <c r="T63" s="53" t="inlineStr">
        <is>
          <t>Blaise Kingko</t>
        </is>
      </c>
      <c r="U63" s="52" t="inlineStr">
        <is>
          <t>Open — Register-Only</t>
        </is>
      </c>
      <c r="V63" s="52" t="inlineStr">
        <is>
          <t>2026-09-18</t>
        </is>
      </c>
      <c r="W63" s="52" t="inlineStr">
        <is>
          <t>2026-09-07</t>
        </is>
      </c>
      <c r="X63" s="53" t="inlineStr">
        <is>
          <t>Register-only — recurring V8 zero-day pattern; see AI-Governance/Cloud-Security precedent case IT-OT-Threats/2026-06-CISA-KEV-Chrome-V8 for the program's prior full-bundle treatment of this vulnerability class. Fleet-wide browser auto-update posture is the durable control, not per-CVE case bundles.</t>
        </is>
      </c>
    </row>
    <row r="64" s="42">
      <c r="A64" s="52" t="inlineStr">
        <is>
          <t>RR-060</t>
        </is>
      </c>
      <c r="B64" s="53" t="inlineStr">
        <is>
          <t>2026-08-30</t>
        </is>
      </c>
      <c r="C64" s="53" t="inlineStr">
        <is>
          <t>Threat Intelligence / Public Reporting</t>
        </is>
      </c>
      <c r="D64" s="53" t="inlineStr">
        <is>
          <t>N/A — Incident (ShinyHunters vishing campaign)</t>
        </is>
      </c>
      <c r="E64" s="53" t="inlineStr">
        <is>
          <t>Vishing (voice phishing) campaign against Okta SSO/helpdesk accounts, attributed to ShinyHunters, used to pivot into downstream Salesforce and Snowflake environments; publicly reported to have compromised approximately 284 million patient records at McKesson</t>
        </is>
      </c>
      <c r="F64" s="52" t="inlineStr">
        <is>
          <t>IT — Identity &amp; Access (Social Engineering)</t>
        </is>
      </c>
      <c r="G64" s="53" t="inlineStr">
        <is>
          <t>SSO / Identity Provider (Okta) and Downstream SaaS (Salesforce, Snowflake)</t>
        </is>
      </c>
      <c r="H64" s="53" t="inlineStr">
        <is>
          <t>Okta SSO; connected Salesforce and Snowflake tenants</t>
        </is>
      </c>
      <c r="I64" s="53" t="inlineStr">
        <is>
          <t>NIST CSF 2.0: PR.AA-01, PR.AT-01 | NIST 800-53: IA-2, AT-2 | ISO 27001: A.6.3, A.8.5 | HIPAA: 164.312(a)(1)</t>
        </is>
      </c>
      <c r="J64" s="53" t="inlineStr">
        <is>
          <t>IA — Identification &amp; Authentication (Social Engineering Resistance)</t>
        </is>
      </c>
      <c r="K64" s="52" t="n">
        <v>5</v>
      </c>
      <c r="L64" s="52" t="n">
        <v>5</v>
      </c>
      <c r="M64" s="52">
        <f>K64*L64</f>
        <v/>
      </c>
      <c r="N64" s="52" t="inlineStr">
        <is>
          <t>Critical</t>
        </is>
      </c>
      <c r="O64" s="52" t="inlineStr">
        <is>
          <t>Critical</t>
        </is>
      </c>
      <c r="P64" s="53" t="inlineStr">
        <is>
          <t>Varies by organization; most orgs still rely on phone-verifiable helpdesk resets and non-phishing-resistant MFA</t>
        </is>
      </c>
      <c r="Q64" s="52" t="inlineStr">
        <is>
          <t>Medium (post-hardening; vishing resistance is a people+process control, not a single patch)</t>
        </is>
      </c>
      <c r="R64" s="53" t="inlineStr">
        <is>
          <t>Implement phishing-resistant MFA (FIDO2/WebAuthn) for SSO and helpdesk-privileged accounts; require out-of-band identity verification for any helpdesk-initiated credential reset; review Okta/downstream SaaS conditional-access policies for anomalous session or admin-console activity</t>
        </is>
      </c>
      <c r="S64" s="52" t="inlineStr">
        <is>
          <t>N/A — governance/awareness control, not CIS-mapped</t>
        </is>
      </c>
      <c r="T64" s="53" t="inlineStr">
        <is>
          <t>Blaise Kingko</t>
        </is>
      </c>
      <c r="U64" s="52" t="inlineStr">
        <is>
          <t>Open — Governance/Awareness</t>
        </is>
      </c>
      <c r="V64" s="52" t="inlineStr">
        <is>
          <t>2026-10-05</t>
        </is>
      </c>
      <c r="W64" s="52" t="inlineStr">
        <is>
          <t>2026-09-07</t>
        </is>
      </c>
      <c r="X64" s="53" t="inlineStr">
        <is>
          <t>Register-only governance/incident entry (no patchable CVE) — logged given scale (284M records reported) and direct relevance to identity-provider hardening posture. Healthcare-sector victim (McKesson) brings HIPAA Security Rule into framework scope alongside standard NIST/ISO stack.</t>
        </is>
      </c>
    </row>
    <row r="65">
      <c r="A65" s="52" t="inlineStr">
        <is>
          <t>RR-061</t>
        </is>
      </c>
      <c r="B65" s="53" t="inlineStr">
        <is>
          <t>2026-09-21</t>
        </is>
      </c>
      <c r="C65" s="53" t="inlineStr">
        <is>
          <t>CISA KEV</t>
        </is>
      </c>
      <c r="D65" s="53" t="inlineStr">
        <is>
          <t>CVE-2026-76460; CVE-2026-20130; CVE-2026-20192; CVE-2026-20234; CVE-2026-20194; CVE-2026-20237; CVE-2026-20352</t>
        </is>
      </c>
      <c r="E65" s="53" t="inlineStr">
        <is>
          <t>Cisco Identity Services Engine (ISE/ISE-PIC) — unauthenticated privileged-API auth bypass granting full admin access; six companion CVEs (injection, access control, credential protection, input validation, RADIUS DoS)</t>
        </is>
      </c>
      <c r="F65" s="52" t="inlineStr">
        <is>
          <t>IT-OT-Threats / Cloud-Security (IAM)</t>
        </is>
      </c>
      <c r="G65" s="53" t="inlineStr">
        <is>
          <t>Network Access Control / IAM</t>
        </is>
      </c>
      <c r="H65" s="53" t="inlineStr">
        <is>
          <t>Cisco ISE &amp; ISE-PIC 3.1.0–3.5 Patch 3</t>
        </is>
      </c>
      <c r="I65" s="53" t="inlineStr">
        <is>
          <t>NIST CSF 2.0: PR.AA-01, DE.CM-01 | NIST 800-53: IA-2, AC-3 | ISO 27001: A.8.9 | CIS Control 5</t>
        </is>
      </c>
      <c r="J65" s="53" t="inlineStr">
        <is>
          <t>IA — Identification &amp; Authentication</t>
        </is>
      </c>
      <c r="K65" s="52" t="n">
        <v>5</v>
      </c>
      <c r="L65" s="52" t="n">
        <v>5</v>
      </c>
      <c r="M65" s="52">
        <f>K65*L65</f>
        <v/>
      </c>
      <c r="N65" s="52" t="inlineStr">
        <is>
          <t>Critical</t>
        </is>
      </c>
      <c r="O65" s="52" t="inlineStr">
        <is>
          <t>Vendor patch available (3.1 P12/3.2 P11/3.3 P12/3.4 P7/3.5 P4)</t>
        </is>
      </c>
      <c r="P65" s="53" t="inlineStr">
        <is>
          <t>High</t>
        </is>
      </c>
      <c r="Q65" s="52" t="inlineStr">
        <is>
          <t>Apply emergency Cisco patch to all ISE/ISE-PIC nodes within CISA 3-day window; review admin/audit logs for unauthorized access predating patch</t>
        </is>
      </c>
      <c r="R65" s="53" t="inlineStr">
        <is>
          <t>CIS Control 5.4 — Restrict Administrator Privileges</t>
        </is>
      </c>
      <c r="S65" s="52" t="inlineStr">
        <is>
          <t>Blaise Kingko</t>
        </is>
      </c>
      <c r="T65" s="53" t="inlineStr">
        <is>
          <t>Open — Emergency</t>
        </is>
      </c>
      <c r="U65" s="52" t="inlineStr">
        <is>
          <t>2026-09-24</t>
        </is>
      </c>
      <c r="V65" s="52" t="inlineStr">
        <is>
          <t>2026-09-21</t>
        </is>
      </c>
      <c r="W65" s="52" t="inlineStr">
        <is>
          <t>Actively exploited per CISA KEV (added 2026-09-16/17). CVSS 10.0. Full 7-artifact bundle built (dual-category IT-OT-Threats/Cloud-Security). Highest-priority finding this run.</t>
        </is>
      </c>
    </row>
    <row r="66">
      <c r="A66" s="52" t="inlineStr">
        <is>
          <t>RR-062</t>
        </is>
      </c>
      <c r="B66" s="53" t="inlineStr">
        <is>
          <t>2026-09-21</t>
        </is>
      </c>
      <c r="C66" s="53" t="inlineStr">
        <is>
          <t>CISA KEV</t>
        </is>
      </c>
      <c r="D66" s="53" t="inlineStr">
        <is>
          <t>CVE-2026-76461</t>
        </is>
      </c>
      <c r="E66" s="53" t="inlineStr">
        <is>
          <t>Cisco AsyncOS Secure Email Gateway — unauthenticated SQL injection escalating to root OS command execution</t>
        </is>
      </c>
      <c r="F66" s="52" t="inlineStr">
        <is>
          <t>IT-OT-Threats</t>
        </is>
      </c>
      <c r="G66" s="53" t="inlineStr">
        <is>
          <t>Email Security Gateway</t>
        </is>
      </c>
      <c r="H66" s="53" t="inlineStr">
        <is>
          <t>Cisco AsyncOS SEG 15.5 and earlier, 16.0, 16.5 (pre-fix)</t>
        </is>
      </c>
      <c r="I66" s="53" t="inlineStr">
        <is>
          <t>NIST CSF 2.0: PR.PS-04 | NIST 800-53: SI-10, SI-2 | ISO 27001: A.8.28 | CIS Control 7</t>
        </is>
      </c>
      <c r="J66" s="53" t="inlineStr">
        <is>
          <t>SI — System Integrity</t>
        </is>
      </c>
      <c r="K66" s="52" t="n">
        <v>5</v>
      </c>
      <c r="L66" s="52" t="n">
        <v>5</v>
      </c>
      <c r="M66" s="52">
        <f>K66*L66</f>
        <v/>
      </c>
      <c r="N66" s="52" t="inlineStr">
        <is>
          <t>Critical</t>
        </is>
      </c>
      <c r="O66" s="52" t="inlineStr">
        <is>
          <t>Vendor patch available (15.5.5-0141/16.0.4-302/16.5.0-780)</t>
        </is>
      </c>
      <c r="P66" s="53" t="inlineStr">
        <is>
          <t>High</t>
        </is>
      </c>
      <c r="Q66" s="52" t="inlineStr">
        <is>
          <t>Apply fixed AsyncOS build immediately — CISA remediation deadline (2026-09-17) already passed; forensic log review for pre-patch compromise</t>
        </is>
      </c>
      <c r="R66" s="53" t="inlineStr">
        <is>
          <t>CIS Control 7.4 — Manage OS Vulnerabilities</t>
        </is>
      </c>
      <c r="S66" s="52" t="inlineStr">
        <is>
          <t>Blaise Kingko</t>
        </is>
      </c>
      <c r="T66" s="53" t="inlineStr">
        <is>
          <t>Open — Emergency / Overdue</t>
        </is>
      </c>
      <c r="U66" s="52" t="inlineStr">
        <is>
          <t>2026-09-23</t>
        </is>
      </c>
      <c r="V66" s="52" t="inlineStr">
        <is>
          <t>2026-09-21</t>
        </is>
      </c>
      <c r="W66" s="52" t="inlineStr">
        <is>
          <t>Actively exploited per CISA KEV (added 2026-09-14). CVSS 9.8. CISA deadline already elapsed as of this run. Full bundle built.</t>
        </is>
      </c>
    </row>
    <row r="67">
      <c r="A67" s="52" t="inlineStr">
        <is>
          <t>RR-063</t>
        </is>
      </c>
      <c r="B67" s="53" t="inlineStr">
        <is>
          <t>2026-09-21</t>
        </is>
      </c>
      <c r="C67" s="53" t="inlineStr">
        <is>
          <t>CISA KEV</t>
        </is>
      </c>
      <c r="D67" s="53" t="inlineStr">
        <is>
          <t>CVE-2025-39964; CVE-2026-53266; CVE-2025-39682</t>
        </is>
      </c>
      <c r="E67" s="53" t="inlineStr">
        <is>
          <t>Linux Kernel — three actively-exploited flaws: AF_ALG crypto socket race condition, netfilter ebtables SNAT out-of-bounds write, kernel TLS receive-path condition-handling flaw</t>
        </is>
      </c>
      <c r="F67" s="52" t="inlineStr">
        <is>
          <t>IT-OT-Threats</t>
        </is>
      </c>
      <c r="G67" s="53" t="inlineStr">
        <is>
          <t>Server / Container Host OS</t>
        </is>
      </c>
      <c r="H67" s="53" t="inlineStr">
        <is>
          <t>Linux Kernel (multiple subsystems; specific version ranges not published by CISA)</t>
        </is>
      </c>
      <c r="I67" s="53" t="inlineStr">
        <is>
          <t>NIST CSF 2.0: PR.PS-02 | NIST 800-53: SI-2, CM-6 | ISO 27001: A.8.8 | CIS Control 7</t>
        </is>
      </c>
      <c r="J67" s="53" t="inlineStr">
        <is>
          <t>SI — System Integrity</t>
        </is>
      </c>
      <c r="K67" s="52" t="n">
        <v>5</v>
      </c>
      <c r="L67" s="52" t="n">
        <v>4</v>
      </c>
      <c r="M67" s="52">
        <f>K67*L67</f>
        <v/>
      </c>
      <c r="N67" s="52" t="inlineStr">
        <is>
          <t>High</t>
        </is>
      </c>
      <c r="O67" s="52" t="inlineStr">
        <is>
          <t>Distribution kernel updates available; some affected products possibly EoL/EoS per CISA</t>
        </is>
      </c>
      <c r="P67" s="53" t="inlineStr">
        <is>
          <t>Medium</t>
        </is>
      </c>
      <c r="Q67" s="52" t="inlineStr">
        <is>
          <t>Deploy distribution kernel update containing all three fixes across server/container fleet; flag and scope upgrade for any EoL/EoS kernel versions found</t>
        </is>
      </c>
      <c r="R67" s="53" t="inlineStr">
        <is>
          <t>CIS Control 7.4 — Manage OS Vulnerabilities</t>
        </is>
      </c>
      <c r="S67" s="52" t="inlineStr">
        <is>
          <t>Blaise Kingko</t>
        </is>
      </c>
      <c r="T67" s="53" t="inlineStr">
        <is>
          <t>Open — Emergency</t>
        </is>
      </c>
      <c r="U67" s="52" t="inlineStr">
        <is>
          <t>2026-10-05</t>
        </is>
      </c>
      <c r="V67" s="52" t="inlineStr">
        <is>
          <t>2026-09-21</t>
        </is>
      </c>
      <c r="W67" s="52" t="inlineStr">
        <is>
          <t>All three actively exploited per Red Hat confirmation (2026-09-19), added to KEV 2026-09-18. Combined into one case per program convention for same-batch CVEs. Full bundle built.</t>
        </is>
      </c>
    </row>
    <row r="68">
      <c r="A68" s="52" t="inlineStr">
        <is>
          <t>RR-064</t>
        </is>
      </c>
      <c r="B68" s="53" t="inlineStr">
        <is>
          <t>2026-09-21</t>
        </is>
      </c>
      <c r="C68" s="53" t="inlineStr">
        <is>
          <t>MSRC</t>
        </is>
      </c>
      <c r="D68" s="53" t="inlineStr">
        <is>
          <t>CVE-2026-85889; CVE-2026-85885</t>
        </is>
      </c>
      <c r="E68" s="53" t="inlineStr">
        <is>
          <t>Azure AI Foundry missing-authentication privilege escalation (CVSS 10.0) and Microsoft 365 Copilot command-injection privilege escalation (CVSS 9.9); both fixed server-side by Microsoft, no confirmed exploitation</t>
        </is>
      </c>
      <c r="F68" s="52" t="inlineStr">
        <is>
          <t>AI-Governance / Cloud-Security</t>
        </is>
      </c>
      <c r="G68" s="53" t="inlineStr">
        <is>
          <t>AI Development &amp; Assistant Platform</t>
        </is>
      </c>
      <c r="H68" s="53" t="inlineStr">
        <is>
          <t>Azure AI Foundry (all versions); Microsoft 365 Copilot (all versions)</t>
        </is>
      </c>
      <c r="I68" s="53" t="inlineStr">
        <is>
          <t>NIST AI RMF: MAP 5.1 | ISO 42001: 8.4 | NIST CSF 2.0: PR.AA-05 | NIST 800-53: IA-2, SI-10</t>
        </is>
      </c>
      <c r="J68" s="53" t="inlineStr">
        <is>
          <t>IA — Identification &amp; Authentication</t>
        </is>
      </c>
      <c r="K68" s="52" t="n">
        <v>2</v>
      </c>
      <c r="L68" s="52" t="n">
        <v>5</v>
      </c>
      <c r="M68" s="52">
        <f>K68*L68</f>
        <v/>
      </c>
      <c r="N68" s="52" t="inlineStr">
        <is>
          <t>Critical</t>
        </is>
      </c>
      <c r="O68" s="52" t="inlineStr">
        <is>
          <t>Server-side Microsoft fix applied prior to disclosure; no customer patch required</t>
        </is>
      </c>
      <c r="P68" s="53" t="inlineStr">
        <is>
          <t>Low</t>
        </is>
      </c>
      <c r="Q68" s="52" t="inlineStr">
        <is>
          <t>Complete Azure AI Foundry log review for pre-fix (before 2026-09-17) privileged activity/service principal/role changes; obtain written Microsoft confirmation of Copilot remediation</t>
        </is>
      </c>
      <c r="R68" s="53" t="inlineStr">
        <is>
          <t>N/A — cloud-vendor-remediated</t>
        </is>
      </c>
      <c r="S68" s="52" t="inlineStr">
        <is>
          <t>Blaise Kingko</t>
        </is>
      </c>
      <c r="T68" s="53" t="inlineStr">
        <is>
          <t>Open — Verification</t>
        </is>
      </c>
      <c r="U68" s="52" t="inlineStr">
        <is>
          <t>2026-09-26</t>
        </is>
      </c>
      <c r="V68" s="52" t="inlineStr">
        <is>
          <t>2026-09-21</t>
        </is>
      </c>
      <c r="W68" s="52" t="inlineStr">
        <is>
          <t>No confirmed in-the-wild exploitation; vendor pre-disclosure fix. Second consecutive week of critical Azure AI-platform finding (see prior CosmosEscape case). Full bundle built, dual-category.</t>
        </is>
      </c>
    </row>
    <row r="69">
      <c r="A69" s="52" t="inlineStr">
        <is>
          <t>RR-065</t>
        </is>
      </c>
      <c r="B69" s="53" t="inlineStr">
        <is>
          <t>2026-09-21</t>
        </is>
      </c>
      <c r="C69" s="53" t="inlineStr">
        <is>
          <t>AWS Bulletin</t>
        </is>
      </c>
      <c r="D69" s="53" t="inlineStr">
        <is>
          <t>CVE-2026-86830; CVE-2026-86831</t>
        </is>
      </c>
      <c r="E69" s="53" t="inlineStr">
        <is>
          <t>AWS TEAM (IAM Identity Center elevated access tool) incorrect privilege assignment; Amazon EKS Network Policy Agent pod-identifier collision bypassing cross-namespace NetworkPolicy enforcement</t>
        </is>
      </c>
      <c r="F69" s="52" t="inlineStr">
        <is>
          <t>Cloud-Security</t>
        </is>
      </c>
      <c r="G69" s="53" t="inlineStr">
        <is>
          <t>IAM Elevated-Access Tooling / EKS Network Isolation</t>
        </is>
      </c>
      <c r="H69" s="53" t="inlineStr">
        <is>
          <t>TEAM &lt;1.5.1; Amazon VPC CNI Add-on 1.14.0–1.22.3 / Network Policy Agent &lt;1.4.0</t>
        </is>
      </c>
      <c r="I69" s="53" t="inlineStr">
        <is>
          <t>NIST CSF 2.0: PR.AA-05 | NIST 800-53: AC-6, SC-7 | ISO 27001: A.8.22 | CIS Control 6</t>
        </is>
      </c>
      <c r="J69" s="53" t="inlineStr">
        <is>
          <t>AC — Access Control</t>
        </is>
      </c>
      <c r="K69" s="52" t="n">
        <v>3</v>
      </c>
      <c r="L69" s="52" t="n">
        <v>4</v>
      </c>
      <c r="M69" s="52">
        <f>K69*L69</f>
        <v/>
      </c>
      <c r="N69" s="52" t="inlineStr">
        <is>
          <t>High</t>
        </is>
      </c>
      <c r="O69" s="52" t="inlineStr">
        <is>
          <t>Vendor fixes available (TEAM v1.5.1+; VPC CNI Add-on v1.22.4+; Network Policy Agent v1.4.0+)</t>
        </is>
      </c>
      <c r="P69" s="53" t="inlineStr">
        <is>
          <t>Medium</t>
        </is>
      </c>
      <c r="Q69" s="52" t="inlineStr">
        <is>
          <t>Upgrade TEAM to v1.5.1+ and review recent elevated-access grants; upgrade EKS components and audit namespace names for hyphen-collision risk</t>
        </is>
      </c>
      <c r="R69" s="53" t="inlineStr">
        <is>
          <t>CIS Control 6.8 — Define and Maintain Role-Based Access Control</t>
        </is>
      </c>
      <c r="S69" s="52" t="inlineStr">
        <is>
          <t>Blaise Kingko</t>
        </is>
      </c>
      <c r="T69" s="53" t="inlineStr">
        <is>
          <t>Open</t>
        </is>
      </c>
      <c r="U69" s="52" t="inlineStr">
        <is>
          <t>2026-09-26</t>
        </is>
      </c>
      <c r="V69" s="52" t="inlineStr">
        <is>
          <t>2026-09-21</t>
        </is>
      </c>
      <c r="W69" s="52" t="inlineStr">
        <is>
          <t>No confirmed exploitation; both responsibly disclosed. Both findings defeat tooling specifically built to enforce least-privilege/isolation. Full bundle built.</t>
        </is>
      </c>
    </row>
    <row r="70">
      <c r="A70" s="52" t="inlineStr">
        <is>
          <t>RR-066</t>
        </is>
      </c>
      <c r="B70" s="53" t="inlineStr">
        <is>
          <t>2026-09-21</t>
        </is>
      </c>
      <c r="C70" s="53" t="inlineStr">
        <is>
          <t>NIST NVD</t>
        </is>
      </c>
      <c r="D70" s="53" t="inlineStr">
        <is>
          <t>CVE-2026-12944</t>
        </is>
      </c>
      <c r="E70" s="53" t="inlineStr">
        <is>
          <t>IBM Langflow OSS — arbitrary Python code execution as root via unsandboxed socket/urllib imports in workflow components, enabling AWS credential theft via IMDSv1 SSRF</t>
        </is>
      </c>
      <c r="F70" s="52" t="inlineStr">
        <is>
          <t>AI-Governance / Cloud-Security</t>
        </is>
      </c>
      <c r="G70" s="53" t="inlineStr">
        <is>
          <t>AI Agent Workflow Platform</t>
        </is>
      </c>
      <c r="H70" s="53" t="inlineStr">
        <is>
          <t>IBM Langflow OSS 1.0.0–1.10.0</t>
        </is>
      </c>
      <c r="I70" s="53" t="inlineStr">
        <is>
          <t>NIST AI RMF: MANAGE 4.1 | ISO 42001: 6.1.3 | NIST 800-53: SC-39, SC-7 | NIST CSF 2.0: PR.PS-01</t>
        </is>
      </c>
      <c r="J70" s="53" t="inlineStr">
        <is>
          <t>SC — System &amp; Communications Protection</t>
        </is>
      </c>
      <c r="K70" s="52" t="n">
        <v>4</v>
      </c>
      <c r="L70" s="52" t="n">
        <v>5</v>
      </c>
      <c r="M70" s="52">
        <f>K70*L70</f>
        <v/>
      </c>
      <c r="N70" s="52" t="inlineStr">
        <is>
          <t>Critical</t>
        </is>
      </c>
      <c r="O70" s="52" t="inlineStr">
        <is>
          <t>Vendor fix available beyond v1.10.0; no KEV listing as of this sweep</t>
        </is>
      </c>
      <c r="P70" s="53" t="inlineStr">
        <is>
          <t>Medium</t>
        </is>
      </c>
      <c r="Q70" s="52" t="inlineStr">
        <is>
          <t>Upgrade all Langflow instances beyond v1.10.0 immediately; enforce IMDSv2-only on all hosting instances; formal AI governance decision on production eligibility</t>
        </is>
      </c>
      <c r="R70" s="53" t="inlineStr">
        <is>
          <t>CIS Control 16 — Application Software Security</t>
        </is>
      </c>
      <c r="S70" s="52" t="inlineStr">
        <is>
          <t>Blaise Kingko</t>
        </is>
      </c>
      <c r="T70" s="53" t="inlineStr">
        <is>
          <t>Open — Emergency</t>
        </is>
      </c>
      <c r="U70" s="52" t="inlineStr">
        <is>
          <t>2026-09-25</t>
        </is>
      </c>
      <c r="V70" s="52" t="inlineStr">
        <is>
          <t>2026-09-21</t>
        </is>
      </c>
      <c r="W70" s="52" t="inlineStr">
        <is>
          <t>Fifth Langflow finding logged by this program since June 2026 (RR pattern). Elevated likelihood scoring reflects platform's established rapid-weaponization history. Full bundle built.</t>
        </is>
      </c>
    </row>
    <row r="71">
      <c r="A71" s="52" t="inlineStr">
        <is>
          <t>RR-067</t>
        </is>
      </c>
      <c r="B71" s="53" t="inlineStr">
        <is>
          <t>2026-09-21</t>
        </is>
      </c>
      <c r="C71" s="53" t="inlineStr">
        <is>
          <t>NIST NVD</t>
        </is>
      </c>
      <c r="D71" s="53" t="inlineStr">
        <is>
          <t>CVE-2026-93839; CVE-2026-61560; CVE-2026-58201; CVE-2026-55887; CVE-2026-58197; CVE-2026-91988</t>
        </is>
      </c>
      <c r="E71" s="53" t="inlineStr">
        <is>
          <t>Six independent MCP-server/AI-agent-tooling CVEs: LightLLM unauthenticated node registration, GitLab MCP unauthenticated file exfiltration, Lokka Azure token theft via SSRF, docker/mcp-gateway YAML injection, ToolHive network-isolation gap, atomic-agents-stack cleartext-registry MITM RCE</t>
        </is>
      </c>
      <c r="F71" s="52" t="inlineStr">
        <is>
          <t>AI-Governance / Cloud-Security</t>
        </is>
      </c>
      <c r="G71" s="53" t="inlineStr">
        <is>
          <t>AI Agent Connector Tooling (MCP servers)</t>
        </is>
      </c>
      <c r="H71" s="53" t="inlineStr">
        <is>
          <t>LightLLM ≤1.2.0; mcp-gitlab &lt;2.1.27; Lokka &lt;2.1.2; docker/mcp-gateway 0.21.0–0.42.1; ToolHive CLI &lt;0.30.1/Studio &lt;0.38.0; atomic-agents-stack &lt;1.1.0</t>
        </is>
      </c>
      <c r="I71" s="53" t="inlineStr">
        <is>
          <t>NIST AI RMF: GOVERN 1.1 | ISO 42001: 6.1.2 | NIST 800-53: IA-2, SC-8 | NIST CSF 2.0: ID.SC-04</t>
        </is>
      </c>
      <c r="J71" s="53" t="inlineStr">
        <is>
          <t>IA — Identification &amp; Authentication</t>
        </is>
      </c>
      <c r="K71" s="52" t="n">
        <v>3</v>
      </c>
      <c r="L71" s="52" t="n">
        <v>5</v>
      </c>
      <c r="M71" s="52">
        <f>K71*L71</f>
        <v/>
      </c>
      <c r="N71" s="52" t="inlineStr">
        <is>
          <t>Critical</t>
        </is>
      </c>
      <c r="O71" s="52" t="inlineStr">
        <is>
          <t>Vendor fixes available for all six; no confirmed exploitation</t>
        </is>
      </c>
      <c r="P71" s="53" t="inlineStr">
        <is>
          <t>Medium</t>
        </is>
      </c>
      <c r="Q71" s="52" t="inlineStr">
        <is>
          <t>Inventory deployed MCP server products and patch all in-use affected instances; review Azure activity logs if Lokka in use; establish standing MCP-server vetting process</t>
        </is>
      </c>
      <c r="R71" s="53" t="inlineStr">
        <is>
          <t>CIS Control 16 — Application Software Security</t>
        </is>
      </c>
      <c r="S71" s="52" t="inlineStr">
        <is>
          <t>Blaise Kingko</t>
        </is>
      </c>
      <c r="T71" s="53" t="inlineStr">
        <is>
          <t>Open</t>
        </is>
      </c>
      <c r="U71" s="52" t="inlineStr">
        <is>
          <t>2026-09-28</t>
        </is>
      </c>
      <c r="V71" s="52" t="inlineStr">
        <is>
          <t>2026-09-21</t>
        </is>
      </c>
      <c r="W71" s="52" t="inlineStr">
        <is>
          <t>Third consecutive week of critical MCP/AI-agent-tooling findings (see RR-049 CoreBreak, RR-051/052 AWS Labs MCP). Program recommends standing MCP category going forward. Full bundle built.</t>
        </is>
      </c>
    </row>
    <row r="72">
      <c r="A72" s="52" t="inlineStr">
        <is>
          <t>RR-068</t>
        </is>
      </c>
      <c r="B72" s="53" t="inlineStr">
        <is>
          <t>2026-09-21</t>
        </is>
      </c>
      <c r="C72" s="53" t="inlineStr">
        <is>
          <t>CISA KEV</t>
        </is>
      </c>
      <c r="D72" s="53" t="inlineStr">
        <is>
          <t>CVE-2026-87886</t>
        </is>
      </c>
      <c r="E72" s="53" t="inlineStr">
        <is>
          <t>Acronis Backup plugin for cPanel/WHM, Plesk, and DirectAdmin — incorrect default file permissions enabling local privilege escalation</t>
        </is>
      </c>
      <c r="F72" s="52" t="inlineStr">
        <is>
          <t>IT-OT-Threats</t>
        </is>
      </c>
      <c r="G72" s="53" t="inlineStr">
        <is>
          <t>Backup / Hosting Control Panel Plugin</t>
        </is>
      </c>
      <c r="H72" s="53" t="inlineStr">
        <is>
          <t>Acronis Backup plugin: cPanel/WHM &lt;1.9.3.1021 (fixed 1.9.3 HF3); Plesk &lt;1.8.11.638 (fixed 1.8.11); DirectAdmin &lt;1.2.3.238</t>
        </is>
      </c>
      <c r="I72" s="53" t="inlineStr">
        <is>
          <t>NIST CSF 2.0: PR.PS-01 | NIST 800-53: AC-6, CM-6 | CIS Control 5</t>
        </is>
      </c>
      <c r="J72" s="53" t="inlineStr">
        <is>
          <t>AC — Access Control</t>
        </is>
      </c>
      <c r="K72" s="52" t="n">
        <v>5</v>
      </c>
      <c r="L72" s="52" t="n">
        <v>3</v>
      </c>
      <c r="M72" s="52">
        <f>K72*L72</f>
        <v/>
      </c>
      <c r="N72" s="52" t="inlineStr">
        <is>
          <t>High</t>
        </is>
      </c>
      <c r="O72" s="52" t="inlineStr">
        <is>
          <t>Vendor fix available; local-access precondition narrows realistic attacker population</t>
        </is>
      </c>
      <c r="P72" s="53" t="inlineStr">
        <is>
          <t>Low</t>
        </is>
      </c>
      <c r="Q72" s="52" t="inlineStr">
        <is>
          <t>Upgrade Acronis Backup plugin to fixed build for the applicable hosting panel</t>
        </is>
      </c>
      <c r="R72" s="53" t="inlineStr">
        <is>
          <t>CIS Control 5 — Account Management</t>
        </is>
      </c>
      <c r="S72" s="52" t="inlineStr">
        <is>
          <t>Blaise Kingko</t>
        </is>
      </c>
      <c r="T72" s="53" t="inlineStr">
        <is>
          <t>Open — Register-Only</t>
        </is>
      </c>
      <c r="U72" s="52" t="inlineStr">
        <is>
          <t>2026-09-24</t>
        </is>
      </c>
      <c r="V72" s="52" t="inlineStr">
        <is>
          <t>2026-09-21</t>
        </is>
      </c>
      <c r="W72" s="52" t="inlineStr">
        <is>
          <t>Actively exploited per CISA KEV (added 2026-09-16) but local-privilege-escalation with narrow precondition — register-only per RR-021/RR-034/RR-039 precedent (no full bundle for narrow-precondition findings).</t>
        </is>
      </c>
    </row>
    <row r="73">
      <c r="A73" s="52" t="inlineStr">
        <is>
          <t>RR-069</t>
        </is>
      </c>
      <c r="B73" s="53" t="inlineStr">
        <is>
          <t>2026-09-21</t>
        </is>
      </c>
      <c r="C73" s="53" t="inlineStr">
        <is>
          <t>CISA Advisory</t>
        </is>
      </c>
      <c r="D73" s="53" t="inlineStr">
        <is>
          <t>CVE-2026-62645; CVE-2026-62648; CVE-2026-62647; CVE-2026-62646; CVE-2026-62654; CVE-2026-62652</t>
        </is>
      </c>
      <c r="E73" s="53" t="inlineStr">
        <is>
          <t>Siemens Reyrolle 7SR5 protection relay — missing-authentication vulnerability (CVSS 9.8) plus five companion findings (out-of-bounds write, debug info exposure)</t>
        </is>
      </c>
      <c r="F73" s="52" t="inlineStr">
        <is>
          <t>IT-OT-Threats</t>
        </is>
      </c>
      <c r="G73" s="53" t="inlineStr">
        <is>
          <t>OT — Protection Relay (grid/substation)</t>
        </is>
      </c>
      <c r="H73" s="53" t="inlineStr">
        <is>
          <t>Siemens Reyrolle 7SR5, versions pre-V2.70</t>
        </is>
      </c>
      <c r="I73" s="53" t="inlineStr">
        <is>
          <t>NIST CSF 2.0: PR.AC-03 | NIST 800-53: IA-2 | IEC 62443 SL-2 | CIS Control 12</t>
        </is>
      </c>
      <c r="J73" s="53" t="inlineStr">
        <is>
          <t>IA — Identification &amp; Authentication</t>
        </is>
      </c>
      <c r="K73" s="52" t="n">
        <v>3</v>
      </c>
      <c r="L73" s="52" t="n">
        <v>5</v>
      </c>
      <c r="M73" s="52">
        <f>K73*L73</f>
        <v/>
      </c>
      <c r="N73" s="52" t="inlineStr">
        <is>
          <t>Critical</t>
        </is>
      </c>
      <c r="O73" s="52" t="inlineStr">
        <is>
          <t>Vendor firmware update to V2.70+ available; no confirmed exploitation as of this sweep</t>
        </is>
      </c>
      <c r="P73" s="53" t="inlineStr">
        <is>
          <t>Medium</t>
        </is>
      </c>
      <c r="Q73" s="52" t="inlineStr">
        <is>
          <t>Upgrade Reyrolle firmware to V2.70 or later; verify OT network segmentation isolates protection relays from general IT network</t>
        </is>
      </c>
      <c r="R73" s="53" t="inlineStr">
        <is>
          <t>CIS Control 12 — Network Infrastructure Management</t>
        </is>
      </c>
      <c r="S73" s="52" t="inlineStr">
        <is>
          <t>Blaise Kingko</t>
        </is>
      </c>
      <c r="T73" s="53" t="inlineStr">
        <is>
          <t>Open — Register-Only</t>
        </is>
      </c>
      <c r="U73" s="52" t="inlineStr">
        <is>
          <t>2026-10-05</t>
        </is>
      </c>
      <c r="V73" s="52" t="inlineStr">
        <is>
          <t>2026-09-21</t>
        </is>
      </c>
      <c r="W73" s="52" t="inlineStr">
        <is>
          <t>ICS advisory ICSA-26-258-05 (2026-09-15). Protection relay = grid/critical-infrastructure impact if exploited; register-only given no confirmed active exploitation, but flagged for OT-segment awareness.</t>
        </is>
      </c>
    </row>
    <row r="74">
      <c r="A74" s="52" t="inlineStr">
        <is>
          <t>RR-070</t>
        </is>
      </c>
      <c r="B74" s="53" t="inlineStr">
        <is>
          <t>2026-09-21</t>
        </is>
      </c>
      <c r="C74" s="53" t="inlineStr">
        <is>
          <t>CISA ICS Advisory</t>
        </is>
      </c>
      <c r="D74" s="53" t="inlineStr">
        <is>
          <t>CVE-2026-81861</t>
        </is>
      </c>
      <c r="E74" s="53" t="inlineStr">
        <is>
          <t>Schneider Electric SCADAPack x70 RTU — "Secure Lock" functionality bypass allowing unauthorized RTU configuration access; public PoC exploit exists on GitHub</t>
        </is>
      </c>
      <c r="F74" s="52" t="inlineStr">
        <is>
          <t>IT-OT-Threats</t>
        </is>
      </c>
      <c r="G74" s="53" t="inlineStr">
        <is>
          <t>OT — Remote Terminal Unit (RTU)</t>
        </is>
      </c>
      <c r="H74" s="53" t="inlineStr">
        <is>
          <t>Schneider Electric SCADAPack 47x/47xi/47xd/470R/57x</t>
        </is>
      </c>
      <c r="I74" s="53" t="inlineStr">
        <is>
          <t>NIST CSF 2.0: PR.AC-03 | NIST 800-53: AC-3 | IEC 62443</t>
        </is>
      </c>
      <c r="J74" s="53" t="inlineStr">
        <is>
          <t>AC — Access Control</t>
        </is>
      </c>
      <c r="K74" s="52" t="n">
        <v>4</v>
      </c>
      <c r="L74" s="52" t="n">
        <v>4</v>
      </c>
      <c r="M74" s="52">
        <f>K74*L74</f>
        <v/>
      </c>
      <c r="N74" s="52" t="inlineStr">
        <is>
          <t>High</t>
        </is>
      </c>
      <c r="O74" s="52" t="inlineStr">
        <is>
          <t>Vendor mitigation guidance available; public PoC increases exploitation likelihood</t>
        </is>
      </c>
      <c r="P74" s="53" t="inlineStr">
        <is>
          <t>Medium</t>
        </is>
      </c>
      <c r="Q74" s="52" t="inlineStr">
        <is>
          <t>Apply Schneider Electric guidance/patch when available; restrict network access to RTUs to authorized OT engineering workstations only</t>
        </is>
      </c>
      <c r="R74" s="53" t="inlineStr">
        <is>
          <t>CIS Control 12 — Network Infrastructure Management</t>
        </is>
      </c>
      <c r="S74" s="52" t="inlineStr">
        <is>
          <t>Blaise Kingko</t>
        </is>
      </c>
      <c r="T74" s="53" t="inlineStr">
        <is>
          <t>Open — Register-Only</t>
        </is>
      </c>
      <c r="U74" s="52" t="inlineStr">
        <is>
          <t>2026-10-05</t>
        </is>
      </c>
      <c r="V74" s="52" t="inlineStr">
        <is>
          <t>2026-09-21</t>
        </is>
      </c>
      <c r="W74" s="52" t="inlineStr">
        <is>
          <t>ICS advisory ICSA-26-258-04 (2026-09-15). Public PoC ("scadapack-secure-lock-poc") on GitHub raises likelihood despite no confirmed in-the-wild use.</t>
        </is>
      </c>
    </row>
    <row r="75">
      <c r="A75" s="52" t="inlineStr">
        <is>
          <t>RR-071</t>
        </is>
      </c>
      <c r="B75" s="53" t="inlineStr">
        <is>
          <t>2026-09-21</t>
        </is>
      </c>
      <c r="C75" s="53" t="inlineStr">
        <is>
          <t>NIST NVD</t>
        </is>
      </c>
      <c r="D75" s="53" t="inlineStr">
        <is>
          <t>CVE-2026-90997</t>
        </is>
      </c>
      <c r="E75" s="53" t="inlineStr">
        <is>
          <t>Keycloak stateless-mode SSO — MySQL/MariaDB row-count mismatch allows replay-protection bypass of single-use JWT client assertions, DPoP proofs, and TOTP codes</t>
        </is>
      </c>
      <c r="F75" s="52" t="inlineStr">
        <is>
          <t>Cloud-Security</t>
        </is>
      </c>
      <c r="G75" s="53" t="inlineStr">
        <is>
          <t>IAM / SSO</t>
        </is>
      </c>
      <c r="H75" s="53" t="inlineStr">
        <is>
          <t>Keycloak 26.7.0–26.7.3</t>
        </is>
      </c>
      <c r="I75" s="53" t="inlineStr">
        <is>
          <t>NIST CSF 2.0: PR.AA-05 | NIST 800-53: IA-5</t>
        </is>
      </c>
      <c r="J75" s="53" t="inlineStr">
        <is>
          <t>IA — Identification &amp; Authentication</t>
        </is>
      </c>
      <c r="K75" s="52" t="n">
        <v>2</v>
      </c>
      <c r="L75" s="52" t="n">
        <v>4</v>
      </c>
      <c r="M75" s="52">
        <f>K75*L75</f>
        <v/>
      </c>
      <c r="N75" s="52" t="inlineStr">
        <is>
          <t>Medium</t>
        </is>
      </c>
      <c r="O75" s="52" t="inlineStr">
        <is>
          <t>Vendor fix available beyond 26.7.3</t>
        </is>
      </c>
      <c r="P75" s="53" t="inlineStr">
        <is>
          <t>Low</t>
        </is>
      </c>
      <c r="Q75" s="52" t="inlineStr">
        <is>
          <t>Upgrade Keycloak beyond version 26.7.3</t>
        </is>
      </c>
      <c r="R75" s="53" t="inlineStr">
        <is>
          <t>CIS Control 6 — Access Control Management</t>
        </is>
      </c>
      <c r="S75" s="52" t="inlineStr">
        <is>
          <t>Blaise Kingko</t>
        </is>
      </c>
      <c r="T75" s="53" t="inlineStr">
        <is>
          <t>Open — Register-Only</t>
        </is>
      </c>
      <c r="U75" s="52" t="inlineStr">
        <is>
          <t>2026-09-28</t>
        </is>
      </c>
      <c r="V75" s="52" t="inlineStr">
        <is>
          <t>2026-09-21</t>
        </is>
      </c>
      <c r="W75" s="52" t="inlineStr">
        <is>
          <t>No confirmed exploitation; CVSS 7.4. Register-only given moderate severity relative to this week's other IAM findings.</t>
        </is>
      </c>
    </row>
    <row r="76">
      <c r="A76" s="52" t="inlineStr">
        <is>
          <t>RR-072</t>
        </is>
      </c>
      <c r="B76" s="53" t="inlineStr">
        <is>
          <t>2026-09-21</t>
        </is>
      </c>
      <c r="C76" s="53" t="inlineStr">
        <is>
          <t>NIST NVD</t>
        </is>
      </c>
      <c r="D76" s="53" t="inlineStr">
        <is>
          <t>CVE-2026-61682</t>
        </is>
      </c>
      <c r="E76" s="53" t="inlineStr">
        <is>
          <t>kcp (Kubernetes-like multi-tenant control plane) — front-proxy fails to strip inbound X-Remote-* identity headers, allowing any authenticated tenant to self-grant system:masters</t>
        </is>
      </c>
      <c r="F76" s="52" t="inlineStr">
        <is>
          <t>Cloud-Security</t>
        </is>
      </c>
      <c r="G76" s="53" t="inlineStr">
        <is>
          <t>Kubernetes Multi-Tenant Control Plane</t>
        </is>
      </c>
      <c r="H76" s="53" t="inlineStr">
        <is>
          <t>kcp &lt;0.31.4 and 0.32.0–0.32.1</t>
        </is>
      </c>
      <c r="I76" s="53" t="inlineStr">
        <is>
          <t>NIST CSF 2.0: PR.AA-05 | NIST 800-53: SC-7, AC-3 | CIS Control 6</t>
        </is>
      </c>
      <c r="J76" s="53" t="inlineStr">
        <is>
          <t>AC — Access Control</t>
        </is>
      </c>
      <c r="K76" s="52" t="n">
        <v>3</v>
      </c>
      <c r="L76" s="52" t="n">
        <v>5</v>
      </c>
      <c r="M76" s="52">
        <f>K76*L76</f>
        <v/>
      </c>
      <c r="N76" s="52" t="inlineStr">
        <is>
          <t>Critical</t>
        </is>
      </c>
      <c r="O76" s="52" t="inlineStr">
        <is>
          <t>Vendor fix available</t>
        </is>
      </c>
      <c r="P76" s="53" t="inlineStr">
        <is>
          <t>Medium</t>
        </is>
      </c>
      <c r="Q76" s="52" t="inlineStr">
        <is>
          <t>Upgrade kcp to fixed version; audit front-proxy identity-header handling for any custom deployments</t>
        </is>
      </c>
      <c r="R76" s="53" t="inlineStr">
        <is>
          <t>CIS Control 6 — Access Control Management</t>
        </is>
      </c>
      <c r="S76" s="52" t="inlineStr">
        <is>
          <t>Blaise Kingko</t>
        </is>
      </c>
      <c r="T76" s="53" t="inlineStr">
        <is>
          <t>Open — Register-Only</t>
        </is>
      </c>
      <c r="U76" s="52" t="inlineStr">
        <is>
          <t>2026-09-28</t>
        </is>
      </c>
      <c r="V76" s="52" t="inlineStr">
        <is>
          <t>2026-09-21</t>
        </is>
      </c>
      <c r="W76" s="52" t="inlineStr">
        <is>
          <t>CVSS 9.9; no confirmed exploitation. Register-only given narrower kcp adoption footprint relative to mainstream Kubernetes/EKS findings logged with full bundles this run.</t>
        </is>
      </c>
    </row>
    <row r="77">
      <c r="A77" s="52" t="inlineStr">
        <is>
          <t>RR-073</t>
        </is>
      </c>
      <c r="B77" s="53" t="inlineStr">
        <is>
          <t>2026-09-21</t>
        </is>
      </c>
      <c r="C77" s="53" t="inlineStr">
        <is>
          <t>NIST NVD</t>
        </is>
      </c>
      <c r="D77" s="53" t="inlineStr">
        <is>
          <t>CVE-2026-77179; CVE-2026-79994</t>
        </is>
      </c>
      <c r="E77" s="53" t="inlineStr">
        <is>
          <t>Docker Desktop AI Sandboxes — macOS virtio-fs symlink-following host escape; guest-to-host Unix socket relay symlink race (TOCTOU)</t>
        </is>
      </c>
      <c r="F77" s="52" t="inlineStr">
        <is>
          <t>Cloud-Security</t>
        </is>
      </c>
      <c r="G77" s="53" t="inlineStr">
        <is>
          <t>Container Development Tooling</t>
        </is>
      </c>
      <c r="H77" s="53" t="inlineStr">
        <is>
          <t>Docker Desktop Sandboxes 0.28.0–0.41.x / 0.37.0–0.41.x</t>
        </is>
      </c>
      <c r="I77" s="53" t="inlineStr">
        <is>
          <t>NIST CSF 2.0: PR.PS-01 | NIST 800-53: SC-39 | CIS Control 4</t>
        </is>
      </c>
      <c r="J77" s="53" t="inlineStr">
        <is>
          <t>SC — System &amp; Communications Protection</t>
        </is>
      </c>
      <c r="K77" s="52" t="n">
        <v>2</v>
      </c>
      <c r="L77" s="52" t="n">
        <v>4</v>
      </c>
      <c r="M77" s="52">
        <f>K77*L77</f>
        <v/>
      </c>
      <c r="N77" s="52" t="inlineStr">
        <is>
          <t>Medium</t>
        </is>
      </c>
      <c r="O77" s="52" t="inlineStr">
        <is>
          <t>Vendor fix available</t>
        </is>
      </c>
      <c r="P77" s="53" t="inlineStr">
        <is>
          <t>Low</t>
        </is>
      </c>
      <c r="Q77" s="52" t="inlineStr">
        <is>
          <t>Upgrade Docker Desktop to the fixed release</t>
        </is>
      </c>
      <c r="R77" s="53" t="inlineStr">
        <is>
          <t>CIS Control 4 — Secure Configuration of Enterprise Assets</t>
        </is>
      </c>
      <c r="S77" s="52" t="inlineStr">
        <is>
          <t>Blaise Kingko</t>
        </is>
      </c>
      <c r="T77" s="53" t="inlineStr">
        <is>
          <t>Open — Register-Only</t>
        </is>
      </c>
      <c r="U77" s="52" t="inlineStr">
        <is>
          <t>2026-09-28</t>
        </is>
      </c>
      <c r="V77" s="52" t="inlineStr">
        <is>
          <t>2026-09-21</t>
        </is>
      </c>
      <c r="W77" s="52" t="inlineStr">
        <is>
          <t>Developer-workstation-scoped finding (Docker Desktop, not server-side Docker Engine); no confirmed exploitation.</t>
        </is>
      </c>
    </row>
    <row r="78">
      <c r="A78" s="52" t="inlineStr">
        <is>
          <t>RR-074</t>
        </is>
      </c>
      <c r="B78" s="53" t="inlineStr">
        <is>
          <t>2026-09-21</t>
        </is>
      </c>
      <c r="C78" s="53" t="inlineStr">
        <is>
          <t>NIST NVD</t>
        </is>
      </c>
      <c r="D78" s="53" t="inlineStr">
        <is>
          <t>CVE-2026-53713; CVE-2026-53714</t>
        </is>
      </c>
      <c r="E78" s="53" t="inlineStr">
        <is>
          <t>Envoy Gateway — Lua path-validation bypass via redundant separators; unauthenticated unary xDS gRPC Fetch RPC in GatewayNamespaceMode</t>
        </is>
      </c>
      <c r="F78" s="52" t="inlineStr">
        <is>
          <t>Cloud-Security</t>
        </is>
      </c>
      <c r="G78" s="53" t="inlineStr">
        <is>
          <t>Kubernetes API Gateway</t>
        </is>
      </c>
      <c r="H78" s="53" t="inlineStr">
        <is>
          <t>Envoy Gateway &lt;1.7.4 and 1.8.0-rc.0–1.8.0</t>
        </is>
      </c>
      <c r="I78" s="53" t="inlineStr">
        <is>
          <t>NIST CSF 2.0: PR.AA-05 | NIST 800-53: AC-3, IA-2 | CIS Control 12</t>
        </is>
      </c>
      <c r="J78" s="53" t="inlineStr">
        <is>
          <t>AC — Access Control</t>
        </is>
      </c>
      <c r="K78" s="52" t="n">
        <v>3</v>
      </c>
      <c r="L78" s="52" t="n">
        <v>4</v>
      </c>
      <c r="M78" s="52">
        <f>K78*L78</f>
        <v/>
      </c>
      <c r="N78" s="52" t="inlineStr">
        <is>
          <t>High</t>
        </is>
      </c>
      <c r="O78" s="52" t="inlineStr">
        <is>
          <t>Vendor fix available</t>
        </is>
      </c>
      <c r="P78" s="53" t="inlineStr">
        <is>
          <t>Medium</t>
        </is>
      </c>
      <c r="Q78" s="52" t="inlineStr">
        <is>
          <t>Upgrade Envoy Gateway to the fixed version</t>
        </is>
      </c>
      <c r="R78" s="53" t="inlineStr">
        <is>
          <t>CIS Control 12 — Network Infrastructure Management</t>
        </is>
      </c>
      <c r="S78" s="52" t="inlineStr">
        <is>
          <t>Blaise Kingko</t>
        </is>
      </c>
      <c r="T78" s="53" t="inlineStr">
        <is>
          <t>Open — Register-Only</t>
        </is>
      </c>
      <c r="U78" s="52" t="inlineStr">
        <is>
          <t>2026-09-28</t>
        </is>
      </c>
      <c r="V78" s="52" t="inlineStr">
        <is>
          <t>2026-09-21</t>
        </is>
      </c>
      <c r="W78" s="52" t="inlineStr">
        <is>
          <t>CVE-2026-53713 CVSS 9.1 Critical; CVE-2026-53714 CVSS 7.4. No confirmed exploitation.</t>
        </is>
      </c>
    </row>
    <row r="79">
      <c r="A79" s="52" t="inlineStr">
        <is>
          <t>RR-075</t>
        </is>
      </c>
      <c r="B79" s="53" t="inlineStr">
        <is>
          <t>2026-09-21</t>
        </is>
      </c>
      <c r="C79" s="53" t="inlineStr">
        <is>
          <t>NIST NVD</t>
        </is>
      </c>
      <c r="D79" s="53" t="inlineStr">
        <is>
          <t>CVE-2026-92122; CVE-2026-92123; CVE-2026-92124; CVE-2026-92125; CVE-2026-92127; CVE-2026-92128; CVE-2026-92129; CVE-2026-92134; CVE-2026-92135; CVE-2026-92136; CVE-2026-92137</t>
        </is>
      </c>
      <c r="E79" s="53" t="inlineStr">
        <is>
          <t>Jenkins plugin security batch (Script Security, Warnings, Coverage, OWASP Dependency-Check, Robot Framework) — sandbox-bypass family plus stored XSS and path traversal findings</t>
        </is>
      </c>
      <c r="F79" s="52" t="inlineStr">
        <is>
          <t>Cloud-Security</t>
        </is>
      </c>
      <c r="G79" s="53" t="inlineStr">
        <is>
          <t>CI/CD Platform</t>
        </is>
      </c>
      <c r="H79" s="53" t="inlineStr">
        <is>
          <t>Jenkins Script Security Plugin ≤1415.v9af9b3ac253d and named companion plugins at stated versions</t>
        </is>
      </c>
      <c r="I79" s="53" t="inlineStr">
        <is>
          <t>NIST CSF 2.0: PR.PS-06 | NIST 800-53: SI-10 | CIS Control 16</t>
        </is>
      </c>
      <c r="J79" s="53" t="inlineStr">
        <is>
          <t>SI — System Integrity</t>
        </is>
      </c>
      <c r="K79" s="52" t="n">
        <v>3</v>
      </c>
      <c r="L79" s="52" t="n">
        <v>4</v>
      </c>
      <c r="M79" s="52">
        <f>K79*L79</f>
        <v/>
      </c>
      <c r="N79" s="52" t="inlineStr">
        <is>
          <t>High</t>
        </is>
      </c>
      <c r="O79" s="52" t="inlineStr">
        <is>
          <t>Vendor fixes available for all plugins in the batch</t>
        </is>
      </c>
      <c r="P79" s="53" t="inlineStr">
        <is>
          <t>Medium</t>
        </is>
      </c>
      <c r="Q79" s="52" t="inlineStr">
        <is>
          <t>Update all affected Jenkins plugins to their fixed versions</t>
        </is>
      </c>
      <c r="R79" s="53" t="inlineStr">
        <is>
          <t>CIS Control 16 — Application Software Security</t>
        </is>
      </c>
      <c r="S79" s="52" t="inlineStr">
        <is>
          <t>Blaise Kingko</t>
        </is>
      </c>
      <c r="T79" s="53" t="inlineStr">
        <is>
          <t>Open — Register-Only</t>
        </is>
      </c>
      <c r="U79" s="52" t="inlineStr">
        <is>
          <t>2026-09-28</t>
        </is>
      </c>
      <c r="V79" s="52" t="inlineStr">
        <is>
          <t>2026-09-21</t>
        </is>
      </c>
      <c r="W79" s="52" t="inlineStr">
        <is>
          <t>11-CVE plugin batch (CVSS 7.5–8.8), all Jenkins Project-maintained. No confirmed exploitation. Consolidated into one register row per program batching convention.</t>
        </is>
      </c>
    </row>
    <row r="80">
      <c r="A80" s="52" t="inlineStr">
        <is>
          <t>RR-076</t>
        </is>
      </c>
      <c r="B80" s="53" t="inlineStr">
        <is>
          <t>2026-09-21</t>
        </is>
      </c>
      <c r="C80" s="53" t="inlineStr">
        <is>
          <t>NIST NVD — MODIFIED</t>
        </is>
      </c>
      <c r="D80" s="53" t="inlineStr">
        <is>
          <t>CVE-2026-85596; CVE-2026-85594</t>
        </is>
      </c>
      <c r="E80" s="53" t="inlineStr">
        <is>
          <t>Traefik Kubernetes Ingress provider — TLS-option-name collision causing fallback to default config skipping client-cert verification; crossProviderNamespaces enforcement bypass on middleware annotation</t>
        </is>
      </c>
      <c r="F80" s="52" t="inlineStr">
        <is>
          <t>Cloud-Security</t>
        </is>
      </c>
      <c r="G80" s="53" t="inlineStr">
        <is>
          <t>Kubernetes Ingress Controller</t>
        </is>
      </c>
      <c r="H80" s="53" t="inlineStr">
        <is>
          <t>Traefik 3.7.0–3.7.10 (CVE-2026-85596, fixed 3.7.11); Traefik ≥3.7.1 (CVE-2026-85594, fixed 3.7.11)</t>
        </is>
      </c>
      <c r="I80" s="53" t="inlineStr">
        <is>
          <t>NIST CSF 2.0: PR.AA-05 | NIST 800-53: IA-2, AC-3 | CIS Control 12</t>
        </is>
      </c>
      <c r="J80" s="53" t="inlineStr">
        <is>
          <t>IA — Identification &amp; Authentication</t>
        </is>
      </c>
      <c r="K80" s="52" t="n">
        <v>4</v>
      </c>
      <c r="L80" s="52" t="n">
        <v>4</v>
      </c>
      <c r="M80" s="52">
        <f>K80*L80</f>
        <v/>
      </c>
      <c r="N80" s="52" t="inlineStr">
        <is>
          <t>High</t>
        </is>
      </c>
      <c r="O80" s="52" t="inlineStr">
        <is>
          <t>Vendor fix available (3.7.11)</t>
        </is>
      </c>
      <c r="P80" s="53" t="inlineStr">
        <is>
          <t>Medium</t>
        </is>
      </c>
      <c r="Q80" s="52" t="inlineStr">
        <is>
          <t>Upgrade Traefik to 3.7.11 or later</t>
        </is>
      </c>
      <c r="R80" s="53" t="inlineStr">
        <is>
          <t>CIS Control 12 — Network Infrastructure Management</t>
        </is>
      </c>
      <c r="S80" s="52" t="inlineStr">
        <is>
          <t>Blaise Kingko</t>
        </is>
      </c>
      <c r="T80" s="53" t="inlineStr">
        <is>
          <t>Open — Register-Only</t>
        </is>
      </c>
      <c r="U80" s="52" t="inlineStr">
        <is>
          <t>2026-09-28</t>
        </is>
      </c>
      <c r="V80" s="52" t="inlineStr">
        <is>
          <t>2026-09-21</t>
        </is>
      </c>
      <c r="W80" s="52" t="inlineStr">
        <is>
          <t>[MODIFIED — ESCALATED] Originally published 2026-09-04 (before this window) with vendor-only CVSS 7.0-8.2; on 2026-09-16 NVD added a primary CVSS 9.8 score AND retagged the GHSA reference as "Exploit" for both CVEs — qualifying escalation per Section 3 modified-CVE rule. New register entry (not previously logged).</t>
        </is>
      </c>
    </row>
    <row r="81">
      <c r="A81" s="52" t="inlineStr">
        <is>
          <t>RR-077</t>
        </is>
      </c>
      <c r="B81" s="53" t="inlineStr">
        <is>
          <t>2026-09-21</t>
        </is>
      </c>
      <c r="C81" s="53" t="inlineStr">
        <is>
          <t>AI Governance — Vendor Disclosure</t>
        </is>
      </c>
      <c r="D81" s="53" t="inlineStr">
        <is>
          <t>N/A — OpenAI Model Misalignment Reporting Framework</t>
        </is>
      </c>
      <c r="E81" s="53" t="inlineStr">
        <is>
          <t>OpenAI published a formal AI incident-disclosure framework and disclosed six new agentic-model misalignment incidents since March 2026 (self-generated instruction insertion, exposed-API-key misuse, cross-run message exchange, access-restriction bypass via public file hosting); OpenAI stated no industry-wide disclosure-standard framework currently exists</t>
        </is>
      </c>
      <c r="F81" s="52" t="inlineStr">
        <is>
          <t>AI-Governance</t>
        </is>
      </c>
      <c r="G81" s="53" t="inlineStr">
        <is>
          <t>AI Vendor Risk Management</t>
        </is>
      </c>
      <c r="H81" s="53" t="inlineStr">
        <is>
          <t>Frontier LLM/agent vendor governance posture (OpenAI; applicable to any frontier AI vendor relationship)</t>
        </is>
      </c>
      <c r="I81" s="53" t="inlineStr">
        <is>
          <t>NIST AI RMF: MEASURE, MANAGE | ISO 42001: Clause 10 | EU AI Act: Art. 55 (GPAI systemic-risk monitoring, voluntary here)</t>
        </is>
      </c>
      <c r="J81" s="53" t="inlineStr">
        <is>
          <t>GV — Governance</t>
        </is>
      </c>
      <c r="K81" s="52" t="n">
        <v>2</v>
      </c>
      <c r="L81" s="52" t="n">
        <v>3</v>
      </c>
      <c r="M81" s="52">
        <f>K81*L81</f>
        <v/>
      </c>
      <c r="N81" s="52" t="inlineStr">
        <is>
          <t>Medium</t>
        </is>
      </c>
      <c r="O81" s="52" t="inlineStr">
        <is>
          <t>Voluntary vendor disclosure; no statutory obligation exists yet</t>
        </is>
      </c>
      <c r="P81" s="53" t="inlineStr">
        <is>
          <t>Low</t>
        </is>
      </c>
      <c r="Q81" s="52" t="inlineStr">
        <is>
          <t>Add "does the vendor have an equivalent AI incident-disclosure commitment" as a standing question in AI vendor risk assessments and due-diligence questionnaires</t>
        </is>
      </c>
      <c r="R81" s="53" t="inlineStr">
        <is>
          <t>N/A — governance/process item</t>
        </is>
      </c>
      <c r="S81" s="52" t="inlineStr">
        <is>
          <t>Blaise Kingko</t>
        </is>
      </c>
      <c r="T81" s="53" t="inlineStr">
        <is>
          <t>Open — Register-Only (Governance)</t>
        </is>
      </c>
      <c r="U81" s="52" t="inlineStr">
        <is>
          <t>2026-10-05</t>
        </is>
      </c>
      <c r="V81" s="52" t="inlineStr">
        <is>
          <t>2026-09-21</t>
        </is>
      </c>
      <c r="W81" s="52" t="inlineStr">
        <is>
          <t>Non-CVE governance/regulatory item, consistent with prior register entries for non-technical AI governance developments (cf. RR-004, RR-009, RR-043). Feeds Executive Report AI Governance Watch section.</t>
        </is>
      </c>
    </row>
    <row r="82">
      <c r="A82" s="52" t="inlineStr">
        <is>
          <t>RR-078</t>
        </is>
      </c>
      <c r="B82" s="53" t="inlineStr">
        <is>
          <t>2026-09-21</t>
        </is>
      </c>
      <c r="C82" s="53" t="inlineStr">
        <is>
          <t>AI Governance — State Regulation</t>
        </is>
      </c>
      <c r="D82" s="53" t="inlineStr">
        <is>
          <t>N/A — California SB 1050</t>
        </is>
      </c>
      <c r="E82" s="53" t="inlineStr">
        <is>
          <t>California Governor Newsom signed SB 1050, requiring explicit disclosure on video/audio advertisements using AI-generated ("synthetic") performers, and prohibiting continued use of ads found to violate the disclosure rule</t>
        </is>
      </c>
      <c r="F82" s="52" t="inlineStr">
        <is>
          <t>AI-Governance</t>
        </is>
      </c>
      <c r="G82" s="53" t="inlineStr">
        <is>
          <t>Marketing / Advertising Content Compliance</t>
        </is>
      </c>
      <c r="H82" s="53" t="inlineStr">
        <is>
          <t>N/A — California state law (advertisers, ad agencies, platforms hosting AI-generated ad content)</t>
        </is>
      </c>
      <c r="I82" s="53" t="inlineStr">
        <is>
          <t>EU AI Act (transparency-obligation analog) | NIST AI RMF: GOVERN, MAP</t>
        </is>
      </c>
      <c r="J82" s="53" t="inlineStr">
        <is>
          <t>GV — Governance</t>
        </is>
      </c>
      <c r="K82" s="52" t="n">
        <v>3</v>
      </c>
      <c r="L82" s="52" t="n">
        <v>3</v>
      </c>
      <c r="M82" s="52">
        <f>K82*L82</f>
        <v/>
      </c>
      <c r="N82" s="52" t="inlineStr">
        <is>
          <t>Medium</t>
        </is>
      </c>
      <c r="O82" s="52" t="inlineStr">
        <is>
          <t>Signed into law 2026-09-16; effective date not confirmed in sources reviewed — requires verification</t>
        </is>
      </c>
      <c r="P82" s="53" t="inlineStr">
        <is>
          <t>Low</t>
        </is>
      </c>
      <c r="Q82" s="52" t="inlineStr">
        <is>
          <t>Confirm SB 1050 effective date; add AI-generated-performer disclosure requirement to California marketing/advertising compliance checklist for any AI-generated ad creative</t>
        </is>
      </c>
      <c r="R82" s="53" t="inlineStr">
        <is>
          <t>N/A — governance/process item</t>
        </is>
      </c>
      <c r="S82" s="52" t="inlineStr">
        <is>
          <t>Blaise Kingko</t>
        </is>
      </c>
      <c r="T82" s="53" t="inlineStr">
        <is>
          <t>Open — Register-Only (Compliance)</t>
        </is>
      </c>
      <c r="U82" s="52" t="inlineStr">
        <is>
          <t>2026-10-12</t>
        </is>
      </c>
      <c r="V82" s="52" t="inlineStr">
        <is>
          <t>2026-09-21</t>
        </is>
      </c>
      <c r="W82" s="52" t="inlineStr">
        <is>
          <t>Non-CVE compliance item. Applies only if the organization or its clients produce AI-generated advertising content distributed in California.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ARCHIVED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  <row r="9">
      <c r="A9" s="90" t="inlineStr">
        <is>
          <t>v5</t>
        </is>
      </c>
      <c r="B9" s="90" t="inlineStr">
        <is>
          <t>2026-06-29</t>
        </is>
      </c>
      <c r="C9" s="90" t="inlineStr">
        <is>
          <t>ARCHIVED</t>
        </is>
      </c>
      <c r="D9" s="90" t="inlineStr">
        <is>
          <t>GRC_Intelligence_Risk_Register_2026-06-29.xlsx (archived copy of this version)</t>
        </is>
      </c>
      <c r="E9" s="90" t="inlineStr">
        <is>
          <t>RR-023 – RR-027 (new); RR-004 and RR-009 REVISED in place (EU AI Act deadline-delay amendments)</t>
        </is>
      </c>
      <c r="F9" s="90" t="n">
        <v>27</v>
      </c>
      <c r="G9" s="90" t="inlineStr">
        <is>
          <t>Added 5 new risks (Lantronix EDS5000 KEV, Ubiquiti UniFi OS KEV triple-CVE chain, PTC Windchill/FlexPLM KEV, Cisco Unified CM KEV, Daktronics ICS Advisory). Revised RR-004 and RR-009 in place to reflect European Parliament's finalized EU AI Act deadline-delay amendments (approved 2026-06-16) and consultation closure (2026-06-23) — no new rows created for this regulatory update per dedup/escalation rules. Dedup check performed against all CVE/Advisory IDs on file; no duplicate rows found.</t>
        </is>
      </c>
    </row>
    <row r="10">
      <c r="A10" s="90" t="inlineStr">
        <is>
          <t>v6</t>
        </is>
      </c>
      <c r="B10" s="90" t="inlineStr">
        <is>
          <t>2026-07-13</t>
        </is>
      </c>
      <c r="C10" s="90" t="inlineStr">
        <is>
          <t>ARCHIVED</t>
        </is>
      </c>
      <c r="D10" s="90" t="inlineStr">
        <is>
          <t>GRC_Intelligence_Risk_Register_2026-07-13.xlsx (archived copy of this version)</t>
        </is>
      </c>
      <c r="E10" s="90" t="inlineStr">
        <is>
          <t>RR-028 – RR-034 (new)</t>
        </is>
      </c>
      <c r="F10" s="90" t="n">
        <v>34</v>
      </c>
      <c r="G10" s="90" t="inlineStr">
        <is>
          <t>Added 7 new risks: Langflow AI agent platform auth bypass (CVE-2026-55255, dual-category AI-Governance/Cloud-Security, first AI agent platform in CISA KEV), Adobe ColdFusion RDS path traversal RCE (CVE-2026-48282), and a 4-CVE combined Joomla extension ecosystem file-upload RCE finding (SP Page Builder, Joomlack Page Builder, iCagenda, Balbooa Forms — CVE-2026-48908/56290/48939/56291), plus a register-only entry for the joint NSA/CISA/FBI router-hygiene advisory (Russian FSB Center 16 targeting). Dedup check performed against all CVE/Advisory IDs on file; no duplicate rows found. Column-alignment spot check run and passed programmatically for all 7 new rows before save.</t>
        </is>
      </c>
    </row>
    <row r="11">
      <c r="A11" s="90" t="inlineStr">
        <is>
          <t>v7</t>
        </is>
      </c>
      <c r="B11" s="90" t="inlineStr">
        <is>
          <t>2026-07-27</t>
        </is>
      </c>
      <c r="C11" s="90" t="inlineStr">
        <is>
          <t>ARCHIVED</t>
        </is>
      </c>
      <c r="D11" s="90" t="inlineStr">
        <is>
          <t>GRC_Intelligence_Risk_Register_2026-07-27.xlsx (archived copy of this version)</t>
        </is>
      </c>
      <c r="E11" s="90" t="inlineStr">
        <is>
          <t>RR-035 – RR-039 (new)</t>
        </is>
      </c>
      <c r="F11" s="90" t="n">
        <v>39</v>
      </c>
      <c r="G11" s="90" t="inlineStr">
        <is>
          <t>Added 5 new risks from the 2026-07-20 to 2026-07-27 sweep: Langflow unauthenticated root RCE via exec_globals (CVE-2026-0770, dual-category AI-Governance/Cloud-Security — Langflow's fourth KEV entry in 14 months), WordPress Core "wp2shell" unauthenticated RCE chain (CVE-2026-63030 + CVE-2026-60137, first critical unauthenticated WordPress Core RCE in ~10 years), Check Point SmartConsole authentication bypass with full firewall-management-plane takeover (CVE-2026-16232; related CVE-2026-62144/62145 patched same cycle, not separately registered), and Microsoft SharePoint Server deserialization RCE with IIS machine-key theft (CVE-2026-50522, third of four related SharePoint CVEs exploited this month — patching alone explicitly insufficient per researcher guidance). Plus one register-only entry: DD-WRT UPnP buffer overflow (CVE-2021-27137, narrow non-default exploitation prerequisite, no full bundle per RR-021/RR-034 precedent). Dedup check performed against all CVE/Advisory IDs on file; no duplicate rows found. Risk ID sequence continued as RR-0NN per established register convention (Section 4 of the monitoring prompt specifies a GRC-YYYY-NNN format; this register has used sequential RR-0NN IDs since inception — continued for internal consistency, noted here for the operator's awareness).</t>
        </is>
      </c>
    </row>
    <row r="12">
      <c r="A12" s="90" t="inlineStr">
        <is>
          <t>v8</t>
        </is>
      </c>
      <c r="B12" s="90" t="inlineStr">
        <is>
          <t>2026-08-03</t>
        </is>
      </c>
      <c r="C12" s="90" t="inlineStr">
        <is>
          <t>ARCHIVED</t>
        </is>
      </c>
      <c r="D12" s="90" t="inlineStr">
        <is>
          <t>GRC_Intelligence_Risk_Register_2026-08-03.xlsx (archived copy of this version)</t>
        </is>
      </c>
      <c r="E12" s="90" t="inlineStr">
        <is>
          <t>RR-040 – RR-044 (new)</t>
        </is>
      </c>
      <c r="F12" s="90" t="n">
        <v>44</v>
      </c>
      <c r="G12" s="90" t="inlineStr">
        <is>
          <t>Added 5 new risks from the 2026-07-27 to 2026-08-03 sweep: Arista VeloCloud Orchestrator unauthenticated OS command injection (CVE-2026-16812, CVSS 10.0, actively exploited, 3-day CISA remediation window), Cisco Secure FMC hard-coded credential zero-day (CVE-2026-20316, actively exploited, Security Impact Rating 8.9), Azure Cosmos DB "CosmosEscape" cross-tenant sandbox-escape vulnerability (CVE-2026-66803, Wiz Research, fully remediated by Microsoft pre-disclosure — logged as a third-party/CSP risk governance item, not an active customer-side vulnerability), and the EU AI Act Article 50 transparency-obligation enforcement start (2026-08-02, fines up to €15M/3% global turnover under Art. 99, parallel to California SB 942 taking effect the same day). Plus one register-only entry: Fortinet FortiOS sensitive-information exposure (CVE-2025-68686, CVSS 5.3, narrow precondition requiring prior compromise — no full bundle per RR-021/RR-034/RR-039 precedent). Dedup check performed against all CVE/Advisory IDs on file; no duplicate rows found. Row 4 (blank spacer row between header and RR-001) intentionally left unused rather than reused for new data, because Risk Dashboard and Heat Map tab formulas reference the fixed range Risk Register!A5:X500 — writing a risk into row 4 would have silently excluded it from all dashboard/heat-map metrics. Flagged for operator awareness; row 4 remains available for a future register cleanup pass if desired.</t>
        </is>
      </c>
    </row>
    <row r="13">
      <c r="A13" s="90" t="inlineStr">
        <is>
          <t>v9</t>
        </is>
      </c>
      <c r="B13" s="90" t="inlineStr">
        <is>
          <t>2026-08-10</t>
        </is>
      </c>
      <c r="C13" s="90" t="inlineStr">
        <is>
          <t>ARCHIVED</t>
        </is>
      </c>
      <c r="D13" s="90" t="inlineStr">
        <is>
          <t>GRC_Intelligence_Risk_Register_2026-08-10.xlsx</t>
        </is>
      </c>
      <c r="E13" s="90" t="inlineStr">
        <is>
          <t>RR-045 - RR-050 (new)</t>
        </is>
      </c>
      <c r="F13" s="90" t="n">
        <v>50</v>
      </c>
      <c r="G13" s="90" t="inlineStr">
        <is>
          <t>Added 6 new risks from the 2026-08-03 to 2026-08-10 sweep: IBM Langflow auto-login-to-exec() unauthenticated RCE (CVE-2026-9198, CVSS 9.8, third Langflow KEV entry in 90 days, dual-category AI-Governance/Cloud-Security), N-able N-central authentication bypass with an incomplete first vendor fix requiring a second CVE (CVE-2026-18556/CVE-2026-18577, MSP RMM platform, Take Control + Cloudflare Tunnel abuse observed), Apache Tomcat EncryptInterceptor bypass exploited by an AI-assisted threat actor per Unit 42 (CVE-2026-34486), Progress Kemp LoadMaster pre-auth root command injection actively exploited for 5+ weeks before KEV listing (CVE-2026-8037), and the first cross-vendor AI-agent-architecture finding logged in this register - "CoreBreak", a tool-invocation authorization bypass pattern independently found in AWS Bedrock AgentCore, Google ADK, and Vercel AI SDK, disclosed at Black Hat USA 2026 with no confirmed in-the-wild exploitation (CVE-2026-18830/CVE-2026-18236/CVE-2026-64650/CVE-2026-64651, dual-category AI-Governance/Cloud-Security). Also added Jenkins agent-to-controller deserialization filter bypass plus two companion arbitrary-file-write findings, responsibly disclosed via the EU-sponsored Jenkins Bug Bounty Program with no confirmed ITW exploitation (CVE-2026-70426/70427/70428, High rating - first CI/CD-platform finding in this register). Dedup check performed against all CVE/Advisory IDs on file; no duplicate rows found. Column-alignment spot check run and passed for all 6 new rows before save. Two ICS advisories reviewed and screened out as sub-threshold (Thermo Fisher Genetic Analyzer data-integrity issue, no remote exploit path; Acrisure KARR/DR-100 vehicle Bluetooth key reuse, consumer-automotive scope outside this program's enterprise GRC focus) - noted here per the no-padding/no-silent-drop principle rather than added as rows.</t>
        </is>
      </c>
    </row>
    <row r="14">
      <c r="A14" s="90" t="inlineStr">
        <is>
          <t>v10</t>
        </is>
      </c>
      <c r="B14" s="90" t="inlineStr">
        <is>
          <t>2026-09-07</t>
        </is>
      </c>
      <c r="C14" s="90" t="inlineStr">
        <is>
          <t>ARCHIVED</t>
        </is>
      </c>
      <c r="D14" s="90" t="inlineStr">
        <is>
          <t>GRC_Intelligence_Risk_Register_2026-09-07.xlsx (archived copy of this version)</t>
        </is>
      </c>
      <c r="E14" s="90" t="inlineStr">
        <is>
          <t>RR-051 - RR-060 (new)</t>
        </is>
      </c>
      <c r="F14" s="90" t="n">
        <v>60</v>
      </c>
      <c r="G14" s="90" t="inlineStr">
        <is>
          <t>Added 10 new risks from the 2026-08-31 to 2026-09-07 sweep, resuming monitoring after a gap (prior run 2026-08-10; no sweeps recorded for 2026-08-17, 2026-08-24, or 2026-08-31 report periods — flagged to operator, not backfilled, per report-period discipline). New risks: AWS Labs MCP servers for postgres/DynamoDB AI-agent tooling with trust-boundary defects (CVE-2026-85787, CVE-2026-85654; second consecutive week of this pattern after RR-049 CoreBreak); AWS SageMaker Python SDK cleartext HMAC key enabling cross-user pipeline code execution (CVE-2026-83551); SonicWall SMA1000 chained SSRF + OS command injection under active exploitation with a 3-day CISA deadline, third SMA1000 security event of 2026 per public reporting (CVE-2026-83548, CVE-2026-83549); PaperCut NG/MF chained auth-bypass + unsafe-reflection RCE, same product line with 2023 ransomware-initial-access history (CVE-2026-81578, CVE-2026-82078). Plus five register-only entries from the 2026-09-02 seven-CVE KEV batch and related coverage: JFrog Artifactory admin-auth bypass (CVE-2026-82329), Kestra OSS unauthenticated RCE (CVE-2026-49869), Sangoma Switchvox SQLi (CVE-2026-9586), Starlette HTTP smuggling (CVE-2026-48710), Chromium V8 type confusion (CVE-2026-85046, references precedent case), and one governance/incident entry for the ShinyHunders vishing-to-Okta-SSO campaign linked to a reported 284M-record breach at McKesson (no CVE — identity/social-engineering hardening item). ServiceNow AI Platform triple-CVSS-10.0 disclosure (2026-08-27, CVE-2026-18885/18886/74820) reviewed and found to predate this report's 7-day window (falls in the un-swept gap) — flagged to operator as a recommended manual catch-up item rather than logged with a misdated entry. Dedup check performed against all CVE/Advisory IDs on file; no duplicate rows found. Column-alignment spot check run and passed programmatically for all 10 new rows before save.</t>
        </is>
      </c>
    </row>
    <row r="15">
      <c r="A15" s="41" t="inlineStr">
        <is>
          <t>v11</t>
        </is>
      </c>
      <c r="B15" s="41" t="inlineStr">
        <is>
          <t>2026-09-21</t>
        </is>
      </c>
      <c r="C15" s="41" t="inlineStr">
        <is>
          <t>LIVE</t>
        </is>
      </c>
      <c r="D15" s="41" t="inlineStr">
        <is>
          <t>GRC_Intelligence_Risk_Register_2026-09-21.xlsx (archived copy of this version)</t>
        </is>
      </c>
      <c r="E15" s="41" t="inlineStr">
        <is>
          <t>RR-061 - RR-078 (new)</t>
        </is>
      </c>
      <c r="F15" s="41" t="n">
        <v>78</v>
      </c>
      <c r="G15" s="41" t="inlineStr">
        <is>
          <t>Added 18 new risks from the 2026-09-14 to 2026-09-21 sweep, resuming after the prior run (v10, 2026-09-07) — no sweep was recorded for the 2026-09-14 report period; flagged to operator, not backfilled, per report-period discipline established in v10. Seven full case-study bundles built: Cisco ISE unauthenticated privileged-API auth bypass (CVE-2026-76460 + 6 companion CVEs, CVSS up to 10.0, actively exploited, dual-category IT-OT-Threats/Cloud-Security — highest-priority finding this run); Cisco Secure Email Gateway SQLi-to-RCE (CVE-2026-76461, actively exploited, CISA deadline already elapsed); Linux kernel triple-CVE actively-exploited batch (CVE-2025-39964, CVE-2026-53266, CVE-2025-39682); Azure AI Foundry + M365 Copilot missing-auth/command-injection batch (CVE-2026-85889, CVE-2026-85885, both CVSS ~10.0, Microsoft-fixed pre-disclosure, second consecutive week of critical Azure AI-platform finding); AWS TEAM + EKS Network Policy Agent IAM/multi-tenant-isolation batch (CVE-2026-86830, CVE-2026-86831); IBM Langflow root RCE via unsandboxed socket/urllib imports (CVE-2026-12944 — fifth Langflow finding logged by this program since June, reclassified as standing elevated-risk AI platform); and a six-CVE MCP-server/AI-agent trust-boundary batch (LightLLM, GitLab MCP, Lokka, docker/mcp-gateway, ToolHive, atomic-agents-stack — third consecutive week of this finding category, program now recommends a standing MCP register category). Eleven register-only entries (no full bundle, per no-padding/narrow-precedent principle): Acronis Backup cPanel/WHM/Plesk plugin (CVE-2026-87886, KEV, local-precondition); Siemens Reyrolle 7SR5 protection relay missing-auth (CVE-2026-62645 batch, ICS advisory, no confirmed exploitation); Schneider Electric SCADAPack Secure Lock bypass (CVE-2026-81861, public PoC on GitHub); Keycloak SSO replay-protection bypass (CVE-2026-90997); kcp Kubernetes multi-tenant control-plane escape (CVE-2026-61682); Docker Desktop Sandboxes host-escape pair (CVE-2026-77179, CVE-2026-79994); Envoy Gateway path-bypass pair (CVE-2026-53713, CVE-2026-53714); Jenkins 11-CVE plugin security batch; Traefik Kubernetes Ingress auth-bypass pair [MODIFIED — ESCALATED: published 2026-09-04 before this window, but NVD added a primary CVSS 9.8 score and exploit-tagged references on 2026-09-16, a qualifying escalation under Section 3's modified-CVE rule — logged as a new entry, not a REV update, since neither CVE had a prior register row]; OpenAI Model Misalignment Reporting Framework vendor-disclosure (non-CVE AI governance item, feeds Executive Report AI Governance Watch); California SB 1050 AI-generated-advertising disclosure law (non-CVE compliance item, effective date unconfirmed — flagged for follow-up verification). Screened out and NOT logged (no-padding principle, noted here rather than silently dropped): CVE-2026-58704 (Google Pixel cellular-modem privilege escalation, KEV-listed but consumer-device/individual-targeting scope, outside this program's enterprise GRC focus, consistent with the Acrisure vehicle-Bluetooth precedent from RR-050's run). Dedup check performed against all CVE/Advisory IDs on file; no duplicate rows found — Traefik pair confirmed as new entries despite pre-window publish date. Column-alignment spot check run and passed programmatically for all 18 new rows before save (K/L numeric 1-5, M=K*L formula, N banded 1-4/5-9/10-19/20-25, Affected Asset and Affected System populated for every row).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2026-09-21T11:33:38Z</dcterms:modified>
  <cp:revision>0</cp:revision>
</cp:coreProperties>
</file>