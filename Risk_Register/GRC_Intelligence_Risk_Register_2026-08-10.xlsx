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🛡️ Risk Register" sheetId="1" state="visible" r:id="rId1"/>
    <sheet xmlns:r="http://schemas.openxmlformats.org/officeDocument/2006/relationships" name="📊 Risk Dashboard" sheetId="2" state="visible" r:id="rId2"/>
    <sheet xmlns:r="http://schemas.openxmlformats.org/officeDocument/2006/relationships" name="🔥 Risk Heat Map" sheetId="3" state="visible" r:id="rId3"/>
    <sheet xmlns:r="http://schemas.openxmlformats.org/officeDocument/2006/relationships" name="📡 Intel Sources" sheetId="4" state="visible" r:id="rId4"/>
    <sheet xmlns:r="http://schemas.openxmlformats.org/officeDocument/2006/relationships" name="📋 Version Log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color rgb="FFFFFFFF"/>
      <sz val="8"/>
    </font>
    <font>
      <name val="Arial"/>
      <charset val="1"/>
      <family val="0"/>
      <color rgb="FF000000"/>
      <sz val="8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rgb="FF1B4F72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0D1B2A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D4AC0D"/>
      <sz val="10"/>
    </font>
    <font>
      <name val="Arial"/>
      <charset val="1"/>
      <family val="0"/>
      <b val="1"/>
      <color rgb="FFE67E22"/>
      <sz val="10"/>
    </font>
    <font>
      <name val="Arial"/>
      <charset val="1"/>
      <family val="0"/>
      <b val="1"/>
      <color rgb="FFC0392B"/>
      <sz val="10"/>
    </font>
    <font>
      <name val="Arial"/>
      <charset val="1"/>
      <family val="0"/>
      <b val="1"/>
      <color rgb="FFC0392B"/>
      <sz val="9"/>
    </font>
    <font>
      <name val="Arial"/>
      <charset val="1"/>
      <family val="0"/>
      <b val="1"/>
      <color rgb="FF1E8449"/>
      <sz val="10"/>
    </font>
    <font>
      <name val="Arial"/>
      <charset val="1"/>
      <family val="0"/>
      <b val="1"/>
      <color rgb="FFE67E22"/>
      <sz val="9"/>
    </font>
    <font>
      <name val="Arial"/>
      <charset val="1"/>
      <family val="0"/>
      <b val="1"/>
      <color rgb="FFD4AC0D"/>
      <sz val="9"/>
    </font>
    <font>
      <name val="Arial"/>
      <charset val="1"/>
      <family val="0"/>
      <b val="1"/>
      <color rgb="FF1E8449"/>
      <sz val="9"/>
    </font>
    <font>
      <name val="Arial"/>
      <sz val="8"/>
    </font>
    <font>
      <name val="Arial"/>
      <b val="1"/>
      <color rgb="FFFFFFFF"/>
      <sz val="16"/>
    </font>
    <font>
      <name val="Arial"/>
      <color rgb="FFFFFFFF"/>
      <sz val="9"/>
    </font>
    <font>
      <name val="Arial"/>
      <b val="1"/>
      <color rgb="FFFFFFFF"/>
      <sz val="9"/>
    </font>
  </fonts>
  <fills count="17">
    <fill>
      <patternFill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1B4F72"/>
        <bgColor rgb="FF0E6655"/>
      </patternFill>
    </fill>
    <fill>
      <patternFill patternType="solid">
        <fgColor rgb="FF2E86C1"/>
        <bgColor rgb="FF008080"/>
      </patternFill>
    </fill>
    <fill>
      <patternFill patternType="solid">
        <fgColor rgb="FFFFFFFF"/>
        <bgColor rgb="FFFEF9E7"/>
      </patternFill>
    </fill>
    <fill>
      <patternFill patternType="solid">
        <fgColor rgb="FFF2F3F4"/>
        <bgColor rgb="FFFEF9E7"/>
      </patternFill>
    </fill>
    <fill>
      <patternFill patternType="solid">
        <fgColor rgb="FFD6EAF8"/>
        <bgColor rgb="FFD0ECE7"/>
      </patternFill>
    </fill>
    <fill>
      <patternFill patternType="solid">
        <fgColor rgb="FFFEF9E7"/>
        <bgColor rgb="FFF2F3F4"/>
      </patternFill>
    </fill>
    <fill>
      <patternFill patternType="solid">
        <fgColor rgb="FFFDEBD0"/>
        <bgColor rgb="FFFADBD8"/>
      </patternFill>
    </fill>
    <fill>
      <patternFill patternType="solid">
        <fgColor rgb="FFFADBD8"/>
        <bgColor rgb="FFE8DAEF"/>
      </patternFill>
    </fill>
    <fill>
      <patternFill patternType="solid">
        <fgColor rgb="FFC0392B"/>
        <bgColor rgb="FF993366"/>
      </patternFill>
    </fill>
    <fill>
      <patternFill patternType="solid">
        <fgColor rgb="FFD5F5E3"/>
        <bgColor rgb="FFD0ECE7"/>
      </patternFill>
    </fill>
    <fill>
      <patternFill patternType="solid">
        <fgColor rgb="FF0D1B2A"/>
      </patternFill>
    </fill>
    <fill>
      <patternFill patternType="solid">
        <fgColor rgb="FF1F4E78"/>
      </patternFill>
    </fill>
    <fill>
      <patternFill patternType="solid">
        <fgColor rgb="FFF3F3F3"/>
      </patternFill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0" fillId="12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0" fillId="12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24" fillId="5" borderId="1" applyAlignment="1" pivotButton="0" quotePrefix="0" xfId="0">
      <alignment horizontal="left" vertical="center" wrapText="1"/>
    </xf>
    <xf numFmtId="0" fontId="24" fillId="5" borderId="1" applyAlignment="1" pivotButton="0" quotePrefix="0" xfId="0">
      <alignment horizontal="center" vertical="center" wrapText="1"/>
    </xf>
    <xf numFmtId="0" fontId="24" fillId="0" borderId="0" pivotButton="0" quotePrefix="0" xfId="0"/>
    <xf numFmtId="0" fontId="25" fillId="13" borderId="0" pivotButton="0" quotePrefix="0" xfId="0"/>
    <xf numFmtId="0" fontId="26" fillId="13" borderId="0" applyAlignment="1" pivotButton="0" quotePrefix="0" xfId="0">
      <alignment vertical="center" wrapText="1"/>
    </xf>
    <xf numFmtId="0" fontId="27" fillId="14" borderId="2" applyAlignment="1" pivotButton="0" quotePrefix="0" xfId="0">
      <alignment vertical="top" wrapText="1"/>
    </xf>
    <xf numFmtId="0" fontId="24" fillId="15" borderId="2" applyAlignment="1" pivotButton="0" quotePrefix="0" xfId="0">
      <alignment vertical="top" wrapText="1"/>
    </xf>
    <xf numFmtId="0" fontId="24" fillId="16" borderId="2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ont>
        <name val="Arial"/>
        <charset val="1"/>
        <family val="0"/>
        <b val="1"/>
        <color rgb="FFC0392B"/>
        <sz val="9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E67E22"/>
        <sz val="9"/>
      </font>
      <fill>
        <patternFill>
          <bgColor rgb="FFFDEBD0"/>
        </patternFill>
      </fill>
    </dxf>
    <dxf>
      <font>
        <name val="Arial"/>
        <charset val="1"/>
        <family val="0"/>
        <b val="1"/>
        <color rgb="FFD4AC0D"/>
        <sz val="9"/>
      </font>
      <fill>
        <patternFill>
          <bgColor rgb="FFFEF9E7"/>
        </patternFill>
      </fill>
    </dxf>
    <dxf>
      <font>
        <name val="Arial"/>
        <charset val="1"/>
        <family val="0"/>
        <b val="1"/>
        <color rgb="FF1E8449"/>
        <sz val="9"/>
      </font>
      <fill>
        <patternFill>
          <bgColor rgb="FFD5F5E3"/>
        </patternFill>
      </fill>
    </dxf>
    <dxf>
      <font>
        <name val="Arial"/>
        <charset val="1"/>
        <family val="0"/>
        <b val="1"/>
        <color rgb="FF6C3483"/>
        <sz val="9"/>
      </font>
      <fill>
        <patternFill>
          <bgColor rgb="FFE8DAEF"/>
        </patternFill>
      </fill>
    </dxf>
    <dxf>
      <font>
        <name val="Arial"/>
        <charset val="1"/>
        <family val="0"/>
        <b val="1"/>
        <color rgb="FF0E6655"/>
        <sz val="9"/>
      </font>
      <fill>
        <patternFill>
          <bgColor rgb="FFD0EC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6655"/>
      <rgbColor rgb="FFBFC9CA"/>
      <rgbColor rgb="FF808080"/>
      <rgbColor rgb="FF9999FF"/>
      <rgbColor rgb="FF6C3483"/>
      <rgbColor rgb="FFFEF9E7"/>
      <rgbColor rgb="FFD0ECE7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DEBD0"/>
      <rgbColor rgb="FFF2F3F4"/>
      <rgbColor rgb="FFFF99CC"/>
      <rgbColor rgb="FFCC99FF"/>
      <rgbColor rgb="FFFADBD8"/>
      <rgbColor rgb="FF2E86C1"/>
      <rgbColor rgb="FF33CCCC"/>
      <rgbColor rgb="FF99CC00"/>
      <rgbColor rgb="FFFFCC00"/>
      <rgbColor rgb="FFD4AC0D"/>
      <rgbColor rgb="FFE67E22"/>
      <rgbColor rgb="FF666699"/>
      <rgbColor rgb="FF969696"/>
      <rgbColor rgb="FF1B4F72"/>
      <rgbColor rgb="FF1E8449"/>
      <rgbColor rgb="FF0D1B2A"/>
      <rgbColor rgb="FF333300"/>
      <rgbColor rgb="FFC0392B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X5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41" min="1" max="1"/>
    <col width="14" customWidth="1" style="41" min="2" max="2"/>
    <col width="16" customWidth="1" style="41" min="3" max="4"/>
    <col width="32" customWidth="1" style="41" min="5" max="5"/>
    <col width="14" customWidth="1" style="41" min="6" max="6"/>
    <col width="20" customWidth="1" style="41" min="7" max="7"/>
    <col width="18" customWidth="1" style="41" min="8" max="8"/>
    <col width="28" customWidth="1" style="41" min="9" max="9"/>
    <col width="20" customWidth="1" style="41" min="10" max="10"/>
    <col width="14" customWidth="1" style="41" min="11" max="11"/>
    <col width="12" customWidth="1" style="41" min="12" max="15"/>
    <col width="28" customWidth="1" style="41" min="16" max="16"/>
    <col width="12" customWidth="1" style="41" min="17" max="17"/>
    <col width="32" customWidth="1" style="41" min="18" max="18"/>
    <col width="16" customWidth="1" style="41" min="19" max="19"/>
    <col width="18" customWidth="1" style="41" min="20" max="20"/>
    <col width="14" customWidth="1" style="41" min="21" max="21"/>
    <col width="12" customWidth="1" style="41" min="22" max="22"/>
    <col width="14" customWidth="1" style="41" min="23" max="23"/>
    <col width="30" customWidth="1" style="41" min="24" max="24"/>
  </cols>
  <sheetData>
    <row r="1" ht="39.75" customHeight="1" s="42">
      <c r="A1" s="43" t="inlineStr">
        <is>
          <t>BLAISE KINGKO — GRC INTELLIGENCE &amp; RISK REGISTER   [ ARCHIVED SNAPSHOT: v9 — 2026-08-10 — NOT LIVE ]</t>
        </is>
      </c>
    </row>
    <row r="2" ht="18" customHeight="1" s="42">
      <c r="A2" s="44" t="inlineStr">
        <is>
          <t>ARCHIVED SNAPSHOT: v9 — 2026-08-10 — NOT LIVE. This is a frozen point-in-time copy. The current, authoritative register is GRC_Intelligence_Risk_Register.xlsx.   |   Sources: CISA KEV | US-CERT | NIST NVD | AWS/Azure Bulletins | AI Governance Updates | CISA/NSA/FBI Advisories   |   Frameworks: NIST CSF 2.0 | ISO 27001 | NIST 800-53 | CIS Controls | NIST AI RMF | ISO 42001 | EU AI Act   |   Snapshot Date: 2026-08-10   |   See '📋 Version Log' tab for history.</t>
        </is>
      </c>
    </row>
    <row r="3" ht="21.75" customHeight="1" s="42">
      <c r="A3" s="45" t="inlineStr">
        <is>
          <t>RISK ID</t>
        </is>
      </c>
      <c r="B3" s="45" t="inlineStr">
        <is>
          <t>DATE IDENTIFIED</t>
        </is>
      </c>
      <c r="C3" s="45" t="inlineStr">
        <is>
          <t>SOURCE</t>
        </is>
      </c>
      <c r="D3" s="45" t="inlineStr">
        <is>
          <t>CVE / ADVISORY ID</t>
        </is>
      </c>
      <c r="E3" s="45" t="inlineStr">
        <is>
          <t>THREAT / VULN</t>
        </is>
      </c>
      <c r="F3" s="45" t="inlineStr">
        <is>
          <t>THREAT CATEGORY</t>
        </is>
      </c>
      <c r="G3" s="45" t="inlineStr">
        <is>
          <t>AFFECTED ASSET</t>
        </is>
      </c>
      <c r="H3" s="45" t="inlineStr">
        <is>
          <t>AFFECTED SYSTEM</t>
        </is>
      </c>
      <c r="I3" s="46" t="inlineStr">
        <is>
          <t>FRAMEWORK MAPPING</t>
        </is>
      </c>
      <c r="J3" s="46" t="inlineStr">
        <is>
          <t>CONTROL FAMILY</t>
        </is>
      </c>
      <c r="K3" s="46" t="inlineStr">
        <is>
          <t>LIKELIHOOD (1-5)</t>
        </is>
      </c>
      <c r="L3" s="46" t="inlineStr">
        <is>
          <t>IMPACT (1-5)</t>
        </is>
      </c>
      <c r="M3" s="46" t="inlineStr">
        <is>
          <t>RISK SCORE</t>
        </is>
      </c>
      <c r="N3" s="46" t="inlineStr">
        <is>
          <t>RISK RATING</t>
        </is>
      </c>
      <c r="O3" s="46" t="inlineStr">
        <is>
          <t>INHERENT RISK</t>
        </is>
      </c>
      <c r="P3" s="47" t="inlineStr">
        <is>
          <t>CURRENT CONTROLS</t>
        </is>
      </c>
      <c r="Q3" s="47" t="inlineStr">
        <is>
          <t>RESIDUAL RISK</t>
        </is>
      </c>
      <c r="R3" s="47" t="inlineStr">
        <is>
          <t>REMEDIATION</t>
        </is>
      </c>
      <c r="S3" s="47" t="inlineStr">
        <is>
          <t>CIS CONTROL REF</t>
        </is>
      </c>
      <c r="T3" s="47" t="inlineStr">
        <is>
          <t>OWNER</t>
        </is>
      </c>
      <c r="U3" s="47" t="inlineStr">
        <is>
          <t>STATUS</t>
        </is>
      </c>
      <c r="V3" s="47" t="inlineStr">
        <is>
          <t>DUE DATE</t>
        </is>
      </c>
      <c r="W3" s="47" t="inlineStr">
        <is>
          <t>LAST UPDATED</t>
        </is>
      </c>
      <c r="X3" s="47" t="inlineStr">
        <is>
          <t>NOTES</t>
        </is>
      </c>
    </row>
    <row r="5" ht="39.75" customHeight="1" s="42">
      <c r="A5" s="52" t="inlineStr">
        <is>
          <t>RR-001</t>
        </is>
      </c>
      <c r="B5" s="53" t="inlineStr">
        <is>
          <t>2026-05-29</t>
        </is>
      </c>
      <c r="C5" s="53" t="inlineStr">
        <is>
          <t>CISA KEV</t>
        </is>
      </c>
      <c r="D5" s="53" t="inlineStr">
        <is>
          <t>CVE-2024-21887</t>
        </is>
      </c>
      <c r="E5" s="53" t="inlineStr">
        <is>
          <t>Ivanti Connect Secure — Command Injection vulnerability actively exploited in the wild</t>
        </is>
      </c>
      <c r="F5" s="52" t="inlineStr">
        <is>
          <t>IT — Network</t>
        </is>
      </c>
      <c r="G5" s="53" t="inlineStr">
        <is>
          <t>VPN / Remote Access</t>
        </is>
      </c>
      <c r="H5" s="53" t="inlineStr">
        <is>
          <t>Ivanti Connect Secure</t>
        </is>
      </c>
      <c r="I5" s="53" t="inlineStr">
        <is>
          <t>NIST CSF 2.0: PR.PS-04, DE.CM-01 | NIST 800-53: SI-2, RA-5 | ISO 27001: A.12.6.1 | CIS Control 7</t>
        </is>
      </c>
      <c r="J5" s="53" t="inlineStr">
        <is>
          <t>SI — System Integrity</t>
        </is>
      </c>
      <c r="K5" s="52" t="n">
        <v>5</v>
      </c>
      <c r="L5" s="52" t="n">
        <v>5</v>
      </c>
      <c r="M5" s="52">
        <f>K5*L5</f>
        <v/>
      </c>
      <c r="N5" s="52" t="inlineStr">
        <is>
          <t>Critical</t>
        </is>
      </c>
      <c r="O5" s="52" t="inlineStr">
        <is>
          <t>Critical</t>
        </is>
      </c>
      <c r="P5" s="53" t="inlineStr">
        <is>
          <t>Patch management process in place; WAF deployed</t>
        </is>
      </c>
      <c r="Q5" s="52" t="inlineStr">
        <is>
          <t>High</t>
        </is>
      </c>
      <c r="R5" s="53" t="inlineStr">
        <is>
          <t>Apply vendor patch immediately; isolate affected systems pending patch</t>
        </is>
      </c>
      <c r="S5" s="52" t="inlineStr">
        <is>
          <t>CIS Control 7.4 — Manage Operating System Vulnerabilities</t>
        </is>
      </c>
      <c r="T5" s="53" t="inlineStr">
        <is>
          <t>Blaise Kingko</t>
        </is>
      </c>
      <c r="U5" s="52" t="inlineStr">
        <is>
          <t>Open</t>
        </is>
      </c>
      <c r="V5" s="52" t="inlineStr">
        <is>
          <t>2026-06-04</t>
        </is>
      </c>
      <c r="W5" s="52" t="inlineStr">
        <is>
          <t>2026-05-29</t>
        </is>
      </c>
      <c r="X5" s="53" t="inlineStr">
        <is>
          <t>Actively exploited per CISA KEV. Patch available. Escalate to CISO immediately.</t>
        </is>
      </c>
    </row>
    <row r="6" ht="39.75" customHeight="1" s="42">
      <c r="A6" s="50" t="inlineStr">
        <is>
          <t>RR-002</t>
        </is>
      </c>
      <c r="B6" s="51" t="inlineStr">
        <is>
          <t>2026-05-29</t>
        </is>
      </c>
      <c r="C6" s="51" t="inlineStr">
        <is>
          <t>NIST NVD</t>
        </is>
      </c>
      <c r="D6" s="51" t="inlineStr">
        <is>
          <t>CVE-2025-0282</t>
        </is>
      </c>
      <c r="E6" s="51" t="inlineStr">
        <is>
          <t>Ivanti Policy Secure — Stack-based buffer overflow enabling unauthenticated RCE</t>
        </is>
      </c>
      <c r="F6" s="50" t="inlineStr">
        <is>
          <t>IT — Application</t>
        </is>
      </c>
      <c r="G6" s="51" t="inlineStr">
        <is>
          <t>Policy Management Platform</t>
        </is>
      </c>
      <c r="H6" s="51" t="inlineStr">
        <is>
          <t>Ivanti Policy Secure</t>
        </is>
      </c>
      <c r="I6" s="51" t="inlineStr">
        <is>
          <t>NIST CSF 2.0: PR.PS-04, RS.MI-02 | NIST 800-53: SI-3, SC-39 | ISO 27001: A.14.2.2 | CIS Control 2</t>
        </is>
      </c>
      <c r="J6" s="51" t="inlineStr">
        <is>
          <t>SC — System &amp; Comms Protection</t>
        </is>
      </c>
      <c r="K6" s="50" t="n">
        <v>4</v>
      </c>
      <c r="L6" s="50" t="n">
        <v>5</v>
      </c>
      <c r="M6" s="50">
        <f>K6*L6</f>
        <v/>
      </c>
      <c r="N6" s="50" t="inlineStr">
        <is>
          <t>Critical</t>
        </is>
      </c>
      <c r="O6" s="50" t="inlineStr">
        <is>
          <t>Critical</t>
        </is>
      </c>
      <c r="P6" s="51" t="inlineStr">
        <is>
          <t>Network segmentation partially implemented</t>
        </is>
      </c>
      <c r="Q6" s="50" t="inlineStr">
        <is>
          <t>High</t>
        </is>
      </c>
      <c r="R6" s="51" t="inlineStr">
        <is>
          <t>Emergency patch deployment; conduct IOC sweep; review authentication logs</t>
        </is>
      </c>
      <c r="S6" s="50" t="inlineStr">
        <is>
          <t>CIS Control 2.2 — Ensure Software is Supported by Vendor</t>
        </is>
      </c>
      <c r="T6" s="51" t="inlineStr">
        <is>
          <t>Blaise Kingko</t>
        </is>
      </c>
      <c r="U6" s="50" t="inlineStr">
        <is>
          <t>Mitigating</t>
        </is>
      </c>
      <c r="V6" s="50" t="inlineStr">
        <is>
          <t>2026-06-07</t>
        </is>
      </c>
      <c r="W6" s="50" t="inlineStr">
        <is>
          <t>2026-05-29</t>
        </is>
      </c>
      <c r="X6" s="51" t="inlineStr">
        <is>
          <t>RCE vector. Pre-auth. Requires immediate patch cycle bypass for emergency deployment.</t>
        </is>
      </c>
    </row>
    <row r="7" ht="39.75" customHeight="1" s="42">
      <c r="A7" s="52" t="inlineStr">
        <is>
          <t>RR-003</t>
        </is>
      </c>
      <c r="B7" s="53" t="inlineStr">
        <is>
          <t>2026-05-29</t>
        </is>
      </c>
      <c r="C7" s="53" t="inlineStr">
        <is>
          <t>AWS Security Bulletin</t>
        </is>
      </c>
      <c r="D7" s="53" t="inlineStr">
        <is>
          <t>AWS-2025-001</t>
        </is>
      </c>
      <c r="E7" s="53" t="inlineStr">
        <is>
          <t>AWS IAM confused deputy issue in cross-account role assumption — potential privilege escalation</t>
        </is>
      </c>
      <c r="F7" s="52" t="inlineStr">
        <is>
          <t>Cloud — IAM</t>
        </is>
      </c>
      <c r="G7" s="53" t="inlineStr">
        <is>
          <t>AWS Multi-Account Environment</t>
        </is>
      </c>
      <c r="H7" s="53" t="inlineStr">
        <is>
          <t>AWS IAM / STS</t>
        </is>
      </c>
      <c r="I7" s="53" t="inlineStr">
        <is>
          <t>NIST CSF 2.0: PR.AA-05 | NIST 800-53: AC-6, AC-2 | ISO 27001: A.9.2.3 | CIS Control 5</t>
        </is>
      </c>
      <c r="J7" s="53" t="inlineStr">
        <is>
          <t>AC — Access Control</t>
        </is>
      </c>
      <c r="K7" s="52" t="n">
        <v>3</v>
      </c>
      <c r="L7" s="52" t="n">
        <v>4</v>
      </c>
      <c r="M7" s="52">
        <f>K7*L7</f>
        <v/>
      </c>
      <c r="N7" s="52" t="inlineStr">
        <is>
          <t>High</t>
        </is>
      </c>
      <c r="O7" s="52" t="inlineStr">
        <is>
          <t>High</t>
        </is>
      </c>
      <c r="P7" s="53" t="inlineStr">
        <is>
          <t>SCPs deployed; least-privilege IAM model in place across 500+ accounts</t>
        </is>
      </c>
      <c r="Q7" s="52" t="inlineStr">
        <is>
          <t>Medium</t>
        </is>
      </c>
      <c r="R7" s="53" t="inlineStr">
        <is>
          <t>Audit all cross-account trust relationships; enforce ExternalId conditions on all assume-role policies</t>
        </is>
      </c>
      <c r="S7" s="52" t="inlineStr">
        <is>
          <t>CIS Control 5.4 — Restrict Administrator Privileges</t>
        </is>
      </c>
      <c r="T7" s="53" t="inlineStr">
        <is>
          <t>Blaise Kingko</t>
        </is>
      </c>
      <c r="U7" s="52" t="inlineStr">
        <is>
          <t>Mitigating</t>
        </is>
      </c>
      <c r="V7" s="52" t="inlineStr">
        <is>
          <t>2026-06-14</t>
        </is>
      </c>
      <c r="W7" s="52" t="inlineStr">
        <is>
          <t>2026-05-29</t>
        </is>
      </c>
      <c r="X7" s="53" t="inlineStr">
        <is>
          <t>Leverage existing IAM governance model. SCP guardrails reduce blast radius significantly.</t>
        </is>
      </c>
    </row>
    <row r="8" ht="39.75" customHeight="1" s="42">
      <c r="A8" s="50" t="inlineStr">
        <is>
          <t>RR-004</t>
        </is>
      </c>
      <c r="B8" s="51" t="inlineStr">
        <is>
          <t>2026-05-29</t>
        </is>
      </c>
      <c r="C8" s="51" t="inlineStr">
        <is>
          <t>AI Governance Update</t>
        </is>
      </c>
      <c r="D8" s="51" t="inlineStr">
        <is>
          <t>EU-AI-ACT-2025-HIGH-RISK</t>
        </is>
      </c>
      <c r="E8" s="51" t="inlineStr">
        <is>
          <t>EU AI Act High-Risk AI System classification — internal LLM applications may require conformity assessment</t>
        </is>
      </c>
      <c r="F8" s="50" t="inlineStr">
        <is>
          <t>AI/ML — Governance</t>
        </is>
      </c>
      <c r="G8" s="51" t="inlineStr">
        <is>
          <t>Internal LLM Applications</t>
        </is>
      </c>
      <c r="H8" s="51" t="inlineStr">
        <is>
          <t>GenAI Platform (AWS Bedrock)</t>
        </is>
      </c>
      <c r="I8" s="51" t="inlineStr">
        <is>
          <t>NIST AI RMF: GOVERN 1.1, MAP 1.5 | ISO 42001: 6.1.2 | EU AI Act: Article 9, Annex III | NIST 800-53: SA-11</t>
        </is>
      </c>
      <c r="J8" s="51" t="inlineStr">
        <is>
          <t>AI Risk Governance</t>
        </is>
      </c>
      <c r="K8" s="50" t="n">
        <v>3</v>
      </c>
      <c r="L8" s="50" t="n">
        <v>5</v>
      </c>
      <c r="M8" s="50">
        <f>K8*L8</f>
        <v/>
      </c>
      <c r="N8" s="50" t="inlineStr">
        <is>
          <t>High</t>
        </is>
      </c>
      <c r="O8" s="50" t="inlineStr">
        <is>
          <t>High</t>
        </is>
      </c>
      <c r="P8" s="51" t="inlineStr">
        <is>
          <t>AI Governance program active; NIST AI RMF framework implemented; prompt injection controls deployed</t>
        </is>
      </c>
      <c r="Q8" s="50" t="inlineStr">
        <is>
          <t>Medium</t>
        </is>
      </c>
      <c r="R8" s="51" t="inlineStr">
        <is>
          <t>Conduct EU AI Act conformity assessment; document intended purpose and risk management system; prepare technical documentation per Article 11</t>
        </is>
      </c>
      <c r="S8" s="50" t="inlineStr">
        <is>
          <t>N/A — AI Governance Framework</t>
        </is>
      </c>
      <c r="T8" s="51" t="inlineStr">
        <is>
          <t>Blaise Kingko</t>
        </is>
      </c>
      <c r="U8" s="50" t="inlineStr">
        <is>
          <t>Open</t>
        </is>
      </c>
      <c r="V8" s="50" t="inlineStr">
        <is>
          <t>2026-07-01</t>
        </is>
      </c>
      <c r="W8" s="50" t="inlineStr">
        <is>
          <t>2026-06-29</t>
        </is>
      </c>
      <c r="X8" s="51" t="inlineStr">
        <is>
          <t>Regulatory deadline risk. EU AI Act enforcement begins Aug 2026. High-risk classification triggers conformity assessment requirement. REVISED 2026-06-29: European Parliament finalized amendments (approved 2026-06-16) delaying specific Annex III high-risk compliance deadlines; classification criteria unchanged. See AI-Governance/2026-06-EU-AI-Act-HighRisk-Classification-UPDATE for full change analysis.</t>
        </is>
      </c>
    </row>
    <row r="9" ht="39.75" customHeight="1" s="42">
      <c r="A9" s="52" t="inlineStr">
        <is>
          <t>RR-005</t>
        </is>
      </c>
      <c r="B9" s="53" t="inlineStr">
        <is>
          <t>2026-05-29</t>
        </is>
      </c>
      <c r="C9" s="53" t="inlineStr">
        <is>
          <t>US-CERT</t>
        </is>
      </c>
      <c r="D9" s="53" t="inlineStr">
        <is>
          <t>AA25-071A</t>
        </is>
      </c>
      <c r="E9" s="53" t="inlineStr">
        <is>
          <t>CISA Advisory — SVR cyber actors targeting cloud environments via misconfigured service accounts</t>
        </is>
      </c>
      <c r="F9" s="52" t="inlineStr">
        <is>
          <t>Cloud — Identity</t>
        </is>
      </c>
      <c r="G9" s="53" t="inlineStr">
        <is>
          <t>Cloud Service Accounts</t>
        </is>
      </c>
      <c r="H9" s="53" t="inlineStr">
        <is>
          <t>AWS / Azure Service Principals</t>
        </is>
      </c>
      <c r="I9" s="53" t="inlineStr">
        <is>
          <t>NIST CSF 2.0: PR.AA-01, DE.AE-02 | NIST 800-53: AC-6, AU-12 | ISO 27001: A.9.4.4 | CIS Control 4</t>
        </is>
      </c>
      <c r="J9" s="53" t="inlineStr">
        <is>
          <t>AC — Access Control</t>
        </is>
      </c>
      <c r="K9" s="52" t="n">
        <v>4</v>
      </c>
      <c r="L9" s="52" t="n">
        <v>4</v>
      </c>
      <c r="M9" s="52">
        <f>K9*L9</f>
        <v/>
      </c>
      <c r="N9" s="52" t="inlineStr">
        <is>
          <t>High</t>
        </is>
      </c>
      <c r="O9" s="52" t="inlineStr">
        <is>
          <t>High</t>
        </is>
      </c>
      <c r="P9" s="53" t="inlineStr">
        <is>
          <t>SIEM monitoring active; CloudTrail enabled; anomaly detection in place</t>
        </is>
      </c>
      <c r="Q9" s="52" t="inlineStr">
        <is>
          <t>Medium</t>
        </is>
      </c>
      <c r="R9" s="53" t="inlineStr">
        <is>
          <t>Audit all service account permissions; rotate credentials; implement Just-In-Time access for privileged service accounts</t>
        </is>
      </c>
      <c r="S9" s="52" t="inlineStr">
        <is>
          <t>CIS Control 4.7 — Manage Default Accounts</t>
        </is>
      </c>
      <c r="T9" s="53" t="inlineStr">
        <is>
          <t>Blaise Kingko</t>
        </is>
      </c>
      <c r="U9" s="52" t="inlineStr">
        <is>
          <t>Open</t>
        </is>
      </c>
      <c r="V9" s="52" t="inlineStr">
        <is>
          <t>2026-06-11</t>
        </is>
      </c>
      <c r="W9" s="52" t="inlineStr">
        <is>
          <t>2026-05-29</t>
        </is>
      </c>
      <c r="X9" s="53" t="inlineStr">
        <is>
          <t>Nation-state TTPs. Aligns with existing SIEM architecture. Review CloudWatch anomaly alerts immediately.</t>
        </is>
      </c>
    </row>
    <row r="10">
      <c r="A10" s="52" t="inlineStr">
        <is>
          <t>RR-006</t>
        </is>
      </c>
      <c r="B10" s="53" t="inlineStr">
        <is>
          <t>2026-06-08</t>
        </is>
      </c>
      <c r="C10" s="53" t="inlineStr">
        <is>
          <t>AWS Security Bulletin</t>
        </is>
      </c>
      <c r="D10" s="53" t="inlineStr">
        <is>
          <t>2026-030-AWS</t>
        </is>
      </c>
      <c r="E10" s="53" t="inlineStr">
        <is>
          <t>Linux Kernel "Copy.fail"/"DirtyFrag" privilege-escalation family (CVE-2026-46300, CVE-2026-31431, CVE-2026-43284, CVE-2026-43500) — local LPE in espintcp/algif_aead/xfrm_user/esp modules affecting AWS self-managed compute</t>
        </is>
      </c>
      <c r="F10" s="52" t="inlineStr">
        <is>
          <t>Cloud-Security</t>
        </is>
      </c>
      <c r="G10" s="83" t="inlineStr">
        <is>
          <t>Cloud Compute Infrastructure (Self-Managed Linux Nodes)</t>
        </is>
      </c>
      <c r="H10" s="83" t="inlineStr">
        <is>
          <t>AWS EKS Worker Nodes / Bottlerocket / EC2 Linux Instances</t>
        </is>
      </c>
      <c r="I10" s="83" t="inlineStr">
        <is>
          <t>NIST CSF 2.0 PR.PS-02/DE.CM-09 | NIST 800-53 SI-2/CM-2/CM-6/RA-5 | ISO 27001 A.8.8/A.8.9 | CIS Control 7/4</t>
        </is>
      </c>
      <c r="J10" s="83" t="inlineStr">
        <is>
          <t>SI-2, CM-6, RA-5</t>
        </is>
      </c>
      <c r="K10" s="84" t="n">
        <v>3</v>
      </c>
      <c r="L10" s="84" t="n">
        <v>4</v>
      </c>
      <c r="M10" s="84" t="n">
        <v>12</v>
      </c>
      <c r="N10" s="84" t="inlineStr">
        <is>
          <t>High</t>
        </is>
      </c>
      <c r="O10" s="84" t="inlineStr">
        <is>
          <t>High</t>
        </is>
      </c>
      <c r="P10" s="83" t="inlineStr">
        <is>
          <t>AWS-managed control planes patched; customer self-managed compute (EKS/EC2/Bottlerocket) requires manual node rotation</t>
        </is>
      </c>
      <c r="Q10" s="84" t="inlineStr">
        <is>
          <t>Medium</t>
        </is>
      </c>
      <c r="R10" s="83" t="inlineStr">
        <is>
          <t>Roll EKS-optimized AMIs and Bottlerocket hosts to patched builds (Bottlerocket &gt;= v1.61.0); confirm Fargate platform versions &gt;= 2026-06-09; validate via CSPM scan for zero non-compliant kernels</t>
        </is>
      </c>
      <c r="S10" s="84" t="inlineStr">
        <is>
          <t>Control 7 (7.4) / Control 4</t>
        </is>
      </c>
      <c r="T10" s="83" t="inlineStr">
        <is>
          <t>Cloud Platform Engineering</t>
        </is>
      </c>
      <c r="U10" s="84" t="inlineStr">
        <is>
          <t>Open</t>
        </is>
      </c>
      <c r="V10" s="84" t="inlineStr">
        <is>
          <t>2026-06-22</t>
        </is>
      </c>
      <c r="W10" s="85" t="inlineStr">
        <is>
          <t>2026-06-15</t>
        </is>
      </c>
      <c r="X10" s="85" t="inlineStr">
        <is>
          <t>Shared-responsibility seam — AWS patches control plane only; full case bundle in Cloud-Security/2026-06-AWS-Bulletin-Linux-Kernel-CopyFail REVISED 2026-06-15 — AWS Fargate patches deployed all regions by June 15. Customer EKS/Bottlerocket/EC2 action still required; Likelihood reduced 4→3.</t>
        </is>
      </c>
    </row>
    <row r="11">
      <c r="A11" s="52" t="inlineStr">
        <is>
          <t>RR-007</t>
        </is>
      </c>
      <c r="B11" s="53" t="inlineStr">
        <is>
          <t>2026-06-08</t>
        </is>
      </c>
      <c r="C11" s="53" t="inlineStr">
        <is>
          <t>Azure Security Update</t>
        </is>
      </c>
      <c r="D11" s="53" t="inlineStr">
        <is>
          <t>CVE-2026-48567</t>
        </is>
      </c>
      <c r="E11" s="53" t="inlineStr">
        <is>
          <t>Azure HorizonDB Elevation of Privilege — authentication bypass by spoofing (CWE-290) in managed multi-tenant database control plane, CVSS 10.0</t>
        </is>
      </c>
      <c r="F11" s="52" t="inlineStr">
        <is>
          <t>Cloud-Security</t>
        </is>
      </c>
      <c r="G11" s="83" t="inlineStr">
        <is>
          <t>Cloud Database Platform (Multi-Tenant Control Plane)</t>
        </is>
      </c>
      <c r="H11" s="83" t="inlineStr">
        <is>
          <t>Azure HorizonDB (Managed Database Service)</t>
        </is>
      </c>
      <c r="I11" s="83" t="inlineStr">
        <is>
          <t>NIST CSF 2.0 PR.AA-03/DE.CM-03/GV.SC-06 | NIST 800-53 IA-2/AC-3/SC-7/CA-7 | ISO 27001 A.5.15/A.8.5/A.5.23 | CIS Control 6/13</t>
        </is>
      </c>
      <c r="J11" s="83" t="inlineStr">
        <is>
          <t>IA-2, AC-3, SC-7</t>
        </is>
      </c>
      <c r="K11" s="84" t="n">
        <v>3</v>
      </c>
      <c r="L11" s="84" t="n">
        <v>5</v>
      </c>
      <c r="M11" s="84" t="n">
        <v>15</v>
      </c>
      <c r="N11" s="84" t="inlineStr">
        <is>
          <t>High</t>
        </is>
      </c>
      <c r="O11" s="84" t="inlineStr">
        <is>
          <t>Critical</t>
        </is>
      </c>
      <c r="P11" s="83" t="inlineStr">
        <is>
          <t>Microsoft platform-side patch pipeline (vendor-controlled); Entra ID conditional access as tenant-side compensating control</t>
        </is>
      </c>
      <c r="Q11" s="84" t="inlineStr">
        <is>
          <t>Low</t>
        </is>
      </c>
      <c r="R11" s="83" t="inlineStr">
        <is>
          <t>Confirm Microsoft platform patch applied via Azure Service Health; audit HorizonDB auth logs 2026-05-28 to 2026-06-04 for spoofing indicators; enforce Entra ID-only authentication and Conditional Access MFA</t>
        </is>
      </c>
      <c r="S11" s="84" t="inlineStr">
        <is>
          <t>Control 6 / Control 13</t>
        </is>
      </c>
      <c r="T11" s="83" t="inlineStr">
        <is>
          <t>Cloud Security Architecture</t>
        </is>
      </c>
      <c r="U11" s="84" t="inlineStr">
        <is>
          <t>Open</t>
        </is>
      </c>
      <c r="V11" s="84" t="inlineStr">
        <is>
          <t>2026-06-15</t>
        </is>
      </c>
      <c r="W11" s="85" t="inlineStr">
        <is>
          <t>2026-06-08</t>
        </is>
      </c>
      <c r="X11" s="85" t="inlineStr">
        <is>
          <t>Vendor-side CVSS 10.0 flaw — verification &amp; IAM hardening case; full bundle in Cloud-Security/2026-06-MSRC-Azure-HorizonDB</t>
        </is>
      </c>
    </row>
    <row r="12">
      <c r="A12" s="52" t="inlineStr">
        <is>
          <t>RR-008</t>
        </is>
      </c>
      <c r="B12" s="53" t="inlineStr">
        <is>
          <t>2026-06-08</t>
        </is>
      </c>
      <c r="C12" s="53" t="inlineStr">
        <is>
          <t>CISA KEV</t>
        </is>
      </c>
      <c r="D12" s="53" t="inlineStr">
        <is>
          <t>CVE-2026-45247</t>
        </is>
      </c>
      <c r="E12" s="53" t="inlineStr">
        <is>
          <t>Mirasvit Full Page Cache Warmer (Magento/Adobe Commerce) — deserialization of untrusted data / PHP object injection enabling unauthenticated RCE, CVSS 9.8, actively exploited in the wild</t>
        </is>
      </c>
      <c r="F12" s="52" t="inlineStr">
        <is>
          <t>Cloud-Security</t>
        </is>
      </c>
      <c r="G12" s="83" t="inlineStr">
        <is>
          <t>E-Commerce Application Platform</t>
        </is>
      </c>
      <c r="H12" s="83" t="inlineStr">
        <is>
          <t>Magento 2 / Adobe Commerce (Mirasvit Full Page Cache Warmer extension)</t>
        </is>
      </c>
      <c r="I12" s="83" t="inlineStr">
        <is>
          <t>NIST CSF 2.0 PR.PS-02/DE.CM-01/RS.AN-03 | NIST 800-53 SI-2/SI-3/SI-10/IR-4 | ISO 27001 A.8.8/A.8.28/A.8.16 | CIS Control 16/7/17 | PCI-DSS v4.0 Req 6.3.3/11.3</t>
        </is>
      </c>
      <c r="J12" s="83" t="inlineStr">
        <is>
          <t>SI-2, SI-3, SI-10</t>
        </is>
      </c>
      <c r="K12" s="84" t="n">
        <v>5</v>
      </c>
      <c r="L12" s="84" t="n">
        <v>5</v>
      </c>
      <c r="M12" s="84" t="n">
        <v>25</v>
      </c>
      <c r="N12" s="84" t="inlineStr">
        <is>
          <t>Critical</t>
        </is>
      </c>
      <c r="O12" s="84" t="inlineStr">
        <is>
          <t>Critical</t>
        </is>
      </c>
      <c r="P12" s="83" t="inlineStr">
        <is>
          <t>WAF signatures (Imperva) available as interim compensating control; PCI-mandated file-integrity monitoring may detect web-shell drops</t>
        </is>
      </c>
      <c r="Q12" s="84" t="inlineStr">
        <is>
          <t>Low</t>
        </is>
      </c>
      <c r="R12" s="83" t="inlineStr">
        <is>
          <t>Update Mirasvit Full Page Cache Warmer to v1.11.12+ on all Magento 2/Adobe Commerce instances immediately (target 2026-06-10); conduct web-shell forensic sweep of pub/media, var/, app/code directories; engage PCI Forensic Investigator if IOCs found</t>
        </is>
      </c>
      <c r="S12" s="84" t="inlineStr">
        <is>
          <t>Control 16 (16.13) / Control 7</t>
        </is>
      </c>
      <c r="T12" s="83" t="inlineStr">
        <is>
          <t>Application Security / E-commerce Engineering</t>
        </is>
      </c>
      <c r="U12" s="84" t="inlineStr">
        <is>
          <t>Open — Expedited</t>
        </is>
      </c>
      <c r="V12" s="84" t="inlineStr">
        <is>
          <t>2026-06-10</t>
        </is>
      </c>
      <c r="W12" s="85" t="inlineStr">
        <is>
          <t>2026-06-08</t>
        </is>
      </c>
      <c r="X12" s="85" t="inlineStr">
        <is>
          <t>CISA federal due date 2026-06-06; active exploitation confirmed by Sansec/Imperva/SecurityWeek; full bundle in Cloud-Security/2026-06-CISA-KEV-Magento-Mirasvit</t>
        </is>
      </c>
    </row>
    <row r="13">
      <c r="A13" s="52" t="inlineStr">
        <is>
          <t>RR-009</t>
        </is>
      </c>
      <c r="B13" s="53" t="inlineStr">
        <is>
          <t>2026-06-08</t>
        </is>
      </c>
      <c r="C13" s="53" t="inlineStr">
        <is>
          <t>AI Governance Update</t>
        </is>
      </c>
      <c r="D13" s="53" t="inlineStr">
        <is>
          <t>Draft Guidelines — High-Risk AI Classification (Consultation closed 2026-06-23)</t>
        </is>
      </c>
      <c r="E13" s="53" t="inlineStr">
        <is>
          <t>European Commission draft guidance on classifying AI systems as "high-risk" under EU AI Act Annex III; enforcement infrastructure being stood up; high-risk obligation deadlines extended to Dec 2027 / Aug 2028</t>
        </is>
      </c>
      <c r="F13" s="52" t="inlineStr">
        <is>
          <t>AI-Governance</t>
        </is>
      </c>
      <c r="G13" s="83" t="inlineStr">
        <is>
          <t>AI System Governance &amp; Compliance Program</t>
        </is>
      </c>
      <c r="H13" s="83" t="inlineStr">
        <is>
          <t>EU-Resident AI System Inventory (EU AI Act Annex III Scope)</t>
        </is>
      </c>
      <c r="I13" s="83" t="inlineStr">
        <is>
          <t>NIST AI RMF GOVERN/MAP (1.1, 5.1) | ISO 42001 Clauses 6.1.2/8.4/4.1 | EU AI Act Article 6/Annex III | GDPR Article 35 (DPIA overlap)</t>
        </is>
      </c>
      <c r="J13" s="83" t="inlineStr">
        <is>
          <t>GOVERN, MAP</t>
        </is>
      </c>
      <c r="K13" s="84" t="n">
        <v>3</v>
      </c>
      <c r="L13" s="84" t="n">
        <v>3</v>
      </c>
      <c r="M13" s="84" t="n">
        <v>9</v>
      </c>
      <c r="N13" s="84" t="inlineStr">
        <is>
          <t>Medium</t>
        </is>
      </c>
      <c r="O13" s="84" t="inlineStr">
        <is>
          <t>Medium-High</t>
        </is>
      </c>
      <c r="P13" s="83" t="inlineStr">
        <is>
          <t>Existing ISO 42001 risk-assessment processes (where implemented) and NIST AI RMF MAP practices provide a transferable methodology for classification</t>
        </is>
      </c>
      <c r="Q13" s="84" t="inlineStr">
        <is>
          <t>Low</t>
        </is>
      </c>
      <c r="R13" s="83" t="inlineStr">
        <is>
          <t>Compile complete AI-system inventory mapped to EU-resident exposure; classify each system against draft Annex III criteria using ISO 42001 Clause 8.4 template; consider submitting consultation feedback before 2026-06-23; build combined NIST AI RMF/ISO 42001/EU AI Act/GDPR evidence template</t>
        </is>
      </c>
      <c r="S13" s="84" t="inlineStr">
        <is>
          <t>N/A — Regulatory/Governance</t>
        </is>
      </c>
      <c r="T13" s="83" t="inlineStr">
        <is>
          <t>AI Governance Lead</t>
        </is>
      </c>
      <c r="U13" s="84" t="inlineStr">
        <is>
          <t>Open — Proactive</t>
        </is>
      </c>
      <c r="V13" s="84" t="inlineStr">
        <is>
          <t>2026-09-08</t>
        </is>
      </c>
      <c r="W13" s="85" t="inlineStr">
        <is>
          <t>2026-06-29</t>
        </is>
      </c>
      <c r="X13" s="85" t="inlineStr">
        <is>
          <t>18-month runway to Dec 2027 milestone; full bundle in AI-Governance/2026-06-EU-AI-Act-HighRisk-Classification. REVISED 2026-06-29: Public consultation closed as scheduled 2026-06-23; European Parliament finalized deadline-delay amendments (approved 2026-06-16) for certain Annex III high-risk categories. Recommend maintaining program momentum despite timeline relief — see AI-Governance/2026-06-EU-AI-Act-HighRisk-Classification-UPDATE.</t>
        </is>
      </c>
    </row>
    <row r="14">
      <c r="A14" s="52" t="inlineStr">
        <is>
          <t>RR-010</t>
        </is>
      </c>
      <c r="B14" s="53" t="inlineStr">
        <is>
          <t>2026-06-08</t>
        </is>
      </c>
      <c r="C14" s="53" t="inlineStr">
        <is>
          <t>CISA KEV</t>
        </is>
      </c>
      <c r="D14" s="53" t="inlineStr">
        <is>
          <t>CVE-2025-48595</t>
        </is>
      </c>
      <c r="E14" s="53" t="inlineStr">
        <is>
          <t>Android Framework integer overflow (CWE-190) enabling local elevation of privilege; CVSS 8.4; Google confirms limited, targeted exploitation (spyware/nation-state pattern); affects Android 14/15/16/16-QPR2</t>
        </is>
      </c>
      <c r="F14" s="52" t="inlineStr">
        <is>
          <t>IT-OT-Threats</t>
        </is>
      </c>
      <c r="G14" s="83" t="inlineStr">
        <is>
          <t>Mobile / BYOD Endpoint Fleet</t>
        </is>
      </c>
      <c r="H14" s="83" t="inlineStr">
        <is>
          <t>Android 14 / 15 / 16 / 16-QPR2 — Managed &amp; BYOD Devices</t>
        </is>
      </c>
      <c r="I14" s="83" t="inlineStr">
        <is>
          <t>NIST CSF 2.0 PR.PS-02/DE.CM-09 | NIST 800-53 SI-2/CM-6 | ISO 27001 A.8.8 | CIS Control 4 (Mobile/BYOD)</t>
        </is>
      </c>
      <c r="J14" s="83" t="inlineStr">
        <is>
          <t>SI-2, CM-6</t>
        </is>
      </c>
      <c r="K14" s="84" t="n">
        <v>4</v>
      </c>
      <c r="L14" s="84" t="n">
        <v>3</v>
      </c>
      <c r="M14" s="84" t="n">
        <v>12</v>
      </c>
      <c r="N14" s="84" t="inlineStr">
        <is>
          <t>High</t>
        </is>
      </c>
      <c r="O14" s="84" t="inlineStr">
        <is>
          <t>Medium</t>
        </is>
      </c>
      <c r="P14" s="83" t="inlineStr">
        <is>
          <t>MDM/UEM enforcement of OS patch-level baselines on managed devices; app-vetting controls limiting locally-installed untrusted apps</t>
        </is>
      </c>
      <c r="Q14" s="84" t="inlineStr">
        <is>
          <t>Low</t>
        </is>
      </c>
      <c r="R14" s="83" t="inlineStr">
        <is>
          <t>Push June 2026 Android security patch level to all managed/BYOD devices via MDM/UEM within 7 days; flag any device failing to report patched build for conditional-access restriction</t>
        </is>
      </c>
      <c r="S14" s="84" t="inlineStr">
        <is>
          <t>Control 4</t>
        </is>
      </c>
      <c r="T14" s="83" t="inlineStr">
        <is>
          <t>Endpoint / Mobility Engineering</t>
        </is>
      </c>
      <c r="U14" s="84" t="inlineStr">
        <is>
          <t>Open</t>
        </is>
      </c>
      <c r="V14" s="84" t="inlineStr">
        <is>
          <t>2026-06-15</t>
        </is>
      </c>
      <c r="W14" s="85" t="inlineStr">
        <is>
          <t>2026-06-08</t>
        </is>
      </c>
      <c r="X14" s="85" t="inlineStr">
        <is>
          <t>Register entry only — mobile/endpoint scope did not meet full-bundle threshold (no direct AWS/IAM/CSPM/AI-platform nexus); monitor for KEV escalation</t>
        </is>
      </c>
    </row>
    <row r="15">
      <c r="A15" s="52" t="inlineStr">
        <is>
          <t>RR-011</t>
        </is>
      </c>
      <c r="B15" s="53" t="inlineStr">
        <is>
          <t>2026-06-15</t>
        </is>
      </c>
      <c r="C15" s="53" t="inlineStr">
        <is>
          <t>CISA KEV</t>
        </is>
      </c>
      <c r="D15" s="53" t="inlineStr">
        <is>
          <t>CVE-2026-35273</t>
        </is>
      </c>
      <c r="E15" s="53" t="inlineStr">
        <is>
          <t>Oracle PeopleSoft Enterprise PeopleTools (EMHub) — Missing authentication for critical function enabling unauthenticated RCE; CVSS 9.8; zero-day exploited by UNC6240 (ShinyHunters) May 27–June 9, 2026; active extortion campaign</t>
        </is>
      </c>
      <c r="F15" s="52" t="inlineStr">
        <is>
          <t>IT-OT-Threats / Financial-Services</t>
        </is>
      </c>
      <c r="G15" s="53" t="inlineStr">
        <is>
          <t>ERP Platform (HR, Finance, Student Administration)</t>
        </is>
      </c>
      <c r="H15" s="53" t="inlineStr">
        <is>
          <t>Oracle PeopleSoft PeopleTools 8.61 / 8.62</t>
        </is>
      </c>
      <c r="I15" s="53" t="inlineStr">
        <is>
          <t>NIST CSF 2.0: PR.PS-04/DE.CM-01/RS.AN-03/RS.MI-02 | NIST 800-53: SI-2/IA-2/AC-3/SI-10/IR-4/AU-6 | ISO 27001: A.8.8/A.5.15/A.8.5/A.5.26 | CIS Control 7/12/17</t>
        </is>
      </c>
      <c r="J15" s="53" t="inlineStr">
        <is>
          <t>SI-2, IA-2, AC-3, IR-4</t>
        </is>
      </c>
      <c r="K15" s="52" t="n">
        <v>5</v>
      </c>
      <c r="L15" s="52" t="n">
        <v>5</v>
      </c>
      <c r="M15" s="52" t="n">
        <v>25</v>
      </c>
      <c r="N15" s="52" t="inlineStr">
        <is>
          <t>Critical</t>
        </is>
      </c>
      <c r="O15" s="52" t="inlineStr">
        <is>
          <t>Critical</t>
        </is>
      </c>
      <c r="P15" s="53" t="inlineStr">
        <is>
          <t>Network perimeter firewall; SIEM monitoring; vulnerability scanning (signatures not available during zero-day window)</t>
        </is>
      </c>
      <c r="Q15" s="52" t="inlineStr">
        <is>
          <t>Critical (without patch); High with VPN-only access compensating control</t>
        </is>
      </c>
      <c r="R15" s="53" t="inlineStr">
        <is>
          <t>Apply Oracle emergency patch for CVE-2026-35273 to all PeopleTools 8.61/8.62 by June 22; restrict internet-facing PeopleSoft portals to VPN/internal access immediately; conduct threat hunt for UNC6240 IOCs from Mandiant June 11 report; engage IR retainer if IOCs found; assess SEC 4-day disclosure obligation if breach confirmed</t>
        </is>
      </c>
      <c r="S15" s="52" t="inlineStr">
        <is>
          <t>CIS Control 7.4 / CIS Control 17.4 / CIS Control 12.2</t>
        </is>
      </c>
      <c r="T15" s="53" t="inlineStr">
        <is>
          <t>Enterprise Application Engineering / GRC</t>
        </is>
      </c>
      <c r="U15" s="52" t="inlineStr">
        <is>
          <t>Open — Emergency</t>
        </is>
      </c>
      <c r="V15" s="52" t="inlineStr">
        <is>
          <t>2026-06-22</t>
        </is>
      </c>
      <c r="W15" s="52" t="inlineStr">
        <is>
          <t>2026-06-15</t>
        </is>
      </c>
      <c r="X15" s="53" t="inlineStr">
        <is>
          <t>CISA KEV added 2026-06-12; federal due date 2026-07-03 (BOD 26-04); zero-day exploited by ShinyHunters (UNC6240) extortion campaign; Oracle out-of-band patch available June 12; full bundle in IT-OT-Threats/2026-06-CISA-KEV-Oracle-PeopleSoft</t>
        </is>
      </c>
    </row>
    <row r="16">
      <c r="A16" s="52" t="inlineStr">
        <is>
          <t>RR-012</t>
        </is>
      </c>
      <c r="B16" s="53" t="inlineStr">
        <is>
          <t>2026-06-15</t>
        </is>
      </c>
      <c r="C16" s="53" t="inlineStr">
        <is>
          <t>MSRC</t>
        </is>
      </c>
      <c r="D16" s="53" t="inlineStr">
        <is>
          <t>CVE-2026-45657</t>
        </is>
      </c>
      <c r="E16" s="53" t="inlineStr">
        <is>
          <t>Windows Kernel use-after-free RCE — wormable; CVSS 9.8; unauthenticated network attack, no user interaction; SYSTEM-level code execution; self-propagating exploit profile comparable to EternalBlue/WannaCry (June 2026 Patch Tuesday)</t>
        </is>
      </c>
      <c r="F16" s="52" t="inlineStr">
        <is>
          <t>Cloud-Security / IT-OT-Threats</t>
        </is>
      </c>
      <c r="G16" s="53" t="inlineStr">
        <is>
          <t>Windows Endpoints / Servers / Azure IaaS VMs / AWS EC2 Windows</t>
        </is>
      </c>
      <c r="H16" s="53" t="inlineStr">
        <is>
          <t>Windows 10, Windows 11, Windows Server 2019/2022/2025 (all supported versions)</t>
        </is>
      </c>
      <c r="I16" s="53" t="inlineStr">
        <is>
          <t>NIST CSF 2.0: PR.PS-04/PR.IR-01/DE.CM-09/RC.RP-01 | NIST 800-53: SI-2/CM-6/SC-7/CP-9/RA-5 | ISO 27001: A.8.8/A.8.9/A.8.22/A.8.13 | CIS Control 7/4/11/12</t>
        </is>
      </c>
      <c r="J16" s="53" t="inlineStr">
        <is>
          <t>SI-2, CM-6, SC-7, CP-9</t>
        </is>
      </c>
      <c r="K16" s="52" t="n">
        <v>4</v>
      </c>
      <c r="L16" s="52" t="n">
        <v>5</v>
      </c>
      <c r="M16" s="52" t="n">
        <v>20</v>
      </c>
      <c r="N16" s="52" t="inlineStr">
        <is>
          <t>Critical</t>
        </is>
      </c>
      <c r="O16" s="52" t="inlineStr">
        <is>
          <t>Critical</t>
        </is>
      </c>
      <c r="P16" s="53" t="inlineStr">
        <is>
          <t>Endpoint patch management (WSUS/Intune/SSM); network segmentation (NSGs/SGs/VPC); EDR (CrowdStrike/Defender); SMB east-west blocking partially implemented</t>
        </is>
      </c>
      <c r="Q16" s="52" t="inlineStr">
        <is>
          <t>High (without full patch deployment); Low after patch complete</t>
        </is>
      </c>
      <c r="R16" s="53" t="inlineStr">
        <is>
          <t>Deploy June 2026 Windows cumulative update to ALL endpoints and servers within 72 hours (by June 18); prioritize internet-facing, DCs, and cloud VMs; block SMB (TCP 445) between network segments immediately as worm containment control; verify immutable backups exist before possible exploitation; use Azure Update Manager / AWS SSM Patch Manager for cloud VM compliance</t>
        </is>
      </c>
      <c r="S16" s="52" t="inlineStr">
        <is>
          <t>CIS Control 7.4 / CIS Control 12.2 / CIS Control 11.2</t>
        </is>
      </c>
      <c r="T16" s="53" t="inlineStr">
        <is>
          <t>Cloud Platform Engineering / Endpoint Engineering</t>
        </is>
      </c>
      <c r="U16" s="52" t="inlineStr">
        <is>
          <t>Open — Emergency</t>
        </is>
      </c>
      <c r="V16" s="52" t="inlineStr">
        <is>
          <t>2026-06-18</t>
        </is>
      </c>
      <c r="W16" s="52" t="inlineStr">
        <is>
          <t>2026-06-15</t>
        </is>
      </c>
      <c r="X16" s="53" t="inlineStr">
        <is>
          <t>No confirmed exploitation at disclosure; wormable profile = treat as imminent (ZDI EternalBlue comparison); June 2026 Patch Tuesday (198 CVEs, largest ever); full bundle in Cloud-Security/2026-06-MSRC-PatchTuesday-WormableKernel</t>
        </is>
      </c>
    </row>
    <row r="17">
      <c r="A17" s="52" t="inlineStr">
        <is>
          <t>RR-013</t>
        </is>
      </c>
      <c r="B17" s="53" t="inlineStr">
        <is>
          <t>2026-06-15</t>
        </is>
      </c>
      <c r="C17" s="53" t="inlineStr">
        <is>
          <t>MSRC</t>
        </is>
      </c>
      <c r="D17" s="53" t="inlineStr">
        <is>
          <t>CVE-2026-47291</t>
        </is>
      </c>
      <c r="E17" s="53" t="inlineStr">
        <is>
          <t>Windows HTTP Protocol Stack (HTTP.sys) integer overflow/heap overflow RCE; CVSS 9.8; unauthenticated; single malicious HTTP packet achieves full server RCE; configurable registry mitigation available (MaxRequestBytes ≤ 65534) (June 2026 Patch Tuesday)</t>
        </is>
      </c>
      <c r="F17" s="52" t="inlineStr">
        <is>
          <t>Cloud-Security / IT-OT-Threats</t>
        </is>
      </c>
      <c r="G17" s="53" t="inlineStr">
        <is>
          <t>Internet-facing Windows Web Servers / Azure IaaS IIS / Cloud-hosted Web Infrastructure</t>
        </is>
      </c>
      <c r="H17" s="53" t="inlineStr">
        <is>
          <t>Windows HTTP.sys (all IIS/HTTP.sys-exposed Windows Server versions)</t>
        </is>
      </c>
      <c r="I17" s="53" t="inlineStr">
        <is>
          <t>NIST CSF 2.0: PR.PS-04/PR.PS-02/DE.CM-09 | NIST 800-53: SI-2/CM-6/SC-5/SC-7 | ISO 27001: A.8.8/A.8.9 | CIS Control 7/4/12</t>
        </is>
      </c>
      <c r="J17" s="53" t="inlineStr">
        <is>
          <t>SI-2, CM-6, SC-7</t>
        </is>
      </c>
      <c r="K17" s="52" t="n">
        <v>4</v>
      </c>
      <c r="L17" s="52" t="n">
        <v>5</v>
      </c>
      <c r="M17" s="52" t="n">
        <v>20</v>
      </c>
      <c r="N17" s="52" t="inlineStr">
        <is>
          <t>Critical</t>
        </is>
      </c>
      <c r="O17" s="52" t="inlineStr">
        <is>
          <t>Critical</t>
        </is>
      </c>
      <c r="P17" s="53" t="inlineStr">
        <is>
          <t>WAF; NSG inbound HTTP restrictions; endpoint patch management</t>
        </is>
      </c>
      <c r="Q17" s="52" t="inlineStr">
        <is>
          <t>Medium (with MaxRequestBytes registry workaround); Low after June 2026 patch applied</t>
        </is>
      </c>
      <c r="R17" s="53" t="inlineStr">
        <is>
          <t>IMMEDIATE: Set MaxRequestBytes registry value ≤ 65534 (default 16384) on all IIS/HTTP.sys servers via GPO/SSM — eliminates exposure without reboot. Then: apply June 2026 cumulative update to all internet-facing Windows web servers by June 16. Remove registry workaround after patch confirmed installed.</t>
        </is>
      </c>
      <c r="S17" s="52" t="inlineStr">
        <is>
          <t>CIS Control 7.4 / CIS Control 4.1</t>
        </is>
      </c>
      <c r="T17" s="53" t="inlineStr">
        <is>
          <t>Cloud Platform Engineering / Windows Sysadmin</t>
        </is>
      </c>
      <c r="U17" s="52" t="inlineStr">
        <is>
          <t>Open — Emergency</t>
        </is>
      </c>
      <c r="V17" s="52" t="inlineStr">
        <is>
          <t>2026-06-16</t>
        </is>
      </c>
      <c r="W17" s="52" t="inlineStr">
        <is>
          <t>2026-06-15</t>
        </is>
      </c>
      <c r="X17" s="53" t="inlineStr">
        <is>
          <t>Registry compensating control available immediately (no reboot required); full bundle in Cloud-Security/2026-06-MSRC-PatchTuesday-WormableKernel (combined with RR-012)</t>
        </is>
      </c>
    </row>
    <row r="18">
      <c r="A18" s="52" t="inlineStr">
        <is>
          <t>RR-014</t>
        </is>
      </c>
      <c r="B18" s="53" t="inlineStr">
        <is>
          <t>2026-06-15</t>
        </is>
      </c>
      <c r="C18" s="53" t="inlineStr">
        <is>
          <t>CISA KEV</t>
        </is>
      </c>
      <c r="D18" s="53" t="inlineStr">
        <is>
          <t>CVE-2026-7473</t>
        </is>
      </c>
      <c r="E18" s="53" t="inlineStr">
        <is>
          <t>Arista Networks EOS incomplete comparison vulnerability — processes non-configured tunnel traffic, bypassing tunnel policy enforcement; CVSS 6.9; actively exploited; NO VENDOR PATCH PLANNED</t>
        </is>
      </c>
      <c r="F18" s="52" t="inlineStr">
        <is>
          <t>IT-OT-Threats</t>
        </is>
      </c>
      <c r="G18" s="53" t="inlineStr">
        <is>
          <t>Enterprise Network Infrastructure / WAN / Data Center Switching</t>
        </is>
      </c>
      <c r="H18" s="53" t="inlineStr">
        <is>
          <t>Arista EOS (all affected versions with tunnel configurations)</t>
        </is>
      </c>
      <c r="I18" s="53" t="inlineStr">
        <is>
          <t>NIST CSF 2.0: PR.IR-01/DE.CM-01/GV.RM-06 | NIST 800-53: SC-7/AC-4/SI-4/RA-3 | ISO 27001: A.8.22/A.8.16/A.8.9 | CIS Control 12/13 | IEC 62443 Zone/Conduit model</t>
        </is>
      </c>
      <c r="J18" s="53" t="inlineStr">
        <is>
          <t>SC-7, AC-4, SI-4</t>
        </is>
      </c>
      <c r="K18" s="52" t="n">
        <v>4</v>
      </c>
      <c r="L18" s="52" t="n">
        <v>4</v>
      </c>
      <c r="M18" s="52" t="n">
        <v>16</v>
      </c>
      <c r="N18" s="52" t="inlineStr">
        <is>
          <t>High</t>
        </is>
      </c>
      <c r="O18" s="52" t="inlineStr">
        <is>
          <t>High</t>
        </is>
      </c>
      <c r="P18" s="53" t="inlineStr">
        <is>
          <t>Network firewall; SIEM monitoring; existing tunnel configurations as intended (but now unreliable as security boundary)</t>
        </is>
      </c>
      <c r="Q18" s="52" t="inlineStr">
        <is>
          <t>Medium (with interface ACLs, NetFlow monitoring, and defense-in-depth inline firewall at critical boundaries)</t>
        </is>
      </c>
      <c r="R18" s="53" t="inlineStr">
        <is>
          <t>No patch available (vendor will not fix). Compensating controls: (1) Deploy explicit interface-level ACLs denying unexpected tunnel sources on all Arista EOS devices; (2) Enable NetFlow/sFlow telemetry on all affected devices with SIEM alerting for unexpected tunnel traffic; (3) For critical boundaries (OT/financial): deploy inline stateful firewall as defense-in-depth; (4) Execute formal risk acceptance with CISO/CRO sign-off by June 30.</t>
        </is>
      </c>
      <c r="S18" s="52" t="inlineStr">
        <is>
          <t>CIS Control 12.2 / CIS Control 13.6</t>
        </is>
      </c>
      <c r="T18" s="53" t="inlineStr">
        <is>
          <t>Network Engineering / GRC</t>
        </is>
      </c>
      <c r="U18" s="52" t="inlineStr">
        <is>
          <t>Open — Compensating Controls / Risk Acceptance</t>
        </is>
      </c>
      <c r="V18" s="52" t="inlineStr">
        <is>
          <t>2026-06-30</t>
        </is>
      </c>
      <c r="W18" s="52" t="inlineStr">
        <is>
          <t>2026-06-15</t>
        </is>
      </c>
      <c r="X18" s="53" t="inlineStr">
        <is>
          <t>CISA KEV added 2026-06-09; BOD 26-04 due date June 30; Arista confirmed no patch planned; permanent unpatched state requires formal risk acceptance; IEC 62443 zone integrity implications for OT environments; full bundle in IT-OT-Threats/2026-06-CISA-KEV-Arista-EOS</t>
        </is>
      </c>
    </row>
    <row r="19">
      <c r="A19" s="52" t="inlineStr">
        <is>
          <t>RR-015</t>
        </is>
      </c>
      <c r="B19" s="53" t="inlineStr">
        <is>
          <t>2026-06-15</t>
        </is>
      </c>
      <c r="C19" s="53" t="inlineStr">
        <is>
          <t>CISA KEV</t>
        </is>
      </c>
      <c r="D19" s="53" t="inlineStr">
        <is>
          <t>CVE-2026-11645</t>
        </is>
      </c>
      <c r="E19" s="53" t="inlineStr">
        <is>
          <t>Google Chromium V8 out-of-bounds read/write enabling sandbox escape and arbitrary code execution via crafted HTML page; CVSS 8.8; actively exploited via phishing/malvertising; also affects all Electron-based enterprise desktop apps (VS Code, Slack, etc.)</t>
        </is>
      </c>
      <c r="F19" s="52" t="inlineStr">
        <is>
          <t>IT-OT-Threats</t>
        </is>
      </c>
      <c r="G19" s="53" t="inlineStr">
        <is>
          <t>Enterprise Endpoints / User Workstations / Cloud Console Users</t>
        </is>
      </c>
      <c r="H19" s="53" t="inlineStr">
        <is>
          <t>Google Chrome, Microsoft Edge (Chromium), all Electron-based enterprise applications</t>
        </is>
      </c>
      <c r="I19" s="53" t="inlineStr">
        <is>
          <t>NIST CSF 2.0: PR.PS-04/DE.CM-04/PR.AT-01 | NIST 800-53: SI-2/SI-3/SC-18/AT-2 | ISO 27001: A.8.8/A.8.7/A.6.3/A.8.23 | CIS Control 7/9/14</t>
        </is>
      </c>
      <c r="J19" s="53" t="inlineStr">
        <is>
          <t>SI-2, SI-3, SC-18</t>
        </is>
      </c>
      <c r="K19" s="52" t="n">
        <v>5</v>
      </c>
      <c r="L19" s="52" t="n">
        <v>4</v>
      </c>
      <c r="M19" s="52" t="n">
        <v>20</v>
      </c>
      <c r="N19" s="52" t="inlineStr">
        <is>
          <t>Critical</t>
        </is>
      </c>
      <c r="O19" s="52" t="inlineStr">
        <is>
          <t>Critical</t>
        </is>
      </c>
      <c r="P19" s="53" t="inlineStr">
        <is>
          <t>Chrome auto-update (if not blocked); MDM/Intune browser policy; web content filtering; EDR endpoint protection; email security (DMARC/DKIM)</t>
        </is>
      </c>
      <c r="Q19" s="52" t="inlineStr">
        <is>
          <t>Medium (Chrome/Edge patched); pending Electron app inventory and vendor patch assessment</t>
        </is>
      </c>
      <c r="R19" s="53" t="inlineStr">
        <is>
          <t>Force Chrome and Edge update to latest stable via MDM/Intune — verify 100% compliance. Inventory all Electron-based enterprise apps and track embedded Chromium version for each. Push available Electron app updates; restrict unpatched Electron apps pending vendor fix. Update web filtering threat intel feeds. Send security awareness communication re: phishing/malvertising campaign.</t>
        </is>
      </c>
      <c r="S19" s="52" t="inlineStr">
        <is>
          <t>CIS Control 7.4 / CIS Control 9.2 / CIS Control 14.1</t>
        </is>
      </c>
      <c r="T19" s="53" t="inlineStr">
        <is>
          <t>Endpoint Engineering / SOC</t>
        </is>
      </c>
      <c r="U19" s="52" t="inlineStr">
        <is>
          <t>Open — Emergency</t>
        </is>
      </c>
      <c r="V19" s="52" t="inlineStr">
        <is>
          <t>2026-06-18</t>
        </is>
      </c>
      <c r="W19" s="52" t="inlineStr">
        <is>
          <t>2026-06-15</t>
        </is>
      </c>
      <c r="X19" s="53" t="inlineStr">
        <is>
          <t>CISA KEV added 2026-06-09; BOD 26-04 due date June 30; key risk: Electron app coverage gap — Chrome auto-update alone insufficient; exploit is silent (no user prompt); session theft from cloud console workers is highest-probability impact; full bundle in IT-OT-Threats/2026-06-CISA-KEV-Chrome-V8</t>
        </is>
      </c>
    </row>
    <row r="20">
      <c r="A20" s="52" t="inlineStr">
        <is>
          <t>RR-016</t>
        </is>
      </c>
      <c r="B20" s="53" t="inlineStr">
        <is>
          <t>2026-06-15</t>
        </is>
      </c>
      <c r="C20" s="53" t="inlineStr">
        <is>
          <t>CISA KEV</t>
        </is>
      </c>
      <c r="D20" s="53" t="inlineStr">
        <is>
          <t>CVE-2026-20245</t>
        </is>
      </c>
      <c r="E20" s="53" t="inlineStr">
        <is>
          <t>Cisco Catalyst SD-WAN Manager (vManage) authenticated local OS command injection enabling arbitrary command execution as root via crafted file; CVSS 7.8; actively exploited; root on SD-WAN Manager = control of entire enterprise WAN fabric</t>
        </is>
      </c>
      <c r="F20" s="52" t="inlineStr">
        <is>
          <t>IT-OT-Threats</t>
        </is>
      </c>
      <c r="G20" s="53" t="inlineStr">
        <is>
          <t>Enterprise WAN Infrastructure / Network Management Plane</t>
        </is>
      </c>
      <c r="H20" s="53" t="inlineStr">
        <is>
          <t>Cisco Catalyst SD-WAN Manager (vManage)</t>
        </is>
      </c>
      <c r="I20" s="53" t="inlineStr">
        <is>
          <t>NIST CSF 2.0: PR.AA-05/PR.PS-04/DE.CM-03 | NIST 800-53: SI-2/AC-6/AC-2/CM-3/AU-9 | ISO 27001: A.8.8/A.5.15/A.8.22/A.8.32 | CIS Control 5/7/8/12</t>
        </is>
      </c>
      <c r="J20" s="53" t="inlineStr">
        <is>
          <t>SI-2, AC-6, AC-2, CM-3</t>
        </is>
      </c>
      <c r="K20" s="52" t="n">
        <v>4</v>
      </c>
      <c r="L20" s="52" t="n">
        <v>5</v>
      </c>
      <c r="M20" s="52" t="n">
        <v>20</v>
      </c>
      <c r="N20" s="52" t="inlineStr">
        <is>
          <t>Critical</t>
        </is>
      </c>
      <c r="O20" s="52" t="inlineStr">
        <is>
          <t>Critical</t>
        </is>
      </c>
      <c r="P20" s="53" t="inlineStr">
        <is>
          <t>RBAC on vManage; network-level restriction (variable); audit logging; MFA (variable by org)</t>
        </is>
      </c>
      <c r="Q20" s="52" t="inlineStr">
        <is>
          <t>High until patched; Medium with MFA + management-segment restriction + audit alerting</t>
        </is>
      </c>
      <c r="R20" s="53" t="inlineStr">
        <is>
          <t>Apply Cisco security patch for CVE-2026-20245 immediately (target June 18). Simultaneously: audit all vManage accounts — remove inactive/shared accounts; enforce MFA on all admin accounts; restrict vManage to dedicated management network segment (no direct internet access); forward vManage audit logs to SIEM with alert on policy changes and file uploads; review logs from June 1–15 for exploitation indicators.</t>
        </is>
      </c>
      <c r="S20" s="52" t="inlineStr">
        <is>
          <t>CIS Control 5.4 / CIS Control 7.4 / CIS Control 8.2</t>
        </is>
      </c>
      <c r="T20" s="53" t="inlineStr">
        <is>
          <t>Network Engineering / IAM</t>
        </is>
      </c>
      <c r="U20" s="52" t="inlineStr">
        <is>
          <t>Open — Emergency</t>
        </is>
      </c>
      <c r="V20" s="52" t="inlineStr">
        <is>
          <t>2026-06-30</t>
        </is>
      </c>
      <c r="W20" s="52" t="inlineStr">
        <is>
          <t>2026-06-15</t>
        </is>
      </c>
      <c r="X20" s="53" t="inlineStr">
        <is>
          <t>CISA KEV added 2026-06-09; BOD 26-04 due date June 30; authentication prerequisite (insider/compromised account); root on vManage = WAN-wide control; complementary PAM hardening critical; full bundle in IT-OT-Threats/2026-06-CISA-KEV-Cisco-SDWAN</t>
        </is>
      </c>
    </row>
    <row r="21">
      <c r="A21" s="52" t="inlineStr">
        <is>
          <t>RR-017</t>
        </is>
      </c>
      <c r="B21" s="53" t="inlineStr">
        <is>
          <t>2026-06-22</t>
        </is>
      </c>
      <c r="C21" s="53" t="inlineStr">
        <is>
          <t>CISA KEV</t>
        </is>
      </c>
      <c r="D21" s="53" t="inlineStr">
        <is>
          <t>CVE-2026-20262</t>
        </is>
      </c>
      <c r="E21" s="53" t="inlineStr">
        <is>
          <t>Cisco Catalyst SD-WAN Manager (vManage) path traversal vulnerability allowing unauthenticated attacker to read/overwrite arbitrary files; CVSS 6.5; new vendor patch released this week; KEV-added 2026-06-15; distinct from CVE-2026-20245 (RR-016) — same product, different flaw</t>
        </is>
      </c>
      <c r="F21" s="52" t="inlineStr">
        <is>
          <t>IT-OT-Threats</t>
        </is>
      </c>
      <c r="G21" s="53" t="inlineStr">
        <is>
          <t>Enterprise WAN Infrastructure / Network Management Plane</t>
        </is>
      </c>
      <c r="H21" s="53" t="inlineStr">
        <is>
          <t>Cisco Catalyst SD-WAN Manager (vManage)</t>
        </is>
      </c>
      <c r="I21" s="53" t="inlineStr">
        <is>
          <t>NIST CSF 2.0: PR.PS-04/PR.DS-01/DE.CM-03 | NIST 800-53: SI-2/AC-3/SC-28 | ISO 27001: A.8.8/A.8.24 | CIS Control 7/12</t>
        </is>
      </c>
      <c r="J21" s="53" t="inlineStr">
        <is>
          <t>SI-2, AC-3, SC-28</t>
        </is>
      </c>
      <c r="K21" s="52" t="n">
        <v>4</v>
      </c>
      <c r="L21" s="52" t="n">
        <v>4</v>
      </c>
      <c r="M21" s="52" t="n">
        <v>16</v>
      </c>
      <c r="N21" s="52" t="inlineStr">
        <is>
          <t>High</t>
        </is>
      </c>
      <c r="O21" s="52" t="inlineStr">
        <is>
          <t>High</t>
        </is>
      </c>
      <c r="P21" s="53" t="inlineStr">
        <is>
          <t>Network-level restriction (variable); audit logging</t>
        </is>
      </c>
      <c r="Q21" s="52" t="inlineStr">
        <is>
          <t>Medium until patched; Low-Medium with management-segment restriction</t>
        </is>
      </c>
      <c r="R21" s="53" t="inlineStr">
        <is>
          <t>Apply Cisco patch for CVE-2026-20262 immediately (due 2026-06-29). Restrict vManage management interface to dedicated segment; review file-access logs for path traversal indicators.</t>
        </is>
      </c>
      <c r="S21" s="52" t="inlineStr">
        <is>
          <t>CIS Control 7.4 / CIS Control 12.2</t>
        </is>
      </c>
      <c r="T21" s="53" t="inlineStr">
        <is>
          <t>Network Engineering / IAM</t>
        </is>
      </c>
      <c r="U21" s="52" t="inlineStr">
        <is>
          <t>Open — Emergency</t>
        </is>
      </c>
      <c r="V21" s="52" t="inlineStr">
        <is>
          <t>2026-06-29</t>
        </is>
      </c>
      <c r="W21" s="52" t="inlineStr">
        <is>
          <t>2026-06-22</t>
        </is>
      </c>
      <c r="X21" s="53" t="inlineStr">
        <is>
          <t>ESCALATE/UPDATE relative to RR-016 (CVE-2026-20245) — new, distinct KEV entry on same product family, not a revision; full bundle in IT-OT-Threats/2026-06-CISA-KEV-Cisco-SDWAN-UPDATE</t>
        </is>
      </c>
    </row>
    <row r="22">
      <c r="A22" s="52" t="inlineStr">
        <is>
          <t>RR-018</t>
        </is>
      </c>
      <c r="B22" s="53" t="inlineStr">
        <is>
          <t>2026-06-22</t>
        </is>
      </c>
      <c r="C22" s="53" t="inlineStr">
        <is>
          <t>CISA KEV</t>
        </is>
      </c>
      <c r="D22" s="53" t="inlineStr">
        <is>
          <t>CVE-2026-54420</t>
        </is>
      </c>
      <c r="E22" s="53" t="inlineStr">
        <is>
          <t>LiteSpeed cPanel Plugin UNIX symlink-following vulnerability enabling privilege escalation to root on shared hosting; defeats CloudLinux/CageFS tenant isolation; CVSS 8.5; actively exploited; federal due date already passed</t>
        </is>
      </c>
      <c r="F22" s="52" t="inlineStr">
        <is>
          <t>IT-OT-Threats</t>
        </is>
      </c>
      <c r="G22" s="53" t="inlineStr">
        <is>
          <t>Shared/Multi-Tenant Web Hosting Infrastructure</t>
        </is>
      </c>
      <c r="H22" s="53" t="inlineStr">
        <is>
          <t>LiteSpeed WHM Plugin &lt; 5.3.2.0 / cPanel plugin &lt; 2.4.8</t>
        </is>
      </c>
      <c r="I22" s="53" t="inlineStr">
        <is>
          <t>NIST CSF 2.0: PR.PS-04/DE.CM-09/PR.AA-05 | NIST 800-53: SI-2/CM-6/AC-6 | ISO 27001: A.8.8/A.8.9 | CIS Control 7/4</t>
        </is>
      </c>
      <c r="J22" s="53" t="inlineStr">
        <is>
          <t>SI-2, CM-6, AC-6</t>
        </is>
      </c>
      <c r="K22" s="52" t="n">
        <v>5</v>
      </c>
      <c r="L22" s="52" t="n">
        <v>5</v>
      </c>
      <c r="M22" s="52" t="n">
        <v>25</v>
      </c>
      <c r="N22" s="52" t="inlineStr">
        <is>
          <t>Critical</t>
        </is>
      </c>
      <c r="O22" s="52" t="inlineStr">
        <is>
          <t>Critical</t>
        </is>
      </c>
      <c r="P22" s="53" t="inlineStr">
        <is>
          <t>CloudLinux/CageFS tenant isolation (defeated by this vulnerability — no effective compensating control)</t>
        </is>
      </c>
      <c r="Q22" s="52" t="inlineStr">
        <is>
          <t>Critical (no effective compensating control short of patching)</t>
        </is>
      </c>
      <c r="R22" s="53" t="inlineStr">
        <is>
          <t>Upgrade to LiteSpeed WHM Plugin v5.3.2.1 / cPanel plugin v2.4.8+ immediately on all shared hosting servers. Review logs for symlink-creation anomalies predating patch. Federal due date (2026-06-18) has passed — overdue.</t>
        </is>
      </c>
      <c r="S22" s="52" t="inlineStr">
        <is>
          <t>CIS Control 7.4 / CIS Control 4</t>
        </is>
      </c>
      <c r="T22" s="53" t="inlineStr">
        <is>
          <t>Hosting Operations / Security Operations</t>
        </is>
      </c>
      <c r="U22" s="52" t="inlineStr">
        <is>
          <t>Open — Emergency / Overdue</t>
        </is>
      </c>
      <c r="V22" s="52" t="inlineStr">
        <is>
          <t>2026-06-18</t>
        </is>
      </c>
      <c r="W22" s="52" t="inlineStr">
        <is>
          <t>2026-06-22</t>
        </is>
      </c>
      <c r="X22" s="53" t="inlineStr">
        <is>
          <t>KEV-added 2026-06-15; BOD 26-04 due date already passed as of this run; full bundle in IT-OT-Threats/2026-06-CISA-KEV-LiteSpeed-cPanel</t>
        </is>
      </c>
    </row>
    <row r="23">
      <c r="A23" s="52" t="inlineStr">
        <is>
          <t>RR-019</t>
        </is>
      </c>
      <c r="B23" s="53" t="inlineStr">
        <is>
          <t>2026-06-22</t>
        </is>
      </c>
      <c r="C23" s="53" t="inlineStr">
        <is>
          <t>CISA KEV</t>
        </is>
      </c>
      <c r="D23" s="53" t="inlineStr">
        <is>
          <t>CVE-2026-48907</t>
        </is>
      </c>
      <c r="E23" s="53" t="inlineStr">
        <is>
          <t>Joomla! JCE Editor plugin unrestricted file upload vulnerability enabling unauthenticated/low-privilege remote code execution via web shell upload; CVSS 9.8; actively exploited</t>
        </is>
      </c>
      <c r="F23" s="52" t="inlineStr">
        <is>
          <t>IT-OT-Threats</t>
        </is>
      </c>
      <c r="G23" s="53" t="inlineStr">
        <is>
          <t>Public-Facing CMS Web Applications</t>
        </is>
      </c>
      <c r="H23" s="53" t="inlineStr">
        <is>
          <t>Joomla! JCE Editor plugin (pre-patch versions)</t>
        </is>
      </c>
      <c r="I23" s="53" t="inlineStr">
        <is>
          <t>NIST CSF 2.0: PR.PS-04/DE.CM-09/PR.IR-01 | NIST 800-53: SI-2/SI-3/SC-7 | ISO 27001: A.8.8/A.8.28 | CIS Control 7/16</t>
        </is>
      </c>
      <c r="J23" s="53" t="inlineStr">
        <is>
          <t>SI-2, SI-3, SC-7</t>
        </is>
      </c>
      <c r="K23" s="52" t="n">
        <v>5</v>
      </c>
      <c r="L23" s="52" t="n">
        <v>4</v>
      </c>
      <c r="M23" s="52" t="n">
        <v>20</v>
      </c>
      <c r="N23" s="52" t="inlineStr">
        <is>
          <t>Critical</t>
        </is>
      </c>
      <c r="O23" s="52" t="inlineStr">
        <is>
          <t>Critical</t>
        </is>
      </c>
      <c r="P23" s="53" t="inlineStr">
        <is>
          <t>WAF (variable); CMS plugin inventory (often absent)</t>
        </is>
      </c>
      <c r="Q23" s="52" t="inlineStr">
        <is>
          <t>High until patched; Medium with WAF rules on upload endpoint</t>
        </is>
      </c>
      <c r="R23" s="53" t="inlineStr">
        <is>
          <t>Upgrade JCE plugin to vendor-patched version on all Joomla! sites. Scan web roots for unauthorized files/web shells. Deploy WAF rules on upload endpoint as interim mitigation. Due 2026-07-07.</t>
        </is>
      </c>
      <c r="S23" s="52" t="inlineStr">
        <is>
          <t>CIS Control 7 / CIS Control 16</t>
        </is>
      </c>
      <c r="T23" s="53" t="inlineStr">
        <is>
          <t>Web/IT Operations / Security Operations</t>
        </is>
      </c>
      <c r="U23" s="52" t="inlineStr">
        <is>
          <t>Open — Emergency</t>
        </is>
      </c>
      <c r="V23" s="52" t="inlineStr">
        <is>
          <t>2026-07-07</t>
        </is>
      </c>
      <c r="W23" s="52" t="inlineStr">
        <is>
          <t>2026-06-22</t>
        </is>
      </c>
      <c r="X23" s="53" t="inlineStr">
        <is>
          <t>KEV-added 2026-06-16; BOD 26-04 due date 2026-07-07; full bundle in IT-OT-Threats/2026-06-CISA-KEV-Joomla-JCE</t>
        </is>
      </c>
    </row>
    <row r="24">
      <c r="A24" s="52" t="inlineStr">
        <is>
          <t>RR-020</t>
        </is>
      </c>
      <c r="B24" s="53" t="inlineStr">
        <is>
          <t>2026-06-22</t>
        </is>
      </c>
      <c r="C24" s="53" t="inlineStr">
        <is>
          <t>CISA ICS Advisory</t>
        </is>
      </c>
      <c r="D24" s="53" t="inlineStr">
        <is>
          <t>CVE-2025-13036; CVE-2025-44019; CVE-2025-36539</t>
        </is>
      </c>
      <c r="E24" s="53" t="inlineStr">
        <is>
          <t>Rockwell Automation FactoryTalk Historian SE — chained vulnerabilities: insecure deserialization enabling RCE (CVSS 9.8), hardcoded credentials (CVSS 8.4), improper access control (CVSS 7.5); not yet KEV-listed, no confirmed active exploitation</t>
        </is>
      </c>
      <c r="F24" s="52" t="inlineStr">
        <is>
          <t>IT-OT-Threats</t>
        </is>
      </c>
      <c r="G24" s="53" t="inlineStr">
        <is>
          <t>OT/ICS Data Historian Infrastructure (IT/OT Boundary)</t>
        </is>
      </c>
      <c r="H24" s="53" t="inlineStr">
        <is>
          <t>Rockwell Automation FactoryTalk Historian SE</t>
        </is>
      </c>
      <c r="I24" s="53" t="inlineStr">
        <is>
          <t>NIST CSF 2.0: PR.PS-04/PR.AA-01/DE.CM-09 | NIST 800-53: SI-2/IA-5/AC-3 | IEC 62443: SR 1.1/SR 3.1/SR 7.6 | ISO 27001: A.8.8/A.8.5</t>
        </is>
      </c>
      <c r="J24" s="53" t="inlineStr">
        <is>
          <t>SI-2, IA-5, AC-3</t>
        </is>
      </c>
      <c r="K24" s="52" t="n">
        <v>3</v>
      </c>
      <c r="L24" s="52" t="n">
        <v>5</v>
      </c>
      <c r="M24" s="52" t="n">
        <v>15</v>
      </c>
      <c r="N24" s="52" t="inlineStr">
        <is>
          <t>High</t>
        </is>
      </c>
      <c r="O24" s="52" t="inlineStr">
        <is>
          <t>High</t>
        </is>
      </c>
      <c r="P24" s="53" t="inlineStr">
        <is>
          <t>IT/OT network segmentation (effectiveness unverified)</t>
        </is>
      </c>
      <c r="Q24" s="52" t="inlineStr">
        <is>
          <t>Medium-High pending segmentation verification and patch</t>
        </is>
      </c>
      <c r="R24" s="53" t="inlineStr">
        <is>
          <t>Apply Rockwell vendor patches for all three CVEs. Rotate hardcoded/default credentials. Verify IT/OT network segmentation around historian servers. Target 2026-07-06.</t>
        </is>
      </c>
      <c r="S24" s="52" t="inlineStr">
        <is>
          <t>N/A (ICS/IEC 62443 context)</t>
        </is>
      </c>
      <c r="T24" s="53" t="inlineStr">
        <is>
          <t>OT/ICS Engineering / Security Architecture</t>
        </is>
      </c>
      <c r="U24" s="52" t="inlineStr">
        <is>
          <t>Open</t>
        </is>
      </c>
      <c r="V24" s="52" t="inlineStr">
        <is>
          <t>2026-07-06</t>
        </is>
      </c>
      <c r="W24" s="52" t="inlineStr">
        <is>
          <t>2026-06-22</t>
        </is>
      </c>
      <c r="X24" s="53" t="inlineStr">
        <is>
          <t>CISA Advisory ICSA-26-167-02 published 2026-06-16; not yet KEV-listed; full bundle in IT-OT-Threats/2026-06-CISA-Advisory-Rockwell-FactoryTalkHistorian</t>
        </is>
      </c>
    </row>
    <row r="25">
      <c r="A25" s="52" t="inlineStr">
        <is>
          <t>RR-021</t>
        </is>
      </c>
      <c r="B25" s="53" t="inlineStr">
        <is>
          <t>2026-06-22</t>
        </is>
      </c>
      <c r="C25" s="53" t="inlineStr">
        <is>
          <t>CISA ICS Advisory</t>
        </is>
      </c>
      <c r="D25" s="53" t="inlineStr">
        <is>
          <t>ICSA-26-167-04</t>
        </is>
      </c>
      <c r="E25" s="53" t="inlineStr">
        <is>
          <t>Rockwell Automation CompactLogix denial-of-service vulnerability; CVSS 6.3 (Medium); DoS-only impact; vendor fix available; below full-bundle threshold per program precedent (consistent with RR-010 treatment)</t>
        </is>
      </c>
      <c r="F25" s="52" t="inlineStr">
        <is>
          <t>IT-OT-Threats</t>
        </is>
      </c>
      <c r="G25" s="53" t="inlineStr">
        <is>
          <t>OT/ICS Programmable Logic Controllers</t>
        </is>
      </c>
      <c r="H25" s="53" t="inlineStr">
        <is>
          <t>Rockwell Automation CompactLogix PLC family</t>
        </is>
      </c>
      <c r="I25" s="53" t="inlineStr">
        <is>
          <t>NIST CSF 2.0: PR.PS-04/DE.AE-02 | NIST 800-53: SI-2 | IEC 62443: SR 7.1</t>
        </is>
      </c>
      <c r="J25" s="53" t="inlineStr">
        <is>
          <t>SI-2</t>
        </is>
      </c>
      <c r="K25" s="52" t="n">
        <v>2</v>
      </c>
      <c r="L25" s="52" t="n">
        <v>3</v>
      </c>
      <c r="M25" s="52" t="n">
        <v>6</v>
      </c>
      <c r="N25" s="52" t="inlineStr">
        <is>
          <t>Medium</t>
        </is>
      </c>
      <c r="O25" s="52" t="inlineStr">
        <is>
          <t>Medium</t>
        </is>
      </c>
      <c r="P25" s="53" t="inlineStr">
        <is>
          <t>Standard OT patch cycle; network segmentation</t>
        </is>
      </c>
      <c r="Q25" s="52" t="inlineStr">
        <is>
          <t>Low-Medium with timely patching</t>
        </is>
      </c>
      <c r="R25" s="53" t="inlineStr">
        <is>
          <t>Apply Rockwell vendor fix for CompactLogix DoS vulnerability during next standard OT patch cycle.</t>
        </is>
      </c>
      <c r="S25" s="52" t="inlineStr">
        <is>
          <t>N/A (ICS context)</t>
        </is>
      </c>
      <c r="T25" s="53" t="inlineStr">
        <is>
          <t>OT/ICS Engineering</t>
        </is>
      </c>
      <c r="U25" s="52" t="inlineStr">
        <is>
          <t>Open — Standard Cycle</t>
        </is>
      </c>
      <c r="V25" s="52" t="inlineStr">
        <is>
          <t>2026-07-31</t>
        </is>
      </c>
      <c r="W25" s="52" t="inlineStr">
        <is>
          <t>2026-06-22</t>
        </is>
      </c>
      <c r="X25" s="53" t="inlineStr">
        <is>
          <t>Register-entry only — no full case-study bundle built; DoS-only impact, vendor fix available, below program full-bundle threshold (precedent: RR-010)</t>
        </is>
      </c>
    </row>
    <row r="26">
      <c r="A26" s="52" t="inlineStr">
        <is>
          <t>RR-022</t>
        </is>
      </c>
      <c r="B26" s="53" t="inlineStr">
        <is>
          <t>2026-06-22</t>
        </is>
      </c>
      <c r="C26" s="53" t="inlineStr">
        <is>
          <t>Obsidian Security / CISA KEV</t>
        </is>
      </c>
      <c r="D26" s="53" t="inlineStr">
        <is>
          <t>CVE-2026-42271; CVE-2026-47101; CVE-2026-47102; CVE-2026-40217</t>
        </is>
      </c>
      <c r="E26" s="53" t="inlineStr">
        <is>
          <t>LiteLLM AI Gateway/Proxy — authentication bypass (CVSS 9.1) plus related SSRF/privilege escalation/info disclosure vulnerabilities; actively exploited; gateway sits between applications and upstream LLM providers, risking credential exposure</t>
        </is>
      </c>
      <c r="F26" s="52" t="inlineStr">
        <is>
          <t>AI-Governance / Cloud-Security (dual-category)</t>
        </is>
      </c>
      <c r="G26" s="53" t="inlineStr">
        <is>
          <t>AI/LLM Infrastructure — Model Gateway/Proxy</t>
        </is>
      </c>
      <c r="H26" s="53" t="inlineStr">
        <is>
          <t>LiteLLM open-source AI gateway</t>
        </is>
      </c>
      <c r="I26" s="53" t="inlineStr">
        <is>
          <t>NIST AI RMF: GOVERN 1.1/MANAGE 2.3/MAP 4.1 | ISO/IEC 42001: Clause 8.1/6.1 | NIST CSF 2.0: PR.AA-01/DE.CM-09 | NIST 800-53: SI-2/IA-2/SC-7 | EU AI Act: Article 9</t>
        </is>
      </c>
      <c r="J26" s="53" t="inlineStr">
        <is>
          <t>SI-2, IA-2, SC-7</t>
        </is>
      </c>
      <c r="K26" s="52" t="n">
        <v>5</v>
      </c>
      <c r="L26" s="52" t="n">
        <v>5</v>
      </c>
      <c r="M26" s="52" t="n">
        <v>25</v>
      </c>
      <c r="N26" s="52" t="inlineStr">
        <is>
          <t>Critical</t>
        </is>
      </c>
      <c r="O26" s="52" t="inlineStr">
        <is>
          <t>Critical</t>
        </is>
      </c>
      <c r="P26" s="53" t="inlineStr">
        <is>
          <t>Standard application authentication (bypassed by this vulnerability)</t>
        </is>
      </c>
      <c r="Q26" s="52" t="inlineStr">
        <is>
          <t>High until patched; reduced with credential rotation and egress restriction</t>
        </is>
      </c>
      <c r="R26" s="53" t="inlineStr">
        <is>
          <t>Upgrade LiteLLM to patched release immediately. Rotate all AI provider API keys/credentials proxied through the gateway. Restrict gateway network egress. Review access and billing logs for anomalies since 2026-06-11.</t>
        </is>
      </c>
      <c r="S26" s="52" t="inlineStr">
        <is>
          <t>N/A (AI governance context)</t>
        </is>
      </c>
      <c r="T26" s="53" t="inlineStr">
        <is>
          <t>AI/Platform Engineering / Security Operations</t>
        </is>
      </c>
      <c r="U26" s="52" t="inlineStr">
        <is>
          <t>Open — Emergency</t>
        </is>
      </c>
      <c r="V26" s="52" t="inlineStr">
        <is>
          <t>2026-06-25</t>
        </is>
      </c>
      <c r="W26" s="52" t="inlineStr">
        <is>
          <t>2026-06-22</t>
        </is>
      </c>
      <c r="X26" s="53" t="inlineStr">
        <is>
          <t>Disclosed 2026-06-11 (Obsidian Security); related CVEs KEV-added week of 2026-06-15; included per program priority on AI/LLM platform risk despite disclosure falling just before strict 7-day window — documented judgment call; dual-category bundle duplicated in AI-Governance and Cloud-Security</t>
        </is>
      </c>
    </row>
    <row r="27">
      <c r="A27" s="52" t="inlineStr">
        <is>
          <t>RR-023</t>
        </is>
      </c>
      <c r="B27" s="53" t="inlineStr">
        <is>
          <t>2026-06-29</t>
        </is>
      </c>
      <c r="C27" s="53" t="inlineStr">
        <is>
          <t>CISA KEV</t>
        </is>
      </c>
      <c r="D27" s="53" t="inlineStr">
        <is>
          <t>CVE-2025-67038</t>
        </is>
      </c>
      <c r="E27" s="53" t="inlineStr">
        <is>
          <t>Lantronix EDS5000 series (EDS5008/5016/5032) HTTP RPC module OS command injection via unsanitized username field; CVSS 9.8; root-level RCE; KEV added 2026-06-23; CISA 3-day emergency mandate (BOD 26-04)</t>
        </is>
      </c>
      <c r="F27" s="52" t="inlineStr">
        <is>
          <t>IT-OT-Threats</t>
        </is>
      </c>
      <c r="G27" s="53" t="inlineStr">
        <is>
          <t>OT/ICS Remote Device Server Infrastructure</t>
        </is>
      </c>
      <c r="H27" s="53" t="inlineStr">
        <is>
          <t>Lantronix EDS5000 series (EDS5008/EDS5016/EDS5032)</t>
        </is>
      </c>
      <c r="I27" s="53" t="inlineStr">
        <is>
          <t>NIST CSF 2.0: PR.PS-04/DE.CM-09 | NIST 800-53: SI-2/SI-10/AC-3 | ISO 27001: A.8.8 | CIS Controls v8: 4,7 | IEC 62443: SR 3.1/SR 7.6</t>
        </is>
      </c>
      <c r="J27" s="53" t="inlineStr">
        <is>
          <t>SI-2, SI-10, AC-3</t>
        </is>
      </c>
      <c r="K27" s="52" t="n">
        <v>5</v>
      </c>
      <c r="L27" s="52" t="n">
        <v>5</v>
      </c>
      <c r="M27" s="52" t="n">
        <v>25</v>
      </c>
      <c r="N27" s="52" t="inlineStr">
        <is>
          <t>Critical</t>
        </is>
      </c>
      <c r="O27" s="52" t="inlineStr">
        <is>
          <t>Critical</t>
        </is>
      </c>
      <c r="P27" s="53" t="inlineStr">
        <is>
          <t>Standard network perimeter controls (insufficient against unauthenticated RCE)</t>
        </is>
      </c>
      <c r="Q27" s="52" t="inlineStr">
        <is>
          <t>Critical until patched; High with network isolation pending patch</t>
        </is>
      </c>
      <c r="R27" s="53" t="inlineStr">
        <is>
          <t>Apply Lantronix firmware 2.2.0.0R1 immediately to all EDS5000 series devices. Restrict HTTP RPC module access to management network only pending patch.</t>
        </is>
      </c>
      <c r="S27" s="52" t="inlineStr">
        <is>
          <t>Control 4, 7</t>
        </is>
      </c>
      <c r="T27" s="53" t="inlineStr">
        <is>
          <t>OT/ICS Engineering</t>
        </is>
      </c>
      <c r="U27" s="52" t="inlineStr">
        <is>
          <t>Open — Emergency</t>
        </is>
      </c>
      <c r="V27" s="52" t="inlineStr">
        <is>
          <t>2026-06-26</t>
        </is>
      </c>
      <c r="W27" s="52" t="inlineStr">
        <is>
          <t>2026-06-29</t>
        </is>
      </c>
      <c r="X27" s="53" t="inlineStr">
        <is>
          <t>3-day CISA emergency mandate (BOD 26-04); full bundle in IT-OT-Threats/2026-06-CISA-KEV-Lantronix-EDS5000</t>
        </is>
      </c>
    </row>
    <row r="28">
      <c r="A28" s="52" t="inlineStr">
        <is>
          <t>RR-024</t>
        </is>
      </c>
      <c r="B28" s="53" t="inlineStr">
        <is>
          <t>2026-06-29</t>
        </is>
      </c>
      <c r="C28" s="53" t="inlineStr">
        <is>
          <t>CISA KEV</t>
        </is>
      </c>
      <c r="D28" s="53" t="inlineStr">
        <is>
          <t>CVE-2026-34908; CVE-2026-34909; CVE-2026-34910</t>
        </is>
      </c>
      <c r="E28" s="53" t="inlineStr">
        <is>
          <t>Ubiquiti UniFi OS chained vulnerabilities — improper access control, path traversal, command injection; CVSS 10.0 each; unauthenticated full device takeover; confirmed active exploitation via Mirai/Gafgyt botnet campaign; KEV added 2026-06-23</t>
        </is>
      </c>
      <c r="F28" s="52" t="inlineStr">
        <is>
          <t>IT-OT-Threats</t>
        </is>
      </c>
      <c r="G28" s="53" t="inlineStr">
        <is>
          <t>Network Infrastructure / Physical Security Systems</t>
        </is>
      </c>
      <c r="H28" s="53" t="inlineStr">
        <is>
          <t>UniFi OS-powered devices (Cloud Gateways, Network Controllers, Protect NVRs, Access Hubs, Talk)</t>
        </is>
      </c>
      <c r="I28" s="53" t="inlineStr">
        <is>
          <t>NIST CSF 2.0: PR.AA-05/PR.PS-04/DE.CM-01 | NIST 800-53: AC-3/SI-2/SI-10/SC-7 | ISO 27001: A.8.8/A.8.9/A.8.16 | CIS Controls v8: 4,7,13</t>
        </is>
      </c>
      <c r="J28" s="53" t="inlineStr">
        <is>
          <t>AC-3, SI-2, SI-10, SC-7</t>
        </is>
      </c>
      <c r="K28" s="52" t="n">
        <v>5</v>
      </c>
      <c r="L28" s="52" t="n">
        <v>5</v>
      </c>
      <c r="M28" s="52" t="n">
        <v>25</v>
      </c>
      <c r="N28" s="52" t="inlineStr">
        <is>
          <t>Critical</t>
        </is>
      </c>
      <c r="O28" s="52" t="inlineStr">
        <is>
          <t>Critical</t>
        </is>
      </c>
      <c r="P28" s="53" t="inlineStr">
        <is>
          <t>Standard network perimeter controls (insufficient against unauthenticated takeover chain)</t>
        </is>
      </c>
      <c r="Q28" s="52" t="inlineStr">
        <is>
          <t>High until patched; Low-Medium with patch plus removal of direct internet exposure</t>
        </is>
      </c>
      <c r="R28" s="53" t="inlineStr">
        <is>
          <t>Upgrade all UniFi OS devices to UniFi OS Server v5.0.8+ immediately. Restrict management interfaces to VPN-only access pending fleet-wide patch.</t>
        </is>
      </c>
      <c r="S28" s="52" t="inlineStr">
        <is>
          <t>Control 4, 7, 13</t>
        </is>
      </c>
      <c r="T28" s="53" t="inlineStr">
        <is>
          <t>Network Engineering / Security Operations</t>
        </is>
      </c>
      <c r="U28" s="52" t="inlineStr">
        <is>
          <t>Open — Emergency</t>
        </is>
      </c>
      <c r="V28" s="52" t="inlineStr">
        <is>
          <t>2026-06-26</t>
        </is>
      </c>
      <c r="W28" s="52" t="inlineStr">
        <is>
          <t>2026-06-29</t>
        </is>
      </c>
      <c r="X28" s="53" t="inlineStr">
        <is>
          <t>Confirmed botnet (Mirai/Gafgyt) active exploitation; ~1-month patch-deployment gap (vendor fix available 2026-05-21); full bundle in IT-OT-Threats/2026-06-CISA-KEV-Ubiquiti-UniFiOS</t>
        </is>
      </c>
    </row>
    <row r="29">
      <c r="A29" s="52" t="inlineStr">
        <is>
          <t>RR-025</t>
        </is>
      </c>
      <c r="B29" s="53" t="inlineStr">
        <is>
          <t>2026-06-29</t>
        </is>
      </c>
      <c r="C29" s="53" t="inlineStr">
        <is>
          <t>CISA KEV</t>
        </is>
      </c>
      <c r="D29" s="53" t="inlineStr">
        <is>
          <t>CVE-2026-12569</t>
        </is>
      </c>
      <c r="E29" s="53" t="inlineStr">
        <is>
          <t>PTC Windchill/FlexPLM unauthenticated remote code execution; CVSS 9.8; confirmed active exploitation; KEV added 2026-06-23; CISA 3-day emergency mandate (BOD 26-04)</t>
        </is>
      </c>
      <c r="F29" s="52" t="inlineStr">
        <is>
          <t>IT-OT-Threats</t>
        </is>
      </c>
      <c r="G29" s="53" t="inlineStr">
        <is>
          <t>Product Lifecycle Management (PLM) Platform</t>
        </is>
      </c>
      <c r="H29" s="53" t="inlineStr">
        <is>
          <t>PTC Windchill / FlexPLM</t>
        </is>
      </c>
      <c r="I29" s="53" t="inlineStr">
        <is>
          <t>NIST CSF 2.0: PR.PS-04/PR.DS-01/DE.CM-01 | NIST 800-53: SI-2/SC-7/AC-3 | ISO 27001: A.8.8/A.8.12 | CIS Controls v8: 3,7</t>
        </is>
      </c>
      <c r="J29" s="53" t="inlineStr">
        <is>
          <t>SI-2, SC-7, AC-3</t>
        </is>
      </c>
      <c r="K29" s="52" t="n">
        <v>5</v>
      </c>
      <c r="L29" s="52" t="n">
        <v>5</v>
      </c>
      <c r="M29" s="52" t="n">
        <v>25</v>
      </c>
      <c r="N29" s="52" t="inlineStr">
        <is>
          <t>Critical</t>
        </is>
      </c>
      <c r="O29" s="52" t="inlineStr">
        <is>
          <t>Critical</t>
        </is>
      </c>
      <c r="P29" s="53" t="inlineStr">
        <is>
          <t>Standard application-layer authentication (bypassed by this vulnerability)</t>
        </is>
      </c>
      <c r="Q29" s="52" t="inlineStr">
        <is>
          <t>High until patched; Medium with patch plus network segmentation</t>
        </is>
      </c>
      <c r="R29" s="53" t="inlineStr">
        <is>
          <t>Apply PTC vendor patch for CVE-2026-12569 immediately. Remove direct internet exposure on Windchill/FlexPLM instances pending patch; restrict to VPN-gated access.</t>
        </is>
      </c>
      <c r="S29" s="52" t="inlineStr">
        <is>
          <t>Control 3, 7</t>
        </is>
      </c>
      <c r="T29" s="53" t="inlineStr">
        <is>
          <t>IT/Engineering Systems</t>
        </is>
      </c>
      <c r="U29" s="52" t="inlineStr">
        <is>
          <t>Open — Emergency</t>
        </is>
      </c>
      <c r="V29" s="52" t="inlineStr">
        <is>
          <t>2026-06-28</t>
        </is>
      </c>
      <c r="W29" s="52" t="inlineStr">
        <is>
          <t>2026-06-29</t>
        </is>
      </c>
      <c r="X29" s="53" t="inlineStr">
        <is>
          <t>3-day CISA emergency mandate (BOD 26-04); potential CUI/export-control data exposure for defense/aerospace deployments (CMMC/DFARS nexus); full bundle in IT-OT-Threats/2026-06-CISA-KEV-PTC-WindchillFlexPLM</t>
        </is>
      </c>
    </row>
    <row r="30">
      <c r="A30" s="52" t="inlineStr">
        <is>
          <t>RR-026</t>
        </is>
      </c>
      <c r="B30" s="53" t="inlineStr">
        <is>
          <t>2026-06-29</t>
        </is>
      </c>
      <c r="C30" s="53" t="inlineStr">
        <is>
          <t>CISA KEV</t>
        </is>
      </c>
      <c r="D30" s="53" t="inlineStr">
        <is>
          <t>CVE-2026-20384</t>
        </is>
      </c>
      <c r="E30" s="53" t="inlineStr">
        <is>
          <t>Cisco Unified Communications Manager (Unified CM) and Unified CM Session Management Edition static/undocumented credential enabling authentication bypass and root-level RCE; CVSS 10.0; confirmed active exploitation; KEV added 2026-06-24</t>
        </is>
      </c>
      <c r="F30" s="52" t="inlineStr">
        <is>
          <t>IT-OT-Threats</t>
        </is>
      </c>
      <c r="G30" s="53" t="inlineStr">
        <is>
          <t>Enterprise Voice / Call-Control Infrastructure</t>
        </is>
      </c>
      <c r="H30" s="53" t="inlineStr">
        <is>
          <t>Cisco Unified Communications Manager / Unified CM Session Management Edition</t>
        </is>
      </c>
      <c r="I30" s="53" t="inlineStr">
        <is>
          <t>NIST CSF 2.0: PR.AA-01/PR.PS-04/DE.CM-01 | NIST 800-53: IA-5/SI-2/AC-6 | ISO 27001: A.8.5/A.8.8 | CIS Controls v8: 5,7</t>
        </is>
      </c>
      <c r="J30" s="53" t="inlineStr">
        <is>
          <t>IA-5, SI-2, AC-6</t>
        </is>
      </c>
      <c r="K30" s="52" t="n">
        <v>5</v>
      </c>
      <c r="L30" s="52" t="n">
        <v>5</v>
      </c>
      <c r="M30" s="52" t="n">
        <v>25</v>
      </c>
      <c r="N30" s="52" t="inlineStr">
        <is>
          <t>Critical</t>
        </is>
      </c>
      <c r="O30" s="52" t="inlineStr">
        <is>
          <t>Critical</t>
        </is>
      </c>
      <c r="P30" s="53" t="inlineStr">
        <is>
          <t>Standard authentication (bypassed via undocumented static credential)</t>
        </is>
      </c>
      <c r="Q30" s="52" t="inlineStr">
        <is>
          <t>High until patched; Medium with patch plus credential rotation and network restriction</t>
        </is>
      </c>
      <c r="R30" s="53" t="inlineStr">
        <is>
          <t>Apply Cisco patch removing/rotating the static credential immediately. Audit authentication logs and CDRs for use of the affected credential; restrict management plane to internal/VPN-only access.</t>
        </is>
      </c>
      <c r="S30" s="52" t="inlineStr">
        <is>
          <t>Control 5, 7</t>
        </is>
      </c>
      <c r="T30" s="53" t="inlineStr">
        <is>
          <t>IT/Telecom Engineering / Security Operations</t>
        </is>
      </c>
      <c r="U30" s="52" t="inlineStr">
        <is>
          <t>Open — Emergency</t>
        </is>
      </c>
      <c r="V30" s="52" t="inlineStr">
        <is>
          <t>2026-06-27</t>
        </is>
      </c>
      <c r="W30" s="52" t="inlineStr">
        <is>
          <t>2026-06-29</t>
        </is>
      </c>
      <c r="X30" s="53" t="inlineStr">
        <is>
          <t>3-day CISA emergency mandate (BOD 26-04); potential wiretapping/communications-privacy exposure under GLBA/HIPAA if interception confirmed; full bundle in IT-OT-Threats/2026-06-CISA-KEV-Cisco-UnifiedCM</t>
        </is>
      </c>
    </row>
    <row r="31">
      <c r="A31" s="52" t="inlineStr">
        <is>
          <t>RR-027</t>
        </is>
      </c>
      <c r="B31" s="53" t="inlineStr">
        <is>
          <t>2026-06-29</t>
        </is>
      </c>
      <c r="C31" s="53" t="inlineStr">
        <is>
          <t>CISA ICS Advisory</t>
        </is>
      </c>
      <c r="D31" s="53" t="inlineStr">
        <is>
          <t>ICSA-26-176-04</t>
        </is>
      </c>
      <c r="E31" s="53" t="inlineStr">
        <is>
          <t>Daktronics controller firmware — chained vulnerabilities (authentication weakness, improper input validation, insecure firmware update mechanism); CVSS up to 9.3; root-level device access; not KEV-listed, no confirmed active exploitation</t>
        </is>
      </c>
      <c r="F31" s="52" t="inlineStr">
        <is>
          <t>IT-OT-Threats</t>
        </is>
      </c>
      <c r="G31" s="53" t="inlineStr">
        <is>
          <t>Public Display / Signage Controller Infrastructure</t>
        </is>
      </c>
      <c r="H31" s="53" t="inlineStr">
        <is>
          <t>Daktronics controller firmware (multiple controller models)</t>
        </is>
      </c>
      <c r="I31" s="53" t="inlineStr">
        <is>
          <t>NIST CSF 2.0: PR.AA-01/PR.PS-04/PR.IR-01 | NIST 800-53: IA-2/SI-10/SC-7 | IEC 62443: SR 1.1/SR 3.1 | CIS Controls v8: 7,12</t>
        </is>
      </c>
      <c r="J31" s="53" t="inlineStr">
        <is>
          <t>IA-2, SI-10, SC-7</t>
        </is>
      </c>
      <c r="K31" s="52" t="n">
        <v>3</v>
      </c>
      <c r="L31" s="52" t="n">
        <v>4</v>
      </c>
      <c r="M31" s="52" t="n">
        <v>12</v>
      </c>
      <c r="N31" s="52" t="inlineStr">
        <is>
          <t>High</t>
        </is>
      </c>
      <c r="O31" s="52" t="inlineStr">
        <is>
          <t>High</t>
        </is>
      </c>
      <c r="P31" s="53" t="inlineStr">
        <is>
          <t>Standard network segmentation (effectiveness unverified for display controller segments)</t>
        </is>
      </c>
      <c r="Q31" s="52" t="inlineStr">
        <is>
          <t>Medium with firmware update and segmentation verification</t>
        </is>
      </c>
      <c r="R31" s="53" t="inlineStr">
        <is>
          <t>Apply Daktronics firmware update addressing authentication, input validation, and insecure update mechanism flaws. Verify network segmentation isolates controllers from other OT/IT systems; prioritize safety-relevant signage deployments.</t>
        </is>
      </c>
      <c r="S31" s="52" t="inlineStr">
        <is>
          <t>Control 7, 12</t>
        </is>
      </c>
      <c r="T31" s="53" t="inlineStr">
        <is>
          <t>Facilities/IT Engineering</t>
        </is>
      </c>
      <c r="U31" s="52" t="inlineStr">
        <is>
          <t>Open — Standard Cycle</t>
        </is>
      </c>
      <c r="V31" s="52" t="inlineStr">
        <is>
          <t>2026-07-13</t>
        </is>
      </c>
      <c r="W31" s="52" t="inlineStr">
        <is>
          <t>2026-06-29</t>
        </is>
      </c>
      <c r="X31" s="53" t="inlineStr">
        <is>
          <t>CISA ICS Advisory ICSA-26-176-04; no confirmed active exploitation; comparable to RR-020 precedent (multi-CVE chain to root, full bundle warranted by severity/footprint); full bundle in IT-OT-Threats/2026-06-CISA-Advisory-Daktronics-ControllerFirmware</t>
        </is>
      </c>
    </row>
    <row r="32">
      <c r="A32" s="52" t="inlineStr">
        <is>
          <t>RR-028</t>
        </is>
      </c>
      <c r="B32" s="53" t="inlineStr">
        <is>
          <t>2026-07-13</t>
        </is>
      </c>
      <c r="C32" s="53" t="inlineStr">
        <is>
          <t>CISA KEV</t>
        </is>
      </c>
      <c r="D32" s="53" t="inlineStr">
        <is>
          <t>CVE-2026-55255</t>
        </is>
      </c>
      <c r="E32" s="53" t="inlineStr">
        <is>
          <t>Langflow AI agent platform — Authorization bypass through user-controlled key (IDOR) in /api/v1/responses endpoint enabling execution of another user's AI agent flow; CVSS 9.9; first AI agent platform added to CISA KEV; actively exploited</t>
        </is>
      </c>
      <c r="F32" s="52" t="inlineStr">
        <is>
          <t>AI-Governance / Cloud-Security (dual-category)</t>
        </is>
      </c>
      <c r="G32" s="53" t="inlineStr">
        <is>
          <t>AI/LLM Infrastructure — Agent Orchestration Platform</t>
        </is>
      </c>
      <c r="H32" s="53" t="inlineStr">
        <is>
          <t>Langflow (versions prior to 1.9.2)</t>
        </is>
      </c>
      <c r="I32" s="53" t="inlineStr">
        <is>
          <t>NIST AI RMF GOVERN 1.1/MAP 4.1/MANAGE 2.3 | ISO/IEC 42001 Clause 6.1.2/8.1 | NIST CSF 2.0 PR.AA-05/DE.CM-09 | NIST 800-53 AC-3/IA-2/SI-2 | EU AI Act Article 9/15</t>
        </is>
      </c>
      <c r="J32" s="53" t="inlineStr">
        <is>
          <t>AC-3, IA-2, SI-2</t>
        </is>
      </c>
      <c r="K32" s="52" t="n">
        <v>5</v>
      </c>
      <c r="L32" s="52" t="n">
        <v>5</v>
      </c>
      <c r="M32" s="52" t="n">
        <v>25</v>
      </c>
      <c r="N32" s="52" t="inlineStr">
        <is>
          <t>Critical</t>
        </is>
      </c>
      <c r="O32" s="52" t="inlineStr">
        <is>
          <t>Critical</t>
        </is>
      </c>
      <c r="P32" s="53" t="inlineStr">
        <is>
          <t>Standard application authentication (insufficient — flaw is in authorization/ownership check, not authentication)</t>
        </is>
      </c>
      <c r="Q32" s="52" t="inlineStr">
        <is>
          <t>High</t>
        </is>
      </c>
      <c r="R32" s="53" t="inlineStr">
        <is>
          <t>Upgrade Langflow to v1.9.2+ immediately; rotate all credentials reachable by any agent flow; review flow-execution logs for cross-user access since 2026-07-07; complete AI agent inventory</t>
        </is>
      </c>
      <c r="S32" s="52" t="inlineStr">
        <is>
          <t>N/A (AI governance context)</t>
        </is>
      </c>
      <c r="T32" s="53" t="inlineStr">
        <is>
          <t>AI/Platform Engineering</t>
        </is>
      </c>
      <c r="U32" s="52" t="inlineStr">
        <is>
          <t>Open — Emergency</t>
        </is>
      </c>
      <c r="V32" s="52" t="inlineStr">
        <is>
          <t>2026-07-10</t>
        </is>
      </c>
      <c r="W32" s="52" t="inlineStr">
        <is>
          <t>2026-07-13</t>
        </is>
      </c>
      <c r="X32" s="53" t="inlineStr">
        <is>
          <t>CISA KEV added 2026-07-07; 3-day BOD 26-04 mandate; first AI agent orchestration platform in KEV catalog; related precedent — "agentic ransomware" via earlier Langflow CVE-2025-3248 (Sysdig); full bundle duplicated in AI-Governance/2026-07-CISA-KEV-Langflow and Cloud-Security/2026-07-CISA-KEV-Langflow</t>
        </is>
      </c>
    </row>
    <row r="33">
      <c r="A33" s="52" t="inlineStr">
        <is>
          <t>RR-029</t>
        </is>
      </c>
      <c r="B33" s="53" t="inlineStr">
        <is>
          <t>2026-07-13</t>
        </is>
      </c>
      <c r="C33" s="53" t="inlineStr">
        <is>
          <t>CISA KEV</t>
        </is>
      </c>
      <c r="D33" s="53" t="inlineStr">
        <is>
          <t>CVE-2026-48282</t>
        </is>
      </c>
      <c r="E33" s="53" t="inlineStr">
        <is>
          <t>Adobe ColdFusion RDS FILEIO path traversal enabling arbitrary file write and unauthenticated RCE as ColdFusion service account (SYSTEM on Windows); CVSS 10.0; actively exploited within approximately 2 hours of public technical disclosure</t>
        </is>
      </c>
      <c r="F33" s="52" t="inlineStr">
        <is>
          <t>IT-OT-Threats</t>
        </is>
      </c>
      <c r="G33" s="53" t="inlineStr">
        <is>
          <t>Enterprise Web Application Platform</t>
        </is>
      </c>
      <c r="H33" s="53" t="inlineStr">
        <is>
          <t>Adobe ColdFusion 2025 (Update 9 and earlier) / ColdFusion 2023 (Update 20 and earlier)</t>
        </is>
      </c>
      <c r="I33" s="53" t="inlineStr">
        <is>
          <t>NIST CSF 2.0 PR.PS-04/DE.CM-01/RS.AN-03 | NIST 800-53 SI-2/SI-3/SI-10/AC-3 | ISO 27001 A.8.8/A.8.28 | CIS Control 7/16</t>
        </is>
      </c>
      <c r="J33" s="53" t="inlineStr">
        <is>
          <t>SI-2, SI-3, SI-10</t>
        </is>
      </c>
      <c r="K33" s="52" t="n">
        <v>5</v>
      </c>
      <c r="L33" s="52" t="n">
        <v>5</v>
      </c>
      <c r="M33" s="52" t="n">
        <v>25</v>
      </c>
      <c r="N33" s="52" t="inlineStr">
        <is>
          <t>Critical</t>
        </is>
      </c>
      <c r="O33" s="52" t="inlineStr">
        <is>
          <t>Critical</t>
        </is>
      </c>
      <c r="P33" s="53" t="inlineStr">
        <is>
          <t>Vendor patch available (APSB26-68, released 2026-06-30); WAF may provide interim compensating control on RDS/CFIDE endpoints</t>
        </is>
      </c>
      <c r="Q33" s="52" t="inlineStr">
        <is>
          <t>Medium</t>
        </is>
      </c>
      <c r="R33" s="53" t="inlineStr">
        <is>
          <t>Apply ColdFusion 2025 Update 10 / 2023 Update 21 immediately; disable RDS where not required; block external access to /CFIDE/administrator and RDS endpoints via WAF; forensic sweep for unauthorized .cfm/.cfc/.jsp files</t>
        </is>
      </c>
      <c r="S33" s="52" t="inlineStr">
        <is>
          <t>Control 7 (7.4) / Control 16</t>
        </is>
      </c>
      <c r="T33" s="53" t="inlineStr">
        <is>
          <t>Enterprise Application Engineering</t>
        </is>
      </c>
      <c r="U33" s="52" t="inlineStr">
        <is>
          <t>Open — Emergency</t>
        </is>
      </c>
      <c r="V33" s="52" t="inlineStr">
        <is>
          <t>2026-07-10</t>
        </is>
      </c>
      <c r="W33" s="52" t="inlineStr">
        <is>
          <t>2026-07-13</t>
        </is>
      </c>
      <c r="X33" s="53" t="inlineStr">
        <is>
          <t>CISA KEV added 2026-07-07; 3-day BOD 26-04 mandate; Adobe patch available 2026-06-30 (APSB26-68); active exploitation confirmed by KEVIntel honeypots within ~2 hours of technical disclosure; full bundle in IT-OT-Threats/2026-07-CISA-KEV-Adobe-ColdFusion</t>
        </is>
      </c>
    </row>
    <row r="34">
      <c r="A34" s="52" t="inlineStr">
        <is>
          <t>RR-030</t>
        </is>
      </c>
      <c r="B34" s="53" t="inlineStr">
        <is>
          <t>2026-07-13</t>
        </is>
      </c>
      <c r="C34" s="53" t="inlineStr">
        <is>
          <t>CISA KEV</t>
        </is>
      </c>
      <c r="D34" s="53" t="inlineStr">
        <is>
          <t>CVE-2026-48908</t>
        </is>
      </c>
      <c r="E34" s="53" t="inlineStr">
        <is>
          <t>SP Page Builder for Joomla (JoomShaper) — unauthenticated arbitrary file upload via uploadCustomIcon functionality enabling RCE; CVSS 10.0; actively exploited as zero-day; affects versions &lt;= 6.6.1</t>
        </is>
      </c>
      <c r="F34" s="52" t="inlineStr">
        <is>
          <t>IT-OT-Threats</t>
        </is>
      </c>
      <c r="G34" s="53" t="inlineStr">
        <is>
          <t>Public-Facing CMS Web Applications</t>
        </is>
      </c>
      <c r="H34" s="53" t="inlineStr">
        <is>
          <t>Joomla! — SP Page Builder extension (JoomShaper) &lt;= 6.6.1</t>
        </is>
      </c>
      <c r="I34" s="53" t="inlineStr">
        <is>
          <t>NIST CSF 2.0 PR.PS-04/DE.CM-09 | NIST 800-53 SI-2/SI-10/SC-7 | ISO 27001 A.8.8 | CIS Control 7/16</t>
        </is>
      </c>
      <c r="J34" s="53" t="inlineStr">
        <is>
          <t>SI-2, SI-10, SC-7</t>
        </is>
      </c>
      <c r="K34" s="52" t="n">
        <v>5</v>
      </c>
      <c r="L34" s="52" t="n">
        <v>5</v>
      </c>
      <c r="M34" s="52" t="n">
        <v>25</v>
      </c>
      <c r="N34" s="52" t="inlineStr">
        <is>
          <t>Critical</t>
        </is>
      </c>
      <c r="O34" s="52" t="inlineStr">
        <is>
          <t>Critical</t>
        </is>
      </c>
      <c r="P34" s="53" t="inlineStr">
        <is>
          <t>WAF (variable); no default protection against unauthenticated upload-endpoint abuse</t>
        </is>
      </c>
      <c r="Q34" s="52" t="inlineStr">
        <is>
          <t>Medium</t>
        </is>
      </c>
      <c r="R34" s="53" t="inlineStr">
        <is>
          <t>Upgrade SP Page Builder to v6.6.2+ on all Joomla sites; scan web roots for unauthorized files; deploy WAF rule on upload endpoint pending patch</t>
        </is>
      </c>
      <c r="S34" s="52" t="inlineStr">
        <is>
          <t>Control 7 / Control 16</t>
        </is>
      </c>
      <c r="T34" s="53" t="inlineStr">
        <is>
          <t>Web/IT Operations</t>
        </is>
      </c>
      <c r="U34" s="52" t="inlineStr">
        <is>
          <t>Open — Emergency</t>
        </is>
      </c>
      <c r="V34" s="52" t="inlineStr">
        <is>
          <t>2026-07-10</t>
        </is>
      </c>
      <c r="W34" s="52" t="inlineStr">
        <is>
          <t>2026-07-13</t>
        </is>
      </c>
      <c r="X34" s="53" t="inlineStr">
        <is>
          <t>KEV added 2026-07-07; one of four unrelated Joomla extensions with the identical unauthenticated file-upload RCE class added to KEV this week (see RR-031/032/033); combined bundle in IT-OT-Threats/2026-07-CISA-KEV-Joomla-ExtensionFileUpload</t>
        </is>
      </c>
    </row>
    <row r="35">
      <c r="A35" s="52" t="inlineStr">
        <is>
          <t>RR-031</t>
        </is>
      </c>
      <c r="B35" s="53" t="inlineStr">
        <is>
          <t>2026-07-13</t>
        </is>
      </c>
      <c r="C35" s="53" t="inlineStr">
        <is>
          <t>CISA KEV</t>
        </is>
      </c>
      <c r="D35" s="53" t="inlineStr">
        <is>
          <t>CVE-2026-56290</t>
        </is>
      </c>
      <c r="E35" s="53" t="inlineStr">
        <is>
          <t>Joomlack Page Builder for Joomla — improper access control enabling unauthenticated arbitrary file upload and RCE; CVSS 10.0; actively exploited</t>
        </is>
      </c>
      <c r="F35" s="52" t="inlineStr">
        <is>
          <t>IT-OT-Threats</t>
        </is>
      </c>
      <c r="G35" s="53" t="inlineStr">
        <is>
          <t>Public-Facing CMS Web Applications</t>
        </is>
      </c>
      <c r="H35" s="53" t="inlineStr">
        <is>
          <t>Joomla! — Page Builder extension (Joomlack)</t>
        </is>
      </c>
      <c r="I35" s="53" t="inlineStr">
        <is>
          <t>NIST CSF 2.0 PR.PS-04/DE.CM-09 | NIST 800-53 SI-2/SI-10/SC-7 | ISO 27001 A.8.8 | CIS Control 7/16</t>
        </is>
      </c>
      <c r="J35" s="53" t="inlineStr">
        <is>
          <t>SI-2, SI-10, SC-7</t>
        </is>
      </c>
      <c r="K35" s="52" t="n">
        <v>5</v>
      </c>
      <c r="L35" s="52" t="n">
        <v>5</v>
      </c>
      <c r="M35" s="52" t="n">
        <v>25</v>
      </c>
      <c r="N35" s="52" t="inlineStr">
        <is>
          <t>Critical</t>
        </is>
      </c>
      <c r="O35" s="52" t="inlineStr">
        <is>
          <t>Critical</t>
        </is>
      </c>
      <c r="P35" s="53" t="inlineStr">
        <is>
          <t>WAF (variable); no default protection against unauthenticated upload-endpoint abuse</t>
        </is>
      </c>
      <c r="Q35" s="52" t="inlineStr">
        <is>
          <t>Medium</t>
        </is>
      </c>
      <c r="R35" s="53" t="inlineStr">
        <is>
          <t>Apply vendor patch for Joomlack Page Builder immediately on all Joomla sites; scan web roots for unauthorized files; deploy WAF rule on upload endpoint pending patch</t>
        </is>
      </c>
      <c r="S35" s="52" t="inlineStr">
        <is>
          <t>Control 7 / Control 16</t>
        </is>
      </c>
      <c r="T35" s="53" t="inlineStr">
        <is>
          <t>Web/IT Operations</t>
        </is>
      </c>
      <c r="U35" s="52" t="inlineStr">
        <is>
          <t>Open — Emergency</t>
        </is>
      </c>
      <c r="V35" s="52" t="inlineStr">
        <is>
          <t>2026-07-10</t>
        </is>
      </c>
      <c r="W35" s="52" t="inlineStr">
        <is>
          <t>2026-07-13</t>
        </is>
      </c>
      <c r="X35" s="53" t="inlineStr">
        <is>
          <t>KEV added 2026-07-07; one of four unrelated Joomla extensions with the identical unauthenticated file-upload RCE class added to KEV this week; combined bundle in IT-OT-Threats/2026-07-CISA-KEV-Joomla-ExtensionFileUpload</t>
        </is>
      </c>
    </row>
    <row r="36">
      <c r="A36" s="52" t="inlineStr">
        <is>
          <t>RR-032</t>
        </is>
      </c>
      <c r="B36" s="53" t="inlineStr">
        <is>
          <t>2026-07-13</t>
        </is>
      </c>
      <c r="C36" s="53" t="inlineStr">
        <is>
          <t>CISA KEV</t>
        </is>
      </c>
      <c r="D36" s="53" t="inlineStr">
        <is>
          <t>CVE-2026-48939</t>
        </is>
      </c>
      <c r="E36" s="53" t="inlineStr">
        <is>
          <t>iCagenda extension for Joomla — unauthenticated arbitrary file upload via file-attachment functionality enabling RCE; CVSS 10.0; actively exploited as zero-day; affects versions &lt;= 4.0.7</t>
        </is>
      </c>
      <c r="F36" s="52" t="inlineStr">
        <is>
          <t>IT-OT-Threats</t>
        </is>
      </c>
      <c r="G36" s="53" t="inlineStr">
        <is>
          <t>Public-Facing CMS Web Applications / Event Registration Systems (PII)</t>
        </is>
      </c>
      <c r="H36" s="53" t="inlineStr">
        <is>
          <t>Joomla! — iCagenda extension &lt;= 4.0.7</t>
        </is>
      </c>
      <c r="I36" s="53" t="inlineStr">
        <is>
          <t>NIST CSF 2.0 PR.PS-04/DE.CM-09 | NIST 800-53 SI-2/SI-10/SC-7 | ISO 27001 A.8.8 | CIS Control 7/16</t>
        </is>
      </c>
      <c r="J36" s="53" t="inlineStr">
        <is>
          <t>SI-2, SI-10, SC-7</t>
        </is>
      </c>
      <c r="K36" s="52" t="n">
        <v>5</v>
      </c>
      <c r="L36" s="52" t="n">
        <v>5</v>
      </c>
      <c r="M36" s="52" t="n">
        <v>25</v>
      </c>
      <c r="N36" s="52" t="inlineStr">
        <is>
          <t>Critical</t>
        </is>
      </c>
      <c r="O36" s="52" t="inlineStr">
        <is>
          <t>Critical</t>
        </is>
      </c>
      <c r="P36" s="53" t="inlineStr">
        <is>
          <t>WAF (variable); no default protection against unauthenticated upload-endpoint abuse</t>
        </is>
      </c>
      <c r="Q36" s="52" t="inlineStr">
        <is>
          <t>Medium</t>
        </is>
      </c>
      <c r="R36" s="53" t="inlineStr">
        <is>
          <t>Upgrade iCagenda to v4.0.8+ on all Joomla sites; scan web roots for unauthorized files; deploy WAF rule on upload endpoint pending patch</t>
        </is>
      </c>
      <c r="S36" s="52" t="inlineStr">
        <is>
          <t>Control 7 / Control 16</t>
        </is>
      </c>
      <c r="T36" s="53" t="inlineStr">
        <is>
          <t>Web/IT Operations</t>
        </is>
      </c>
      <c r="U36" s="52" t="inlineStr">
        <is>
          <t>Open — Emergency</t>
        </is>
      </c>
      <c r="V36" s="52" t="inlineStr">
        <is>
          <t>2026-07-13</t>
        </is>
      </c>
      <c r="W36" s="52" t="inlineStr">
        <is>
          <t>2026-07-13</t>
        </is>
      </c>
      <c r="X36" s="53" t="inlineStr">
        <is>
          <t>KEV added 2026-07-10; one of four unrelated Joomla extensions with the identical unauthenticated file-upload RCE class added to KEV this week; combined bundle in IT-OT-Threats/2026-07-CISA-KEV-Joomla-ExtensionFileUpload</t>
        </is>
      </c>
    </row>
    <row r="37">
      <c r="A37" s="52" t="inlineStr">
        <is>
          <t>RR-033</t>
        </is>
      </c>
      <c r="B37" s="53" t="inlineStr">
        <is>
          <t>2026-07-13</t>
        </is>
      </c>
      <c r="C37" s="53" t="inlineStr">
        <is>
          <t>CISA KEV</t>
        </is>
      </c>
      <c r="D37" s="53" t="inlineStr">
        <is>
          <t>CVE-2026-56291</t>
        </is>
      </c>
      <c r="E37" s="53" t="inlineStr">
        <is>
          <t>Balbooa Forms extension for Joomla — unauthenticated arbitrary file upload enabling RCE; CVSS 10.0; actively exploited as zero-day</t>
        </is>
      </c>
      <c r="F37" s="52" t="inlineStr">
        <is>
          <t>IT-OT-Threats</t>
        </is>
      </c>
      <c r="G37" s="53" t="inlineStr">
        <is>
          <t>Public-Facing CMS Web Applications / Form-Intake Systems (PII)</t>
        </is>
      </c>
      <c r="H37" s="53" t="inlineStr">
        <is>
          <t>Joomla! — Balbooa Forms extension</t>
        </is>
      </c>
      <c r="I37" s="53" t="inlineStr">
        <is>
          <t>NIST CSF 2.0 PR.PS-04/DE.CM-09 | NIST 800-53 SI-2/SI-10/SC-7 | ISO 27001 A.8.8 | CIS Control 7/16</t>
        </is>
      </c>
      <c r="J37" s="53" t="inlineStr">
        <is>
          <t>SI-2, SI-10, SC-7</t>
        </is>
      </c>
      <c r="K37" s="52" t="n">
        <v>5</v>
      </c>
      <c r="L37" s="52" t="n">
        <v>5</v>
      </c>
      <c r="M37" s="52" t="n">
        <v>25</v>
      </c>
      <c r="N37" s="52" t="inlineStr">
        <is>
          <t>Critical</t>
        </is>
      </c>
      <c r="O37" s="52" t="inlineStr">
        <is>
          <t>Critical</t>
        </is>
      </c>
      <c r="P37" s="53" t="inlineStr">
        <is>
          <t>WAF (variable); no default protection against unauthenticated upload-endpoint abuse</t>
        </is>
      </c>
      <c r="Q37" s="52" t="inlineStr">
        <is>
          <t>Medium</t>
        </is>
      </c>
      <c r="R37" s="53" t="inlineStr">
        <is>
          <t>Apply vendor patch for Balbooa Forms immediately on all Joomla sites; scan web roots for unauthorized files; deploy WAF rule on upload endpoint pending patch</t>
        </is>
      </c>
      <c r="S37" s="52" t="inlineStr">
        <is>
          <t>Control 7 / Control 16</t>
        </is>
      </c>
      <c r="T37" s="53" t="inlineStr">
        <is>
          <t>Web/IT Operations</t>
        </is>
      </c>
      <c r="U37" s="52" t="inlineStr">
        <is>
          <t>Open — Emergency</t>
        </is>
      </c>
      <c r="V37" s="52" t="inlineStr">
        <is>
          <t>2026-07-13</t>
        </is>
      </c>
      <c r="W37" s="52" t="inlineStr">
        <is>
          <t>2026-07-13</t>
        </is>
      </c>
      <c r="X37" s="53" t="inlineStr">
        <is>
          <t>KEV added 2026-07-10; one of four unrelated Joomla extensions with the identical unauthenticated file-upload RCE class added to KEV this week; combined bundle in IT-OT-Threats/2026-07-CISA-KEV-Joomla-ExtensionFileUpload</t>
        </is>
      </c>
    </row>
    <row r="38" s="42">
      <c r="A38" s="52" t="inlineStr">
        <is>
          <t>RR-034</t>
        </is>
      </c>
      <c r="B38" s="53" t="inlineStr">
        <is>
          <t>2026-07-13</t>
        </is>
      </c>
      <c r="C38" s="53" t="inlineStr">
        <is>
          <t>CISA/NSA/FBI Advisory</t>
        </is>
      </c>
      <c r="D38" s="53" t="inlineStr">
        <is>
          <t>U/OO/6042849-26 | PP-26-2829</t>
        </is>
      </c>
      <c r="E38" s="53" t="inlineStr">
        <is>
          <t>Joint NSA/CISA/FBI/DC3 + international partners advisory — Russian FSB Center 16 actors scanning internet-connected routers for default/common SNMP authentication strings, then issuing spoofed-IP commands to copy device configuration files and exfiltrate via TFTP to actor-controlled infrastructure</t>
        </is>
      </c>
      <c r="F38" s="52" t="inlineStr">
        <is>
          <t>IT-OT-Threats</t>
        </is>
      </c>
      <c r="G38" s="53" t="inlineStr">
        <is>
          <t>Enterprise Network Infrastructure</t>
        </is>
      </c>
      <c r="H38" s="53" t="inlineStr">
        <is>
          <t>Internet-connected routers with default/weak SNMP community strings</t>
        </is>
      </c>
      <c r="I38" s="53" t="inlineStr">
        <is>
          <t>NIST CSF 2.0 PR.AA-01/PR.PS-01/DE.CM-01 | NIST 800-53 IA-5/CM-6/SC-7 | ISO 27001 A.8.20/A.8.9 | CIS Control 4/12</t>
        </is>
      </c>
      <c r="J38" s="53" t="inlineStr">
        <is>
          <t>IA-5, CM-6, SC-7</t>
        </is>
      </c>
      <c r="K38" s="52" t="n">
        <v>4</v>
      </c>
      <c r="L38" s="52" t="n">
        <v>4</v>
      </c>
      <c r="M38" s="52" t="n">
        <v>16</v>
      </c>
      <c r="N38" s="52" t="inlineStr">
        <is>
          <t>High</t>
        </is>
      </c>
      <c r="O38" s="52" t="inlineStr">
        <is>
          <t>High</t>
        </is>
      </c>
      <c r="P38" s="53" t="inlineStr">
        <is>
          <t>Standard network perimeter controls; SNMP typically not hardened by default configuration</t>
        </is>
      </c>
      <c r="Q38" s="52" t="inlineStr">
        <is>
          <t>Medium</t>
        </is>
      </c>
      <c r="R38" s="53" t="inlineStr">
        <is>
          <t>Disable SNMP where not required; change default/common community strings; restrict SNMP access to management network only; monitor for anomalous TFTP egress; apply router hygiene guidance per joint advisory</t>
        </is>
      </c>
      <c r="S38" s="52" t="inlineStr">
        <is>
          <t>Control 4 / Control 12</t>
        </is>
      </c>
      <c r="T38" s="53" t="inlineStr">
        <is>
          <t>Network Engineering</t>
        </is>
      </c>
      <c r="U38" s="52" t="inlineStr">
        <is>
          <t>Open</t>
        </is>
      </c>
      <c r="V38" s="52" t="inlineStr">
        <is>
          <t>2026-08-09</t>
        </is>
      </c>
      <c r="W38" s="52" t="inlineStr">
        <is>
          <t>2026-07-13</t>
        </is>
      </c>
      <c r="X38" s="53" t="inlineStr">
        <is>
          <t>Joint advisory published 2026-07-09 by NSA/CISA/FBI/DC3 + ASD ACSC and international partners (Australia, Canada, Czech Republic, Denmark, Estonia, Finland, France, Italy, New Zealand, Poland, Sweden, UK NCSC); attributes activity to Russian FSB Center 16; register-entry only — TTP/hygiene advisory, no specific CVE; no full case-study bundle built, consistent with RR-005 precedent</t>
        </is>
      </c>
    </row>
    <row r="39" s="42">
      <c r="A39" s="52" t="inlineStr">
        <is>
          <t>RR-035</t>
        </is>
      </c>
      <c r="B39" s="53" t="inlineStr">
        <is>
          <t>2026-07-27</t>
        </is>
      </c>
      <c r="C39" s="53" t="inlineStr">
        <is>
          <t>CISA KEV</t>
        </is>
      </c>
      <c r="D39" s="53" t="inlineStr">
        <is>
          <t>CVE-2026-0770</t>
        </is>
      </c>
      <c r="E39" s="53" t="inlineStr">
        <is>
          <t>Langflow AI agent/workflow platform — unauthenticated remote code execution as root via the exec_globals parameter in the /api/v1/validate/code endpoint; CVSS 9.8; actively exploited since 2026-06-27 (220+ attempts, 64 source IPs) with observed AWS credential and container metadata theft attempts</t>
        </is>
      </c>
      <c r="F39" s="52" t="inlineStr">
        <is>
          <t>AI-Governance / Cloud-Security (dual-category)</t>
        </is>
      </c>
      <c r="G39" s="53" t="inlineStr">
        <is>
          <t>AI/LLM Infrastructure — Agent Orchestration Platform</t>
        </is>
      </c>
      <c r="H39" s="53" t="inlineStr">
        <is>
          <t>Langflow (versions 0 through 1.7.3)</t>
        </is>
      </c>
      <c r="I39" s="53" t="inlineStr">
        <is>
          <t>NIST AI RMF GOVERN 1.1/MAP 4.1/MANAGE 2.3 | ISO/IEC 42001 Clause 6.1.2/8.1 | NIST CSF 2.0 PR.AA-01/DE.CM-09 | NIST 800-53 IA-2/AC-3/SC-7 | EU AI Act Article 9</t>
        </is>
      </c>
      <c r="J39" s="53" t="inlineStr">
        <is>
          <t>IA-2, AC-3, SC-7</t>
        </is>
      </c>
      <c r="K39" s="52" t="n">
        <v>5</v>
      </c>
      <c r="L39" s="52" t="n">
        <v>5</v>
      </c>
      <c r="M39" s="52" t="n">
        <v>25</v>
      </c>
      <c r="N39" s="52" t="inlineStr">
        <is>
          <t>Critical</t>
        </is>
      </c>
      <c r="O39" s="52" t="inlineStr">
        <is>
          <t>Critical</t>
        </is>
      </c>
      <c r="P39" s="53" t="inlineStr">
        <is>
          <t>Standard application authentication (endpoint required none — root-cause control failure)</t>
        </is>
      </c>
      <c r="Q39" s="52" t="inlineStr">
        <is>
          <t>High until patched and credentials rotated</t>
        </is>
      </c>
      <c r="R39" s="53" t="inlineStr">
        <is>
          <t>Upgrade Langflow to the vendor-patched release addressing CVE-2026-0770 immediately; restrict /api/v1/validate/code to authenticated/internal-network access pending patch; rotate all AWS credentials and secrets reachable by any affected instance; review logs for exploitation since 2026-06-27</t>
        </is>
      </c>
      <c r="S39" s="52" t="inlineStr">
        <is>
          <t>N/A (AI governance context)</t>
        </is>
      </c>
      <c r="T39" s="53" t="inlineStr">
        <is>
          <t>AI/Platform Engineering / Security Operations</t>
        </is>
      </c>
      <c r="U39" s="52" t="inlineStr">
        <is>
          <t>Open — Emergency</t>
        </is>
      </c>
      <c r="V39" s="52" t="inlineStr">
        <is>
          <t>2026-07-24</t>
        </is>
      </c>
      <c r="W39" s="52" t="inlineStr">
        <is>
          <t>2026-07-27</t>
        </is>
      </c>
      <c r="X39" s="53" t="inlineStr">
        <is>
          <t>KEV added 2026-07-21; 3-day BOD 26-04 mandate; fourth actively-exploited Langflow KEV entry in 14 months (after CVE-2025-3248, CVE-2026-33017, CVE-2026-55255/RR-028); distinct vulnerability from RR-028 (no auth required at all, root-level); dual-category bundle duplicated in AI-Governance and Cloud-Security</t>
        </is>
      </c>
    </row>
    <row r="40" s="42">
      <c r="A40" s="52" t="inlineStr">
        <is>
          <t>RR-036</t>
        </is>
      </c>
      <c r="B40" s="53" t="inlineStr">
        <is>
          <t>2026-07-27</t>
        </is>
      </c>
      <c r="C40" s="53" t="inlineStr">
        <is>
          <t>CISA KEV</t>
        </is>
      </c>
      <c r="D40" s="53" t="inlineStr">
        <is>
          <t>CVE-2026-63030; CVE-2026-60137</t>
        </is>
      </c>
      <c r="E40" s="53" t="inlineStr">
        <is>
          <t>WordPress Core "wp2shell" exploit chain — REST API batch-route confusion (CVE-2026-63030) chained with unauthenticated SQL injection in WP_Query author__not_in (CVE-2026-60137) enabling full unauthenticated remote code execution; CVSS 9.8 (CNA/Wordfence/WPScan; CISA-ADP secondary score 7.5); actively exploited with webshell and rogue-admin-account deployment; first critical unauthenticated WordPress Core RCE in nearly a decade</t>
        </is>
      </c>
      <c r="F40" s="52" t="inlineStr">
        <is>
          <t>IT-OT-Threats</t>
        </is>
      </c>
      <c r="G40" s="53" t="inlineStr">
        <is>
          <t>Public-Facing CMS Web Applications</t>
        </is>
      </c>
      <c r="H40" s="53" t="inlineStr">
        <is>
          <t>WordPress Core 6.8.0-6.8.5 / 6.9.0-6.9.4 / 7.0.0-7.0.1</t>
        </is>
      </c>
      <c r="I40" s="53" t="inlineStr">
        <is>
          <t>NIST CSF 2.0 PR.PS-04/DE.CM-09 | NIST 800-53 SI-2/SI-10/AC-3 | ISO 27001 A.8.8 | CIS Control 7/16</t>
        </is>
      </c>
      <c r="J40" s="53" t="inlineStr">
        <is>
          <t>SI-2, SI-10, AC-3</t>
        </is>
      </c>
      <c r="K40" s="52" t="n">
        <v>5</v>
      </c>
      <c r="L40" s="52" t="n">
        <v>5</v>
      </c>
      <c r="M40" s="52" t="n">
        <v>25</v>
      </c>
      <c r="N40" s="52" t="inlineStr">
        <is>
          <t>Critical</t>
        </is>
      </c>
      <c r="O40" s="52" t="inlineStr">
        <is>
          <t>Critical</t>
        </is>
      </c>
      <c r="P40" s="53" t="inlineStr">
        <is>
          <t>WordPress Core auto-update (effective only where not disabled); no default WAF coverage of the vulnerable REST route</t>
        </is>
      </c>
      <c r="Q40" s="52" t="inlineStr">
        <is>
          <t>High until patched and compromise-swept</t>
        </is>
      </c>
      <c r="R40" s="53" t="inlineStr">
        <is>
          <t>Upgrade WordPress Core to 7.0.2 / 6.9.5 / 6.8.6 on all sites immediately; sweep web roots (especially /wp-content/cache/) for webshells; audit administrator accounts and installed plugins for unauthorized additions; rotate database credentials and authentication keys if sweep findings are positive</t>
        </is>
      </c>
      <c r="S40" s="52" t="inlineStr">
        <is>
          <t>Control 7 / Control 16</t>
        </is>
      </c>
      <c r="T40" s="53" t="inlineStr">
        <is>
          <t>Web/IT Operations / Security Operations</t>
        </is>
      </c>
      <c r="U40" s="52" t="inlineStr">
        <is>
          <t>Open — Emergency</t>
        </is>
      </c>
      <c r="V40" s="52" t="inlineStr">
        <is>
          <t>2026-07-24</t>
        </is>
      </c>
      <c r="W40" s="52" t="inlineStr">
        <is>
          <t>2026-07-27</t>
        </is>
      </c>
      <c r="X40" s="53" t="inlineStr">
        <is>
          <t>KEV added 2026-07-21; exploitation confirmed predating public disclosure (probing observed 2026-07-17); patch rate ~81.6% of sampled sites as of run date; full bundle in IT-OT-Threats/2026-07-CISA-KEV-WordPress-Core-wp2shell</t>
        </is>
      </c>
    </row>
    <row r="41" s="42">
      <c r="A41" s="52" t="inlineStr">
        <is>
          <t>RR-037</t>
        </is>
      </c>
      <c r="B41" s="53" t="inlineStr">
        <is>
          <t>2026-07-27</t>
        </is>
      </c>
      <c r="C41" s="53" t="inlineStr">
        <is>
          <t>CISA KEV</t>
        </is>
      </c>
      <c r="D41" s="53" t="inlineStr">
        <is>
          <t>CVE-2026-16232 (related: CVE-2026-62144, CVE-2026-62145)</t>
        </is>
      </c>
      <c r="E41" s="53" t="inlineStr">
        <is>
          <t>Check Point SmartConsole authentication bypass — unauthenticated attacker obtains application login token and authenticates with full administrative privileges over Security Management/MDSM, enabling security policy modification; CVSS 9.3; confirmed active exploitation against a limited customer set; exploitation requires Management Server internet exposure without Trusted Client IP restriction</t>
        </is>
      </c>
      <c r="F41" s="52" t="inlineStr">
        <is>
          <t>IT-OT-Threats</t>
        </is>
      </c>
      <c r="G41" s="53" t="inlineStr">
        <is>
          <t>Security Management / Firewall Control-Plane Infrastructure</t>
        </is>
      </c>
      <c r="H41" s="53" t="inlineStr">
        <is>
          <t>Check Point Security Management / Multi-Domain Security Management, R77.30-R82.10</t>
        </is>
      </c>
      <c r="I41" s="53" t="inlineStr">
        <is>
          <t>NIST CSF 2.0 PR.AA-05/DE.CM-01 | NIST 800-53 IA-2/AC-6/SC-7 | ISO 27001 A.8.20/A.8.9 | CIS Control 4/12</t>
        </is>
      </c>
      <c r="J41" s="53" t="inlineStr">
        <is>
          <t>IA-2, AC-6, SC-7</t>
        </is>
      </c>
      <c r="K41" s="52" t="n">
        <v>4</v>
      </c>
      <c r="L41" s="52" t="n">
        <v>5</v>
      </c>
      <c r="M41" s="52" t="n">
        <v>20</v>
      </c>
      <c r="N41" s="52" t="inlineStr">
        <is>
          <t>Critical</t>
        </is>
      </c>
      <c r="O41" s="52" t="inlineStr">
        <is>
          <t>Critical</t>
        </is>
      </c>
      <c r="P41" s="53" t="inlineStr">
        <is>
          <t>Trusted Client IP allowlist (frequently unconfigured/unrestricted in practice)</t>
        </is>
      </c>
      <c r="Q41" s="52" t="inlineStr">
        <is>
          <t>Low-Medium once hotfix applied and Trusted Clients restricted</t>
        </is>
      </c>
      <c r="R41" s="53" t="inlineStr">
        <is>
          <t>Apply the July 22 Jumbo hotfix to all Management Servers; restrict Trusted Clients (GUI clients) to known administrative IP ranges; place Management Server behind VPN/firewall; compare live firewall policy and admin accounts against last known-good baseline</t>
        </is>
      </c>
      <c r="S41" s="52" t="inlineStr">
        <is>
          <t>Control 4 / Control 12</t>
        </is>
      </c>
      <c r="T41" s="53" t="inlineStr">
        <is>
          <t>Security Architecture / Network Engineering</t>
        </is>
      </c>
      <c r="U41" s="52" t="inlineStr">
        <is>
          <t>Open — Emergency</t>
        </is>
      </c>
      <c r="V41" s="52" t="inlineStr">
        <is>
          <t>2026-07-25</t>
        </is>
      </c>
      <c r="W41" s="52" t="inlineStr">
        <is>
          <t>2026-07-27</t>
        </is>
      </c>
      <c r="X41" s="53" t="inlineStr">
        <is>
          <t>KEV added 2026-07-22; related CVE-2026-62144 (CVSS 9.3, admin command execution bypass) and CVE-2026-62145 (CVSS 7.5, Gaia Portal root privilege escalation) patched in same hotfix — not separately KEV-listed/exploited, tracked here as context rather than separate register rows per program precedent for non-independently-triaged companion CVEs; full bundle in IT-OT-Threats/2026-07-CISA-KEV-CheckPoint-SmartConsole</t>
        </is>
      </c>
    </row>
    <row r="42" s="42">
      <c r="A42" s="52" t="inlineStr">
        <is>
          <t>RR-038</t>
        </is>
      </c>
      <c r="B42" s="53" t="inlineStr">
        <is>
          <t>2026-07-27</t>
        </is>
      </c>
      <c r="C42" s="53" t="inlineStr">
        <is>
          <t>CISA KEV</t>
        </is>
      </c>
      <c r="D42" s="53" t="inlineStr">
        <is>
          <t>CVE-2026-50522</t>
        </is>
      </c>
      <c r="E42" s="53" t="inlineStr">
        <is>
          <t>Microsoft SharePoint Server (on-premises) deserialization of untrusted data enabling RCE for an attacker authenticated as at least Site Owner; CVSS 9.8; public PoC released 2026-07-20, active exploitation within hours including theft of IIS machine keys enabling forged authentication tokens that persist after patching; third SharePoint Server CVE exploited in an ongoing July attack wave</t>
        </is>
      </c>
      <c r="F42" s="52" t="inlineStr">
        <is>
          <t>IT-OT-Threats</t>
        </is>
      </c>
      <c r="G42" s="53" t="inlineStr">
        <is>
          <t>Enterprise Collaboration / Document Management Platform</t>
        </is>
      </c>
      <c r="H42" s="53" t="inlineStr">
        <is>
          <t>Microsoft SharePoint Server — Subscription Edition, 2019, 2016 (on-premises)</t>
        </is>
      </c>
      <c r="I42" s="53" t="inlineStr">
        <is>
          <t>NIST CSF 2.0 PR.PS-04/RS.AN-03/DE.CM-01 | NIST 800-53 SI-2/SI-3/IA-5 | ISO 27001 A.8.8 | CIS Control 7/16</t>
        </is>
      </c>
      <c r="J42" s="53" t="inlineStr">
        <is>
          <t>SI-2, SI-3, IA-5</t>
        </is>
      </c>
      <c r="K42" s="52" t="n">
        <v>5</v>
      </c>
      <c r="L42" s="52" t="n">
        <v>5</v>
      </c>
      <c r="M42" s="52" t="n">
        <v>25</v>
      </c>
      <c r="N42" s="52" t="inlineStr">
        <is>
          <t>Critical</t>
        </is>
      </c>
      <c r="O42" s="52" t="inlineStr">
        <is>
          <t>Critical</t>
        </is>
      </c>
      <c r="P42" s="53" t="inlineStr">
        <is>
          <t>Standard Site Owner-level authorization (insufficient — vulnerability exploitable at that privilege tier)</t>
        </is>
      </c>
      <c r="Q42" s="52" t="inlineStr">
        <is>
          <t>High until patched AND machine keys rotated — patching alone is explicitly insufficient per researcher guidance</t>
        </is>
      </c>
      <c r="R42" s="53" t="inlineStr">
        <is>
          <t>Apply Microsoft's security update for CVE-2026-50522 to all on-prem SharePoint servers; sweep for web shells/persistence artifacts BEFORE rotating machine keys; rotate IIS machine keys and invalidate existing sessions only after sweep confirms clean; remediate jointly with related CVE-2026-32201/-45659/-56164/-58644</t>
        </is>
      </c>
      <c r="S42" s="52" t="inlineStr">
        <is>
          <t>Control 7 (7.4) / Control 16</t>
        </is>
      </c>
      <c r="T42" s="53" t="inlineStr">
        <is>
          <t>Enterprise Application Engineering</t>
        </is>
      </c>
      <c r="U42" s="52" t="inlineStr">
        <is>
          <t>Open — Emergency</t>
        </is>
      </c>
      <c r="V42" s="52" t="inlineStr">
        <is>
          <t>2026-07-25</t>
        </is>
      </c>
      <c r="W42" s="52" t="inlineStr">
        <is>
          <t>2026-07-27</t>
        </is>
      </c>
      <c r="X42" s="53" t="inlineStr">
        <is>
          <t>KEV added 2026-07-22; watchTowr confirmed active exploitation and explicitly warned patching alone is insufficient (machine key theft survives patch); third of four related SharePoint CVEs exploited this month; full bundle in IT-OT-Threats/2026-07-CISA-KEV-SharePoint-MachineKeyTheft</t>
        </is>
      </c>
    </row>
    <row r="43" s="42">
      <c r="A43" s="52" t="inlineStr">
        <is>
          <t>RR-039</t>
        </is>
      </c>
      <c r="B43" s="53" t="inlineStr">
        <is>
          <t>2026-07-27</t>
        </is>
      </c>
      <c r="C43" s="53" t="inlineStr">
        <is>
          <t>CISA KEV</t>
        </is>
      </c>
      <c r="D43" s="53" t="inlineStr">
        <is>
          <t>CVE-2021-27137</t>
        </is>
      </c>
      <c r="E43" s="53" t="inlineStr">
        <is>
          <t>DD-WRT router firmware — stack-based buffer overflow in UPnP SSDP M-SEARCH handling (unsafe strcpy) allowing unauthenticated remote attacker to overflow a fixed internal buffer; CVSS 8.1; KEV-listed based on confirmed exploitation, but requires UPnP enabled (off by default) and listening on an externally-reachable interface (internal-only by default)</t>
        </is>
      </c>
      <c r="F43" s="52" t="inlineStr">
        <is>
          <t>IT-OT-Threats</t>
        </is>
      </c>
      <c r="G43" s="53" t="inlineStr">
        <is>
          <t>SOHO/SMB Network Infrastructure</t>
        </is>
      </c>
      <c r="H43" s="53" t="inlineStr">
        <is>
          <t>DD-WRT firmware, builds prior to 45724</t>
        </is>
      </c>
      <c r="I43" s="53" t="inlineStr">
        <is>
          <t>NIST CSF 2.0 PR.PS-04 | NIST 800-53 SI-2/SI-10 | CIS Control 4</t>
        </is>
      </c>
      <c r="J43" s="53" t="inlineStr">
        <is>
          <t>SI-2, SI-10</t>
        </is>
      </c>
      <c r="K43" s="52" t="n">
        <v>3</v>
      </c>
      <c r="L43" s="52" t="n">
        <v>4</v>
      </c>
      <c r="M43" s="52" t="n">
        <v>12</v>
      </c>
      <c r="N43" s="52" t="inlineStr">
        <is>
          <t>High</t>
        </is>
      </c>
      <c r="O43" s="52" t="inlineStr">
        <is>
          <t>High</t>
        </is>
      </c>
      <c r="P43" s="53" t="inlineStr">
        <is>
          <t>UPnP disabled by default; internal-interface-only listening by default</t>
        </is>
      </c>
      <c r="Q43" s="52" t="inlineStr">
        <is>
          <t>Low-Medium given non-default exploitation prerequisite; High if UPnP is enabled and reachable</t>
        </is>
      </c>
      <c r="R43" s="53" t="inlineStr">
        <is>
          <t>Update DD-WRT firmware to build 45724 or later; disable UPnP where not operationally required; if UPnP must remain enabled, confirm it is not reachable from external interfaces</t>
        </is>
      </c>
      <c r="S43" s="52" t="inlineStr">
        <is>
          <t>Control 4</t>
        </is>
      </c>
      <c r="T43" s="53" t="inlineStr">
        <is>
          <t>Network Engineering</t>
        </is>
      </c>
      <c r="U43" s="52" t="inlineStr">
        <is>
          <t>Open — Standard Cycle</t>
        </is>
      </c>
      <c r="V43" s="52" t="inlineStr">
        <is>
          <t>2026-08-17</t>
        </is>
      </c>
      <c r="W43" s="52" t="inlineStr">
        <is>
          <t>2026-07-27</t>
        </is>
      </c>
      <c r="X43" s="53" t="inlineStr">
        <is>
          <t>KEV added 2026-07-21 alongside Langflow/WordPress additions; register-entry only — no full case-study bundle built; narrow, non-default exploitation prerequisite places this below full-bundle threshold, consistent with RR-021/RR-034 precedent</t>
        </is>
      </c>
    </row>
    <row r="44" s="42">
      <c r="A44" s="52" t="inlineStr">
        <is>
          <t>RR-040</t>
        </is>
      </c>
      <c r="B44" s="53" t="inlineStr">
        <is>
          <t>2026-07-27</t>
        </is>
      </c>
      <c r="C44" s="53" t="inlineStr">
        <is>
          <t>CISA KEV</t>
        </is>
      </c>
      <c r="D44" s="53" t="inlineStr">
        <is>
          <t>CVE-2026-16812</t>
        </is>
      </c>
      <c r="E44" s="53" t="inlineStr">
        <is>
          <t>Arista VeloCloud Orchestrator (VCO) — unauthenticated OS command injection enabling full orchestrator compromise; actively exploited</t>
        </is>
      </c>
      <c r="F44" s="52" t="inlineStr">
        <is>
          <t>IT — Network (SD-WAN)</t>
        </is>
      </c>
      <c r="G44" s="53" t="inlineStr">
        <is>
          <t>SD-WAN Management Plane</t>
        </is>
      </c>
      <c r="H44" s="53" t="inlineStr">
        <is>
          <t>Arista VeloCloud Orchestrator (on-prem)</t>
        </is>
      </c>
      <c r="I44" s="53" t="inlineStr">
        <is>
          <t>NIST CSF 2.0: PR.PS-04, PR.AA-05, DE.CM-01 | NIST 800-53: SI-10, SC-7, SI-2 | ISO 27001: A.8.8, A.8.20 | CIS Control 12</t>
        </is>
      </c>
      <c r="J44" s="53" t="inlineStr">
        <is>
          <t>SC — System &amp; Comms Protection</t>
        </is>
      </c>
      <c r="K44" s="52" t="n">
        <v>5</v>
      </c>
      <c r="L44" s="52" t="n">
        <v>5</v>
      </c>
      <c r="M44" s="52" t="n">
        <v>25</v>
      </c>
      <c r="N44" s="52" t="inlineStr">
        <is>
          <t>Critical</t>
        </is>
      </c>
      <c r="O44" s="52" t="inlineStr">
        <is>
          <t>Critical</t>
        </is>
      </c>
      <c r="P44" s="53" t="inlineStr">
        <is>
          <t>Vendor patch available; network segmentation varies by deployment</t>
        </is>
      </c>
      <c r="Q44" s="52" t="inlineStr">
        <is>
          <t>Low (post-patch + isolation)</t>
        </is>
      </c>
      <c r="R44" s="53" t="inlineStr">
        <is>
          <t>Upgrade to VCO 5.2.3.14 / 6.1.3.4 / 6.4.2.4 / 7.0.0.1+; restrict management interface to admin network</t>
        </is>
      </c>
      <c r="S44" s="52" t="inlineStr">
        <is>
          <t>CIS Control 12.2 — Establish and Maintain a Secure Network Architecture</t>
        </is>
      </c>
      <c r="T44" s="53" t="inlineStr">
        <is>
          <t>Blaise Kingko</t>
        </is>
      </c>
      <c r="U44" s="52" t="inlineStr">
        <is>
          <t>Open</t>
        </is>
      </c>
      <c r="V44" s="52" t="inlineStr">
        <is>
          <t>2026-07-30</t>
        </is>
      </c>
      <c r="W44" s="52" t="inlineStr">
        <is>
          <t>2026-08-03</t>
        </is>
      </c>
      <c r="X44" s="53" t="inlineStr">
        <is>
          <t>Actively exploited per CISA KEV; 3-day federal remediation window. CVSS 10.0. Case folder: IT-OT-Threats/2026-08-CISA-KEV-Arista-VeloCloud-CommandInjection</t>
        </is>
      </c>
    </row>
    <row r="45" s="42">
      <c r="A45" s="52" t="inlineStr">
        <is>
          <t>RR-041</t>
        </is>
      </c>
      <c r="B45" s="53" t="inlineStr">
        <is>
          <t>2026-07-29</t>
        </is>
      </c>
      <c r="C45" s="53" t="inlineStr">
        <is>
          <t>CISA KEV</t>
        </is>
      </c>
      <c r="D45" s="53" t="inlineStr">
        <is>
          <t>CVE-2026-20316</t>
        </is>
      </c>
      <c r="E45" s="53" t="inlineStr">
        <is>
          <t>Cisco Secure Firewall Management Center — hard-coded low-privileged credential; actively exploited zero-day</t>
        </is>
      </c>
      <c r="F45" s="52" t="inlineStr">
        <is>
          <t>IT — Network (Firewall Management)</t>
        </is>
      </c>
      <c r="G45" s="53" t="inlineStr">
        <is>
          <t>Firewall Management Plane</t>
        </is>
      </c>
      <c r="H45" s="53" t="inlineStr">
        <is>
          <t>Cisco Secure Firewall Management Center</t>
        </is>
      </c>
      <c r="I45" s="53" t="inlineStr">
        <is>
          <t>NIST CSF 2.0: PR.AA-01, DE.CM-03 | NIST 800-53: IA-5, AC-2, CM-6 | ISO 27001: A.5.17, A.8.5 | CIS Control 5</t>
        </is>
      </c>
      <c r="J45" s="53" t="inlineStr">
        <is>
          <t>IA — Identification &amp; Authentication</t>
        </is>
      </c>
      <c r="K45" s="52" t="n">
        <v>5</v>
      </c>
      <c r="L45" s="52" t="n">
        <v>4</v>
      </c>
      <c r="M45" s="52" t="n">
        <v>20</v>
      </c>
      <c r="N45" s="52" t="inlineStr">
        <is>
          <t>Critical</t>
        </is>
      </c>
      <c r="O45" s="52" t="inlineStr">
        <is>
          <t>Critical</t>
        </is>
      </c>
      <c r="P45" s="53" t="inlineStr">
        <is>
          <t>Vendor hot fix/patch available; no customer-side workaround pre-patch</t>
        </is>
      </c>
      <c r="Q45" s="52" t="inlineStr">
        <is>
          <t>Low-Medium (post-patch + credential rotation)</t>
        </is>
      </c>
      <c r="R45" s="53" t="inlineStr">
        <is>
          <t>Upgrade to FMC 7.0.9+ / 7.2.11+ / 7.4.6+ per branch; rotate all managed credentials, certificates, and keys</t>
        </is>
      </c>
      <c r="S45" s="52" t="inlineStr">
        <is>
          <t>CIS Control 5.1 — Establish and Maintain an Inventory of Accounts</t>
        </is>
      </c>
      <c r="T45" s="53" t="inlineStr">
        <is>
          <t>Blaise Kingko</t>
        </is>
      </c>
      <c r="U45" s="52" t="inlineStr">
        <is>
          <t>Open</t>
        </is>
      </c>
      <c r="V45" s="52" t="inlineStr">
        <is>
          <t>2026-08-01</t>
        </is>
      </c>
      <c r="W45" s="52" t="inlineStr">
        <is>
          <t>2026-08-03</t>
        </is>
      </c>
      <c r="X45" s="53" t="inlineStr">
        <is>
          <t>Zero-day, actively exploited. Cisco Security Impact Rating 8.9 (High). Case folder: IT-OT-Threats/2026-08-CISA-KEV-Cisco-FMC-HardcodedPassword</t>
        </is>
      </c>
    </row>
    <row r="46" s="42">
      <c r="A46" s="52" t="inlineStr">
        <is>
          <t>RR-042</t>
        </is>
      </c>
      <c r="B46" s="53" t="inlineStr">
        <is>
          <t>2026-07-30</t>
        </is>
      </c>
      <c r="C46" s="53" t="inlineStr">
        <is>
          <t>MSRC / Microsoft Security Advisory</t>
        </is>
      </c>
      <c r="D46" s="53" t="inlineStr">
        <is>
          <t>CVE-2026-66803</t>
        </is>
      </c>
      <c r="E46" s="53" t="inlineStr">
        <is>
          <t>Azure Cosmos DB "CosmosEscape" — Gremlin API sandbox escape exposing platform-wide signing secret, enabling cross-tenant database compromise (Wiz Research; fully remediated by Microsoft pre-disclosure)</t>
        </is>
      </c>
      <c r="F46" s="52" t="inlineStr">
        <is>
          <t>Cloud — Data Platform (CSP-side)</t>
        </is>
      </c>
      <c r="G46" s="53" t="inlineStr">
        <is>
          <t>Cloud Database Platform (multi-tenant control plane)</t>
        </is>
      </c>
      <c r="H46" s="53" t="inlineStr">
        <is>
          <t>Microsoft Azure Cosmos DB (Gremlin API)</t>
        </is>
      </c>
      <c r="I46" s="53" t="inlineStr">
        <is>
          <t>NIST CSF 2.0: GV.SC-06, GV.SC-07 | NIST 800-53: SA-9, CA-3 | ISO 27001: A.5.23, A.5.19 | CIS Control 3.11</t>
        </is>
      </c>
      <c r="J46" s="53" t="inlineStr">
        <is>
          <t>SA — System &amp; Services Acquisition (Third-Party Risk)</t>
        </is>
      </c>
      <c r="K46" s="52" t="n">
        <v>2</v>
      </c>
      <c r="L46" s="52" t="n">
        <v>5</v>
      </c>
      <c r="M46" s="52" t="n">
        <v>10</v>
      </c>
      <c r="N46" s="52" t="inlineStr">
        <is>
          <t>High</t>
        </is>
      </c>
      <c r="O46" s="52" t="inlineStr">
        <is>
          <t>Critical (pre-remediation)</t>
        </is>
      </c>
      <c r="P46" s="53" t="inlineStr">
        <is>
          <t>Fully remediated by Microsoft platform-wide prior to disclosure; no evidence of customer impact</t>
        </is>
      </c>
      <c r="Q46" s="52" t="inlineStr">
        <is>
          <t>Low</t>
        </is>
      </c>
      <c r="R46" s="53" t="inlineStr">
        <is>
          <t>Log in cloud vendor risk register; confirm remediation coverage with Azure account team; no customer-side technical action required</t>
        </is>
      </c>
      <c r="S46" s="52" t="inlineStr">
        <is>
          <t>CIS Control 3.11 — Encrypt Sensitive Data at Rest (defense-in-depth, CMK)</t>
        </is>
      </c>
      <c r="T46" s="53" t="inlineStr">
        <is>
          <t>Blaise Kingko</t>
        </is>
      </c>
      <c r="U46" s="52" t="inlineStr">
        <is>
          <t>Monitoring — Register-Only Governance Item</t>
        </is>
      </c>
      <c r="V46" s="52" t="inlineStr">
        <is>
          <t>2026-08-17</t>
        </is>
      </c>
      <c r="W46" s="52" t="inlineStr">
        <is>
          <t>2026-08-03</t>
        </is>
      </c>
      <c r="X46" s="53" t="inlineStr">
        <is>
          <t>Wiz Research responsible disclosure; reported to Microsoft Nov 2025, hotfixed within 2 days, full platform remediation completed July 2026. No known exploitation. Case folder: Cloud-Security/2026-08-MSRC-Azure-CosmosDB-CrossTenantEscape</t>
        </is>
      </c>
    </row>
    <row r="47" s="42">
      <c r="A47" s="52" t="inlineStr">
        <is>
          <t>RR-043</t>
        </is>
      </c>
      <c r="B47" s="53" t="inlineStr">
        <is>
          <t>2026-08-02</t>
        </is>
      </c>
      <c r="C47" s="53" t="inlineStr">
        <is>
          <t>EU AI Act / European Commission AI Office</t>
        </is>
      </c>
      <c r="D47" s="53" t="inlineStr">
        <is>
          <t>N/A — Regulation (EU) 2024/1689, Art. 50/99</t>
        </is>
      </c>
      <c r="E47" s="53" t="inlineStr">
        <is>
          <t>EU AI Act Article 50 transparency obligations now actively enforced — AI-interaction disclosure, deepfake labeling, and generative-content watermarking required; non-compliance risk for EU-facing AI chatbots/content tools</t>
        </is>
      </c>
      <c r="F47" s="52" t="inlineStr">
        <is>
          <t>AI Governance — Regulatory Compliance</t>
        </is>
      </c>
      <c r="G47" s="53" t="inlineStr">
        <is>
          <t>Customer-facing AI/chatbot and generative content systems</t>
        </is>
      </c>
      <c r="H47" s="53" t="inlineStr">
        <is>
          <t>Any EU-facing AI interaction or generative content feature</t>
        </is>
      </c>
      <c r="I47" s="53" t="inlineStr">
        <is>
          <t>NIST AI RMF: GOVERN 1.1, MAP 1.1, MANAGE 4.1 | ISO 42001: Cl. 8.4, Cl. 6.1.3 | EU AI Act: Art. 50, Art. 99</t>
        </is>
      </c>
      <c r="J47" s="53" t="inlineStr">
        <is>
          <t>GV — Govern (AI Governance)</t>
        </is>
      </c>
      <c r="K47" s="52" t="n">
        <v>5</v>
      </c>
      <c r="L47" s="52" t="n">
        <v>4</v>
      </c>
      <c r="M47" s="52" t="n">
        <v>20</v>
      </c>
      <c r="N47" s="52" t="inlineStr">
        <is>
          <t>Critical</t>
        </is>
      </c>
      <c r="O47" s="52" t="inlineStr">
        <is>
          <t>High</t>
        </is>
      </c>
      <c r="P47" s="53" t="inlineStr">
        <is>
          <t>Varies by organization; many EU-facing AI deployments lack conspicuous disclosure/watermarking today</t>
        </is>
      </c>
      <c r="Q47" s="52" t="inlineStr">
        <is>
          <t>Low (post-implementation of disclosure UI + watermarking)</t>
        </is>
      </c>
      <c r="R47" s="53" t="inlineStr">
        <is>
          <t>Implement AI-interaction disclosure UI, deepfake labeling, C2PA-compliant watermarking; publish compliance attestation</t>
        </is>
      </c>
      <c r="S47" s="52" t="inlineStr">
        <is>
          <t>N/A — regulatory/governance control, not CIS-mapped</t>
        </is>
      </c>
      <c r="T47" s="53" t="inlineStr">
        <is>
          <t>Blaise Kingko</t>
        </is>
      </c>
      <c r="U47" s="52" t="inlineStr">
        <is>
          <t>Open</t>
        </is>
      </c>
      <c r="V47" s="52" t="inlineStr">
        <is>
          <t>2026-11-01</t>
        </is>
      </c>
      <c r="W47" s="52" t="inlineStr">
        <is>
          <t>2026-08-03</t>
        </is>
      </c>
      <c r="X47" s="53" t="inlineStr">
        <is>
          <t>Enforcement began 2026-08-02; fines up to €15M or 3% global turnover (Art. 99 Tier 2). Parallel California SB 942 obligation, same effective date. High-risk AI system obligations separately delayed to Dec 2027 via Digital Omnibus — do not conflate the two timelines. Case folder: AI-Governance/2026-08-EU-AI-Act-Transparency-Enforcement</t>
        </is>
      </c>
    </row>
    <row r="48" s="42">
      <c r="A48" s="52" t="inlineStr">
        <is>
          <t>RR-044</t>
        </is>
      </c>
      <c r="B48" s="53" t="inlineStr">
        <is>
          <t>2026-07-27</t>
        </is>
      </c>
      <c r="C48" s="53" t="inlineStr">
        <is>
          <t>CISA KEV</t>
        </is>
      </c>
      <c r="D48" s="53" t="inlineStr">
        <is>
          <t>CVE-2025-68686</t>
        </is>
      </c>
      <c r="E48" s="53" t="inlineStr">
        <is>
          <t>Fortinet FortiOS — Exposure of Sensitive Information allowing bypass of symlink-persistence patch; requires prior filesystem-level compromise via separate vulnerability</t>
        </is>
      </c>
      <c r="F48" s="52" t="inlineStr">
        <is>
          <t>IT — Network (Register-Only)</t>
        </is>
      </c>
      <c r="G48" s="53" t="inlineStr">
        <is>
          <t>Network Security Appliance</t>
        </is>
      </c>
      <c r="H48" s="53" t="inlineStr">
        <is>
          <t>Fortinet FortiOS 6.4 – 7.6.1</t>
        </is>
      </c>
      <c r="I48" s="53" t="inlineStr">
        <is>
          <t>NIST CSF 2.0: PR.PS-04 | NIST 800-53: SI-2, CM-6 | CIS Control 7</t>
        </is>
      </c>
      <c r="J48" s="53" t="inlineStr">
        <is>
          <t>SI — System Integrity</t>
        </is>
      </c>
      <c r="K48" s="52" t="n">
        <v>3</v>
      </c>
      <c r="L48" s="52" t="n">
        <v>2</v>
      </c>
      <c r="M48" s="52" t="n">
        <v>6</v>
      </c>
      <c r="N48" s="52" t="inlineStr">
        <is>
          <t>Medium</t>
        </is>
      </c>
      <c r="O48" s="52" t="inlineStr">
        <is>
          <t>Medium</t>
        </is>
      </c>
      <c r="P48" s="53" t="inlineStr">
        <is>
          <t>Vendor patch available</t>
        </is>
      </c>
      <c r="Q48" s="52" t="inlineStr">
        <is>
          <t>Low</t>
        </is>
      </c>
      <c r="R48" s="53" t="inlineStr">
        <is>
          <t>Apply FortiOS patch; verify no symlink-based persistence remains from any prior compromise</t>
        </is>
      </c>
      <c r="S48" s="52" t="inlineStr">
        <is>
          <t>CIS Control 7.4</t>
        </is>
      </c>
      <c r="T48" s="53" t="inlineStr">
        <is>
          <t>Blaise Kingko</t>
        </is>
      </c>
      <c r="U48" s="52" t="inlineStr">
        <is>
          <t>Open — Register-Only</t>
        </is>
      </c>
      <c r="V48" s="52" t="inlineStr">
        <is>
          <t>2026-08-17</t>
        </is>
      </c>
      <c r="W48" s="52" t="inlineStr">
        <is>
          <t>2026-08-03</t>
        </is>
      </c>
      <c r="X48" s="53" t="inlineStr">
        <is>
          <t>KEV-listed (active exploitation confirmed) but CVSS 5.3 with narrow precondition — requires prior compromise via separate vulnerability to exploit. Register-only entry, no full case bundle, per RR-021/RR-034 precedent for narrow-precondition KEV findings.</t>
        </is>
      </c>
    </row>
    <row r="49">
      <c r="A49" s="52" t="inlineStr">
        <is>
          <t>RR-045</t>
        </is>
      </c>
      <c r="B49" s="53" t="inlineStr">
        <is>
          <t>2026-08-04</t>
        </is>
      </c>
      <c r="C49" s="53" t="inlineStr">
        <is>
          <t>CISA KEV</t>
        </is>
      </c>
      <c r="D49" s="53" t="inlineStr">
        <is>
          <t>CVE-2026-9198</t>
        </is>
      </c>
      <c r="E49" s="53" t="inlineStr">
        <is>
          <t>IBM Langflow OSS — unauthenticated auto-login token forge chained with code-validation exec() RCE; actively exploited</t>
        </is>
      </c>
      <c r="F49" s="52" t="inlineStr">
        <is>
          <t>AI — Agent/Workflow Platform</t>
        </is>
      </c>
      <c r="G49" s="53" t="inlineStr">
        <is>
          <t>AI Agent/Workflow Orchestration Platform</t>
        </is>
      </c>
      <c r="H49" s="53" t="inlineStr">
        <is>
          <t>IBM Langflow OSS (1.0.0-1.10.0)</t>
        </is>
      </c>
      <c r="I49" s="53" t="inlineStr">
        <is>
          <t>NIST AI RMF: MAP 5.1, GOVERN 1.1 | ISO 42001: 8.4 | NIST CSF 2.0: PR.PS-01 | NIST 800-53: IA-2, SI-2 | CIS Control 16.1</t>
        </is>
      </c>
      <c r="J49" s="53" t="inlineStr">
        <is>
          <t>IA — Identification &amp; Authentication</t>
        </is>
      </c>
      <c r="K49" s="52" t="n">
        <v>5</v>
      </c>
      <c r="L49" s="52" t="n">
        <v>5</v>
      </c>
      <c r="M49" s="52" t="n">
        <v>25</v>
      </c>
      <c r="N49" s="52" t="inlineStr">
        <is>
          <t>Critical</t>
        </is>
      </c>
      <c r="O49" s="52" t="inlineStr">
        <is>
          <t>Critical</t>
        </is>
      </c>
      <c r="P49" s="53" t="inlineStr">
        <is>
          <t>Vendor patch available (1.10.1); no customer-side workaround pre-patch beyond network isolation</t>
        </is>
      </c>
      <c r="Q49" s="52" t="inlineStr">
        <is>
          <t>Low-Medium (post-patch + full credential rotation)</t>
        </is>
      </c>
      <c r="R49" s="53" t="inlineStr">
        <is>
          <t>Upgrade to Langflow 1.10.1+; rotate all credentials/API keys wired into flows on affected instance</t>
        </is>
      </c>
      <c r="S49" s="52" t="inlineStr">
        <is>
          <t>CIS Control 16.1 — Application Software Security</t>
        </is>
      </c>
      <c r="T49" s="53" t="inlineStr">
        <is>
          <t>Blaise Kingko</t>
        </is>
      </c>
      <c r="U49" s="52" t="inlineStr">
        <is>
          <t>Open — Emergency</t>
        </is>
      </c>
      <c r="V49" s="52" t="inlineStr">
        <is>
          <t>2026-08-15</t>
        </is>
      </c>
      <c r="W49" s="52" t="inlineStr">
        <is>
          <t>2026-08-10</t>
        </is>
      </c>
      <c r="X49" s="53" t="inlineStr">
        <is>
          <t>Third Langflow CVE logged in 90 days (see RR-028, RR-035) — platform-level trust pattern. Case folder: AI-Governance/2026-08-CISA-KEV-Langflow-AutoLoginRCE (dual: Cloud-Security)</t>
        </is>
      </c>
    </row>
    <row r="50">
      <c r="A50" s="52" t="inlineStr">
        <is>
          <t>RR-046</t>
        </is>
      </c>
      <c r="B50" s="53" t="inlineStr">
        <is>
          <t>2026-08-03</t>
        </is>
      </c>
      <c r="C50" s="53" t="inlineStr">
        <is>
          <t>CISA KEV</t>
        </is>
      </c>
      <c r="D50" s="53" t="inlineStr">
        <is>
          <t>CVE-2026-18556; CVE-2026-18577</t>
        </is>
      </c>
      <c r="E50" s="53" t="inlineStr">
        <is>
          <t>N-able N-central RMM platform — authentication bypass (incomplete first fix, second CVE for bypass of same logic); actively exploited, Take Control abuse + Cloudflare Tunnel persistence</t>
        </is>
      </c>
      <c r="F50" s="52" t="inlineStr">
        <is>
          <t>IT — Network (RMM/Management Plane)</t>
        </is>
      </c>
      <c r="G50" s="53" t="inlineStr">
        <is>
          <t>Remote Monitoring &amp; Management Platform</t>
        </is>
      </c>
      <c r="H50" s="53" t="inlineStr">
        <is>
          <t>N-able N-central (pre-2026.3.1.7)</t>
        </is>
      </c>
      <c r="I50" s="53" t="inlineStr">
        <is>
          <t>NIST CSF 2.0: GV.SC-05, DE.CM-03 | NIST 800-53: IA-2, AC-17, SC-7 | ISO 27001: A.5.19, A.8.16 | CIS Control 13.3</t>
        </is>
      </c>
      <c r="J50" s="53" t="inlineStr">
        <is>
          <t>IA — Identification &amp; Authentication</t>
        </is>
      </c>
      <c r="K50" s="52" t="n">
        <v>5</v>
      </c>
      <c r="L50" s="52" t="n">
        <v>5</v>
      </c>
      <c r="M50" s="52" t="n">
        <v>25</v>
      </c>
      <c r="N50" s="52" t="inlineStr">
        <is>
          <t>Critical</t>
        </is>
      </c>
      <c r="O50" s="52" t="inlineStr">
        <is>
          <t>Critical</t>
        </is>
      </c>
      <c r="P50" s="53" t="inlineStr">
        <is>
          <t>Vendor hotfix available (2026.3.1.7); first fix (2026.2) confirmed incomplete</t>
        </is>
      </c>
      <c r="Q50" s="52" t="inlineStr">
        <is>
          <t>Medium (pending independent verification of second fix + session audit)</t>
        </is>
      </c>
      <c r="R50" s="53" t="inlineStr">
        <is>
          <t>Apply N-central 2026.3 Hotfix 1 (build 2026.3.1.7+); audit Take Control sessions since 2026-08-01; sweep for unauthorized Cloudflare Tunnel instances</t>
        </is>
      </c>
      <c r="S50" s="52" t="inlineStr">
        <is>
          <t>CIS Control 13.3 — Deploy a Network Intrusion Detection Solution</t>
        </is>
      </c>
      <c r="T50" s="53" t="inlineStr">
        <is>
          <t>Blaise Kingko</t>
        </is>
      </c>
      <c r="U50" s="52" t="inlineStr">
        <is>
          <t>Open — Emergency</t>
        </is>
      </c>
      <c r="V50" s="52" t="inlineStr">
        <is>
          <t>2026-08-14</t>
        </is>
      </c>
      <c r="W50" s="52" t="inlineStr">
        <is>
          <t>2026-08-10</t>
        </is>
      </c>
      <c r="X50" s="53" t="inlineStr">
        <is>
          <t>MSP supply-chain-multiplier risk; vendor's first patch (2026.2) confirmed incomplete before second CVE assigned. Case folder: IT-OT-Threats/2026-08-CISA-KEV-Nable-Ncentral-AuthBypass</t>
        </is>
      </c>
    </row>
    <row r="51">
      <c r="A51" s="52" t="inlineStr">
        <is>
          <t>RR-047</t>
        </is>
      </c>
      <c r="B51" s="53" t="inlineStr">
        <is>
          <t>2026-08-04</t>
        </is>
      </c>
      <c r="C51" s="53" t="inlineStr">
        <is>
          <t>CISA KEV</t>
        </is>
      </c>
      <c r="D51" s="53" t="inlineStr">
        <is>
          <t>CVE-2026-34486</t>
        </is>
      </c>
      <c r="E51" s="53" t="inlineStr">
        <is>
          <t>Apache Tomcat — EncryptInterceptor bypass from incomplete prior fix (CVE-2026-29146); actively exploited by AI-assisted threat actor deploying deserialization reverse shells</t>
        </is>
      </c>
      <c r="F51" s="52" t="inlineStr">
        <is>
          <t>IT — Application Server</t>
        </is>
      </c>
      <c r="G51" s="53" t="inlineStr">
        <is>
          <t>Clustered Web Application Server</t>
        </is>
      </c>
      <c r="H51" s="53" t="inlineStr">
        <is>
          <t>Apache Tomcat 11.0.20 / 10.1.53 / 9.0.116</t>
        </is>
      </c>
      <c r="I51" s="53" t="inlineStr">
        <is>
          <t>NIST CSF 2.0: PR.DS-02, DE.CM-01 | NIST 800-53: SC-8, SI-2 | ISO 27001: A.8.24 | CIS Control 7.1</t>
        </is>
      </c>
      <c r="J51" s="53" t="inlineStr">
        <is>
          <t>SC — System &amp; Communications Protection</t>
        </is>
      </c>
      <c r="K51" s="52" t="n">
        <v>5</v>
      </c>
      <c r="L51" s="52" t="n">
        <v>4</v>
      </c>
      <c r="M51" s="52" t="n">
        <v>20</v>
      </c>
      <c r="N51" s="52" t="inlineStr">
        <is>
          <t>Critical</t>
        </is>
      </c>
      <c r="O51" s="52" t="inlineStr">
        <is>
          <t>Critical</t>
        </is>
      </c>
      <c r="P51" s="53" t="inlineStr">
        <is>
          <t>Vendor patch available (11.0.21/10.1.54/9.0.117); no workaround for the code-level regression</t>
        </is>
      </c>
      <c r="Q51" s="52" t="inlineStr">
        <is>
          <t>Low-Medium (post-patch + traffic-encryption verification)</t>
        </is>
      </c>
      <c r="R51" s="53" t="inlineStr">
        <is>
          <t>Upgrade to fixed Tomcat release per branch; verify cluster traffic encryption via network capture; scan for reverse-shell indicators</t>
        </is>
      </c>
      <c r="S51" s="52" t="inlineStr">
        <is>
          <t>CIS Control 7.1 — Establish and Maintain a Vulnerability Management Process</t>
        </is>
      </c>
      <c r="T51" s="53" t="inlineStr">
        <is>
          <t>Blaise Kingko</t>
        </is>
      </c>
      <c r="U51" s="52" t="inlineStr">
        <is>
          <t>Open — Emergency</t>
        </is>
      </c>
      <c r="V51" s="52" t="inlineStr">
        <is>
          <t>2026-08-07</t>
        </is>
      </c>
      <c r="W51" s="52" t="inlineStr">
        <is>
          <t>2026-08-10</t>
        </is>
      </c>
      <c r="X51" s="53" t="inlineStr">
        <is>
          <t>AI-assisted threat-actor tradecraft (Unit 42 attribution) — flagged for AI Governance Watch as adversary-side AI use, not a platform vulnerability. Case folder: IT-OT-Threats/2026-08-CISA-KEV-Apache-Tomcat-EncryptInterceptor</t>
        </is>
      </c>
    </row>
    <row r="52">
      <c r="A52" s="52" t="inlineStr">
        <is>
          <t>RR-048</t>
        </is>
      </c>
      <c r="B52" s="53" t="inlineStr">
        <is>
          <t>2026-08-07</t>
        </is>
      </c>
      <c r="C52" s="53" t="inlineStr">
        <is>
          <t>CISA KEV</t>
        </is>
      </c>
      <c r="D52" s="53" t="inlineStr">
        <is>
          <t>CVE-2026-8037</t>
        </is>
      </c>
      <c r="E52" s="53" t="inlineStr">
        <is>
          <t>Progress Kemp LoadMaster — pre-auth OS command injection via flawed escape_quotes() sanitization; actively exploited since 2026-06-29</t>
        </is>
      </c>
      <c r="F52" s="52" t="inlineStr">
        <is>
          <t>IT — Network (ADC/Load Balancer)</t>
        </is>
      </c>
      <c r="G52" s="53" t="inlineStr">
        <is>
          <t>Application Delivery Controller (perimeter)</t>
        </is>
      </c>
      <c r="H52" s="53" t="inlineStr">
        <is>
          <t>Progress Kemp LoadMaster GA &lt;=7.2.63.1 / LTSF &lt;=7.2.54.17</t>
        </is>
      </c>
      <c r="I52" s="53" t="inlineStr">
        <is>
          <t>NIST CSF 2.0: PR.PS-01 | NIST 800-53: SI-10, SI-2, AC-4 | ISO 27001: A.8.28, A.8.20 | CIS Control 12.2</t>
        </is>
      </c>
      <c r="J52" s="53" t="inlineStr">
        <is>
          <t>SI — System &amp; Information Integrity</t>
        </is>
      </c>
      <c r="K52" s="52" t="n">
        <v>5</v>
      </c>
      <c r="L52" s="52" t="n">
        <v>5</v>
      </c>
      <c r="M52" s="52" t="n">
        <v>25</v>
      </c>
      <c r="N52" s="52" t="inlineStr">
        <is>
          <t>Critical</t>
        </is>
      </c>
      <c r="O52" s="52" t="inlineStr">
        <is>
          <t>Critical</t>
        </is>
      </c>
      <c r="P52" s="53" t="inlineStr">
        <is>
          <t>Vendor patch available since June 2026 (7.2.63.2/7.2.54.18); exploitation continued 5+ weeks post-patch</t>
        </is>
      </c>
      <c r="Q52" s="52" t="inlineStr">
        <is>
          <t>Low-Medium (post-patch + log review back to 2026-06-29)</t>
        </is>
      </c>
      <c r="R52" s="53" t="inlineStr">
        <is>
          <t>Upgrade to GA 7.2.63.2 / LTSF 7.2.54.18; restrict management API to internal network; review logs back to 2026-06-29</t>
        </is>
      </c>
      <c r="S52" s="52" t="inlineStr">
        <is>
          <t>CIS Control 12.2 — Establish and Maintain a Secure Network Architecture</t>
        </is>
      </c>
      <c r="T52" s="53" t="inlineStr">
        <is>
          <t>Blaise Kingko</t>
        </is>
      </c>
      <c r="U52" s="52" t="inlineStr">
        <is>
          <t>Open — Emergency / Overdue</t>
        </is>
      </c>
      <c r="V52" s="52" t="inlineStr">
        <is>
          <t>2026-08-12</t>
        </is>
      </c>
      <c r="W52" s="52" t="inlineStr">
        <is>
          <t>2026-08-10</t>
        </is>
      </c>
      <c r="X52" s="53" t="inlineStr">
        <is>
          <t>Vendor patch predates KEV listing by 5+ weeks with confirmed ongoing exploitation — patch-SLA should not depend on KEV status alone. Case folder: IT-OT-Threats/2026-08-CISA-KEV-Progress-LoadMaster-CommandInjection</t>
        </is>
      </c>
    </row>
    <row r="53">
      <c r="A53" s="52" t="inlineStr">
        <is>
          <t>RR-049</t>
        </is>
      </c>
      <c r="B53" s="53" t="inlineStr">
        <is>
          <t>2026-08-06</t>
        </is>
      </c>
      <c r="C53" s="53" t="inlineStr">
        <is>
          <t>AWS Security Bulletin / Vendor Advisories</t>
        </is>
      </c>
      <c r="D53" s="53" t="inlineStr">
        <is>
          <t>CVE-2026-18830; CVE-2026-18236; CVE-2026-64650; CVE-2026-64651</t>
        </is>
      </c>
      <c r="E53" s="53" t="inlineStr">
        <is>
          <t>Cross-platform "CoreBreak" agentic AI tool-invocation authorization bypass across AWS Bedrock AgentCore, Google ADK, and Vercel AI SDK — no confirmed ITW exploitation, all vendors patched</t>
        </is>
      </c>
      <c r="F53" s="52" t="inlineStr">
        <is>
          <t>AI — Agent/Workflow Platform (multi-vendor architecture class)</t>
        </is>
      </c>
      <c r="G53" s="53" t="inlineStr">
        <is>
          <t>AI Agent Orchestration / Tool-Invocation Layer</t>
        </is>
      </c>
      <c r="H53" s="53" t="inlineStr">
        <is>
          <t>Amazon Bedrock AgentCore InvokeHarness; Google ADK for Python &lt;2.5.0; Vercel @ai-sdk/harness-codex &lt;1.0.29, @ai-sdk/harness-opencode &lt;1.0.28</t>
        </is>
      </c>
      <c r="I53" s="53" t="inlineStr">
        <is>
          <t>NIST AI RMF: MAP 1.1, MANAGE 4.1, GOVERN 1.3 | ISO 42001: 6.1.2, 8.4 | NIST 800-53: AC-3 | MITRE ATLAS: ML Model Access</t>
        </is>
      </c>
      <c r="J53" s="53" t="inlineStr">
        <is>
          <t>AC — Access Control</t>
        </is>
      </c>
      <c r="K53" s="52" t="n">
        <v>4</v>
      </c>
      <c r="L53" s="52" t="n">
        <v>5</v>
      </c>
      <c r="M53" s="52" t="n">
        <v>20</v>
      </c>
      <c r="N53" s="52" t="inlineStr">
        <is>
          <t>Critical</t>
        </is>
      </c>
      <c r="O53" s="52" t="inlineStr">
        <is>
          <t>Critical</t>
        </is>
      </c>
      <c r="P53" s="53" t="inlineStr">
        <is>
          <t>All 3 vendors patched (AWS auto-fixed server-side; Google ADK 2.5.0; Vercel 1.0.29/1.0.28); Strands standalone SDK path documented, not code-fixed</t>
        </is>
      </c>
      <c r="Q53" s="52" t="inlineStr">
        <is>
          <t>Low-Medium (Low for managed services; Medium for standalone Strands deployments and comparable in-house agents)</t>
        </is>
      </c>
      <c r="R53" s="53" t="inlineStr">
        <is>
          <t>Patch all 4 affected packages; apply documented Strands mitigation for standalone deployments; review in-house agentic AI systems for the same trust-boundary pattern</t>
        </is>
      </c>
      <c r="S53" s="52" t="inlineStr">
        <is>
          <t>N/A — architectural finding; see NIST AI RMF MANAGE 4.1</t>
        </is>
      </c>
      <c r="T53" s="53" t="inlineStr">
        <is>
          <t>Blaise Kingko</t>
        </is>
      </c>
      <c r="U53" s="52" t="inlineStr">
        <is>
          <t>Open — Proactive (Architecture Review)</t>
        </is>
      </c>
      <c r="V53" s="52" t="inlineStr">
        <is>
          <t>2026-08-24</t>
        </is>
      </c>
      <c r="W53" s="52" t="inlineStr">
        <is>
          <t>2026-08-10</t>
        </is>
      </c>
      <c r="X53" s="53" t="inlineStr">
        <is>
          <t>First cross-vendor AI-agent-architecture-class finding in this register; disclosed at Black Hat USA 2026 (CoreBreak). No confirmed ITW exploitation. Case folder: AI-Governance/2026-08-AWS-Bulletin-CoreBreak-AgentToolInvocationBypass (dual: Cloud-Security)</t>
        </is>
      </c>
    </row>
    <row r="54">
      <c r="A54" s="52" t="inlineStr">
        <is>
          <t>RR-050</t>
        </is>
      </c>
      <c r="B54" s="53" t="inlineStr">
        <is>
          <t>2026-08-05</t>
        </is>
      </c>
      <c r="C54" s="53" t="inlineStr">
        <is>
          <t>Jenkins Security Advisory</t>
        </is>
      </c>
      <c r="D54" s="53" t="inlineStr">
        <is>
          <t>CVE-2026-70426; CVE-2026-70427; CVE-2026-70428</t>
        </is>
      </c>
      <c r="E54" s="53" t="inlineStr">
        <is>
          <t>Jenkins — JEP-200 deserialization filter bypass (Remoting fallback path) plus companion arbitrary-file-write findings enabling controller code execution; responsibly disclosed, no known ITW exploitation</t>
        </is>
      </c>
      <c r="F54" s="52" t="inlineStr">
        <is>
          <t>IT — CI/CD Platform</t>
        </is>
      </c>
      <c r="G54" s="53" t="inlineStr">
        <is>
          <t>CI/CD Orchestration Controller</t>
        </is>
      </c>
      <c r="H54" s="53" t="inlineStr">
        <is>
          <t>Jenkins weekly &lt;=2.575 / LTS &lt;=2.568.1</t>
        </is>
      </c>
      <c r="I54" s="53" t="inlineStr">
        <is>
          <t>NIST CSF 2.0: PR.AA-05 | NIST 800-53: SI-2, AC-6, SC-39 | ISO 27001: A.8.25 | CIS Control 16.1, 4.1</t>
        </is>
      </c>
      <c r="J54" s="53" t="inlineStr">
        <is>
          <t>AC — Access Control</t>
        </is>
      </c>
      <c r="K54" s="52" t="n">
        <v>3</v>
      </c>
      <c r="L54" s="52" t="n">
        <v>5</v>
      </c>
      <c r="M54" s="52" t="n">
        <v>15</v>
      </c>
      <c r="N54" s="52" t="inlineStr">
        <is>
          <t>High</t>
        </is>
      </c>
      <c r="O54" s="52" t="inlineStr">
        <is>
          <t>High</t>
        </is>
      </c>
      <c r="P54" s="53" t="inlineStr">
        <is>
          <t>Vendor patch available (2.576/2.568.2); workaround published for orgs unable to upgrade immediately</t>
        </is>
      </c>
      <c r="Q54" s="52" t="inlineStr">
        <is>
          <t>Low (post-patch + permission-scoping review)</t>
        </is>
      </c>
      <c r="R54" s="53" t="inlineStr">
        <is>
          <t>Upgrade to Jenkins weekly 2.576 / LTS 2.568.2; tighten Agent/Connect and Item/Configure/Item/Build permissions; check init.groovy.d/ and plugins/ for unauthorized files</t>
        </is>
      </c>
      <c r="S54" s="52" t="inlineStr">
        <is>
          <t>CIS Control 16.1 — Application Software Security</t>
        </is>
      </c>
      <c r="T54" s="53" t="inlineStr">
        <is>
          <t>Blaise Kingko</t>
        </is>
      </c>
      <c r="U54" s="52" t="inlineStr">
        <is>
          <t>Open — Standard Cycle</t>
        </is>
      </c>
      <c r="V54" s="52" t="inlineStr">
        <is>
          <t>2026-08-17</t>
        </is>
      </c>
      <c r="W54" s="52" t="inlineStr">
        <is>
          <t>2026-08-10</t>
        </is>
      </c>
      <c r="X54" s="53" t="inlineStr">
        <is>
          <t>Responsibly disclosed via Jenkins Bug Bounty Program (European Commission-sponsored); no confirmed ITW exploitation; exploitability gated by Agent/Connect or Item/Configure permissions. Case folder: Cloud-Security/2026-08-NIST-NVD-Jenkins-DeserializationFilterBypass</t>
        </is>
      </c>
    </row>
  </sheetData>
  <mergeCells count="2">
    <mergeCell ref="A2:X2"/>
    <mergeCell ref="A1:X1"/>
  </mergeCells>
  <conditionalFormatting sqref="N5:N500">
    <cfRule type="expression" rank="0" priority="2" equalAverage="0" aboveAverage="0" dxfId="0" text="" percent="0" bottom="0">
      <formula>$N5="Critical"</formula>
    </cfRule>
    <cfRule type="expression" rank="0" priority="3" equalAverage="0" aboveAverage="0" dxfId="1" text="" percent="0" bottom="0">
      <formula>$N5="High"</formula>
    </cfRule>
    <cfRule type="expression" rank="0" priority="4" equalAverage="0" aboveAverage="0" dxfId="2" text="" percent="0" bottom="0">
      <formula>$N5="Medium"</formula>
    </cfRule>
    <cfRule type="expression" rank="0" priority="5" equalAverage="0" aboveAverage="0" dxfId="3" text="" percent="0" bottom="0">
      <formula>$N5="Low"</formula>
    </cfRule>
  </conditionalFormatting>
  <conditionalFormatting sqref="O5:O500">
    <cfRule type="expression" rank="0" priority="6" equalAverage="0" aboveAverage="0" dxfId="0" text="" percent="0" bottom="0">
      <formula>$O5="Critical"</formula>
    </cfRule>
    <cfRule type="expression" rank="0" priority="7" equalAverage="0" aboveAverage="0" dxfId="1" text="" percent="0" bottom="0">
      <formula>$O5="High"</formula>
    </cfRule>
    <cfRule type="expression" rank="0" priority="8" equalAverage="0" aboveAverage="0" dxfId="2" text="" percent="0" bottom="0">
      <formula>$O5="Medium"</formula>
    </cfRule>
    <cfRule type="expression" rank="0" priority="9" equalAverage="0" aboveAverage="0" dxfId="3" text="" percent="0" bottom="0">
      <formula>$O5="Low"</formula>
    </cfRule>
  </conditionalFormatting>
  <conditionalFormatting sqref="Q5:Q500">
    <cfRule type="expression" rank="0" priority="10" equalAverage="0" aboveAverage="0" dxfId="0" text="" percent="0" bottom="0">
      <formula>$Q5="Critical"</formula>
    </cfRule>
    <cfRule type="expression" rank="0" priority="11" equalAverage="0" aboveAverage="0" dxfId="1" text="" percent="0" bottom="0">
      <formula>$Q5="High"</formula>
    </cfRule>
    <cfRule type="expression" rank="0" priority="12" equalAverage="0" aboveAverage="0" dxfId="2" text="" percent="0" bottom="0">
      <formula>$Q5="Medium"</formula>
    </cfRule>
    <cfRule type="expression" rank="0" priority="13" equalAverage="0" aboveAverage="0" dxfId="3" text="" percent="0" bottom="0">
      <formula>$Q5="Low"</formula>
    </cfRule>
  </conditionalFormatting>
  <conditionalFormatting sqref="U5:U500">
    <cfRule type="expression" rank="0" priority="14" equalAverage="0" aboveAverage="0" dxfId="0" text="" percent="0" bottom="0">
      <formula>$U5="Open"</formula>
    </cfRule>
    <cfRule type="expression" rank="0" priority="15" equalAverage="0" aboveAverage="0" dxfId="1" text="" percent="0" bottom="0">
      <formula>$U5="Mitigating"</formula>
    </cfRule>
    <cfRule type="expression" rank="0" priority="16" equalAverage="0" aboveAverage="0" dxfId="3" text="" percent="0" bottom="0">
      <formula>$U5="Closed"</formula>
    </cfRule>
    <cfRule type="expression" rank="0" priority="17" equalAverage="0" aboveAverage="0" dxfId="4" text="" percent="0" bottom="0">
      <formula>$U5="Accepted"</formula>
    </cfRule>
    <cfRule type="expression" rank="0" priority="18" equalAverage="0" aboveAverage="0" dxfId="5" text="" percent="0" bottom="0">
      <formula>$U5="Transferred"</formula>
    </cfRule>
  </conditionalFormatting>
  <conditionalFormatting sqref="M5">
    <cfRule type="expression" rank="0" priority="19" equalAverage="0" aboveAverage="0" dxfId="0" text="" percent="0" bottom="0">
      <formula>M5&gt;=20</formula>
    </cfRule>
    <cfRule type="expression" rank="0" priority="20" equalAverage="0" aboveAverage="0" dxfId="1" text="" percent="0" bottom="0">
      <formula>AND(M5&gt;=10,M5&lt;20)</formula>
    </cfRule>
    <cfRule type="expression" rank="0" priority="21" equalAverage="0" aboveAverage="0" dxfId="2" text="" percent="0" bottom="0">
      <formula>AND(M5&gt;=5,M5&lt;10)</formula>
    </cfRule>
    <cfRule type="expression" rank="0" priority="22" equalAverage="0" aboveAverage="0" dxfId="3" text="" percent="0" bottom="0">
      <formula>AND(M5&gt;=1,M5&lt;5)</formula>
    </cfRule>
  </conditionalFormatting>
  <conditionalFormatting sqref="M6">
    <cfRule type="expression" rank="0" priority="23" equalAverage="0" aboveAverage="0" dxfId="0" text="" percent="0" bottom="0">
      <formula>M6&gt;=20</formula>
    </cfRule>
    <cfRule type="expression" rank="0" priority="24" equalAverage="0" aboveAverage="0" dxfId="1" text="" percent="0" bottom="0">
      <formula>AND(M6&gt;=10,M6&lt;20)</formula>
    </cfRule>
    <cfRule type="expression" rank="0" priority="25" equalAverage="0" aboveAverage="0" dxfId="2" text="" percent="0" bottom="0">
      <formula>AND(M6&gt;=5,M6&lt;10)</formula>
    </cfRule>
    <cfRule type="expression" rank="0" priority="26" equalAverage="0" aboveAverage="0" dxfId="3" text="" percent="0" bottom="0">
      <formula>AND(M6&gt;=1,M6&lt;5)</formula>
    </cfRule>
  </conditionalFormatting>
  <conditionalFormatting sqref="M7">
    <cfRule type="expression" rank="0" priority="27" equalAverage="0" aboveAverage="0" dxfId="0" text="" percent="0" bottom="0">
      <formula>M7&gt;=20</formula>
    </cfRule>
    <cfRule type="expression" rank="0" priority="28" equalAverage="0" aboveAverage="0" dxfId="1" text="" percent="0" bottom="0">
      <formula>AND(M7&gt;=10,M7&lt;20)</formula>
    </cfRule>
    <cfRule type="expression" rank="0" priority="29" equalAverage="0" aboveAverage="0" dxfId="2" text="" percent="0" bottom="0">
      <formula>AND(M7&gt;=5,M7&lt;10)</formula>
    </cfRule>
    <cfRule type="expression" rank="0" priority="30" equalAverage="0" aboveAverage="0" dxfId="3" text="" percent="0" bottom="0">
      <formula>AND(M7&gt;=1,M7&lt;5)</formula>
    </cfRule>
  </conditionalFormatting>
  <conditionalFormatting sqref="M8">
    <cfRule type="expression" rank="0" priority="31" equalAverage="0" aboveAverage="0" dxfId="0" text="" percent="0" bottom="0">
      <formula>M8&gt;=20</formula>
    </cfRule>
    <cfRule type="expression" rank="0" priority="32" equalAverage="0" aboveAverage="0" dxfId="1" text="" percent="0" bottom="0">
      <formula>AND(M8&gt;=10,M8&lt;20)</formula>
    </cfRule>
    <cfRule type="expression" rank="0" priority="33" equalAverage="0" aboveAverage="0" dxfId="2" text="" percent="0" bottom="0">
      <formula>AND(M8&gt;=5,M8&lt;10)</formula>
    </cfRule>
    <cfRule type="expression" rank="0" priority="34" equalAverage="0" aboveAverage="0" dxfId="3" text="" percent="0" bottom="0">
      <formula>AND(M8&gt;=1,M8&lt;5)</formula>
    </cfRule>
  </conditionalFormatting>
  <conditionalFormatting sqref="M9">
    <cfRule type="expression" rank="0" priority="35" equalAverage="0" aboveAverage="0" dxfId="0" text="" percent="0" bottom="0">
      <formula>M9&gt;=20</formula>
    </cfRule>
    <cfRule type="expression" rank="0" priority="36" equalAverage="0" aboveAverage="0" dxfId="1" text="" percent="0" bottom="0">
      <formula>AND(M9&gt;=10,M9&lt;20)</formula>
    </cfRule>
    <cfRule type="expression" rank="0" priority="37" equalAverage="0" aboveAverage="0" dxfId="2" text="" percent="0" bottom="0">
      <formula>AND(M9&gt;=5,M9&lt;10)</formula>
    </cfRule>
    <cfRule type="expression" rank="0" priority="38" equalAverage="0" aboveAverage="0" dxfId="3" text="" percent="0" bottom="0">
      <formula>AND(M9&gt;=1,M9&lt;5)</formula>
    </cfRule>
  </conditionalFormatting>
  <conditionalFormatting sqref="M10">
    <cfRule type="expression" rank="0" priority="39" equalAverage="0" aboveAverage="0" dxfId="0" text="" percent="0" bottom="0">
      <formula>M10&gt;=20</formula>
    </cfRule>
    <cfRule type="expression" rank="0" priority="40" equalAverage="0" aboveAverage="0" dxfId="1" text="" percent="0" bottom="0">
      <formula>AND(M10&gt;=10,M10&lt;20)</formula>
    </cfRule>
    <cfRule type="expression" rank="0" priority="41" equalAverage="0" aboveAverage="0" dxfId="2" text="" percent="0" bottom="0">
      <formula>AND(M10&gt;=5,M10&lt;10)</formula>
    </cfRule>
    <cfRule type="expression" rank="0" priority="42" equalAverage="0" aboveAverage="0" dxfId="3" text="" percent="0" bottom="0">
      <formula>AND(M10&gt;=1,M10&lt;5)</formula>
    </cfRule>
  </conditionalFormatting>
  <conditionalFormatting sqref="M11">
    <cfRule type="expression" rank="0" priority="43" equalAverage="0" aboveAverage="0" dxfId="0" text="" percent="0" bottom="0">
      <formula>M11&gt;=20</formula>
    </cfRule>
    <cfRule type="expression" rank="0" priority="44" equalAverage="0" aboveAverage="0" dxfId="1" text="" percent="0" bottom="0">
      <formula>AND(M11&gt;=10,M11&lt;20)</formula>
    </cfRule>
    <cfRule type="expression" rank="0" priority="45" equalAverage="0" aboveAverage="0" dxfId="2" text="" percent="0" bottom="0">
      <formula>AND(M11&gt;=5,M11&lt;10)</formula>
    </cfRule>
    <cfRule type="expression" rank="0" priority="46" equalAverage="0" aboveAverage="0" dxfId="3" text="" percent="0" bottom="0">
      <formula>AND(M11&gt;=1,M11&lt;5)</formula>
    </cfRule>
  </conditionalFormatting>
  <conditionalFormatting sqref="M12">
    <cfRule type="expression" rank="0" priority="47" equalAverage="0" aboveAverage="0" dxfId="0" text="" percent="0" bottom="0">
      <formula>M12&gt;=20</formula>
    </cfRule>
    <cfRule type="expression" rank="0" priority="48" equalAverage="0" aboveAverage="0" dxfId="1" text="" percent="0" bottom="0">
      <formula>AND(M12&gt;=10,M12&lt;20)</formula>
    </cfRule>
    <cfRule type="expression" rank="0" priority="49" equalAverage="0" aboveAverage="0" dxfId="2" text="" percent="0" bottom="0">
      <formula>AND(M12&gt;=5,M12&lt;10)</formula>
    </cfRule>
    <cfRule type="expression" rank="0" priority="50" equalAverage="0" aboveAverage="0" dxfId="3" text="" percent="0" bottom="0">
      <formula>AND(M12&gt;=1,M12&lt;5)</formula>
    </cfRule>
  </conditionalFormatting>
  <conditionalFormatting sqref="M13">
    <cfRule type="expression" rank="0" priority="51" equalAverage="0" aboveAverage="0" dxfId="0" text="" percent="0" bottom="0">
      <formula>M13&gt;=20</formula>
    </cfRule>
    <cfRule type="expression" rank="0" priority="52" equalAverage="0" aboveAverage="0" dxfId="1" text="" percent="0" bottom="0">
      <formula>AND(M13&gt;=10,M13&lt;20)</formula>
    </cfRule>
    <cfRule type="expression" rank="0" priority="53" equalAverage="0" aboveAverage="0" dxfId="2" text="" percent="0" bottom="0">
      <formula>AND(M13&gt;=5,M13&lt;10)</formula>
    </cfRule>
    <cfRule type="expression" rank="0" priority="54" equalAverage="0" aboveAverage="0" dxfId="3" text="" percent="0" bottom="0">
      <formula>AND(M13&gt;=1,M13&lt;5)</formula>
    </cfRule>
  </conditionalFormatting>
  <conditionalFormatting sqref="M14">
    <cfRule type="expression" rank="0" priority="55" equalAverage="0" aboveAverage="0" dxfId="0" text="" percent="0" bottom="0">
      <formula>M14&gt;=20</formula>
    </cfRule>
    <cfRule type="expression" rank="0" priority="56" equalAverage="0" aboveAverage="0" dxfId="1" text="" percent="0" bottom="0">
      <formula>AND(M14&gt;=10,M14&lt;20)</formula>
    </cfRule>
    <cfRule type="expression" rank="0" priority="57" equalAverage="0" aboveAverage="0" dxfId="2" text="" percent="0" bottom="0">
      <formula>AND(M14&gt;=5,M14&lt;10)</formula>
    </cfRule>
    <cfRule type="expression" rank="0" priority="58" equalAverage="0" aboveAverage="0" dxfId="3" text="" percent="0" bottom="0">
      <formula>AND(M14&gt;=1,M14&lt;5)</formula>
    </cfRule>
  </conditionalFormatting>
  <conditionalFormatting sqref="M15">
    <cfRule type="expression" rank="0" priority="59" equalAverage="0" aboveAverage="0" dxfId="0" text="" percent="0" bottom="0">
      <formula>M15&gt;=20</formula>
    </cfRule>
    <cfRule type="expression" rank="0" priority="60" equalAverage="0" aboveAverage="0" dxfId="1" text="" percent="0" bottom="0">
      <formula>AND(M15&gt;=10,M15&lt;20)</formula>
    </cfRule>
    <cfRule type="expression" rank="0" priority="61" equalAverage="0" aboveAverage="0" dxfId="2" text="" percent="0" bottom="0">
      <formula>AND(M15&gt;=5,M15&lt;10)</formula>
    </cfRule>
    <cfRule type="expression" rank="0" priority="62" equalAverage="0" aboveAverage="0" dxfId="3" text="" percent="0" bottom="0">
      <formula>AND(M15&gt;=1,M15&lt;5)</formula>
    </cfRule>
  </conditionalFormatting>
  <conditionalFormatting sqref="M16">
    <cfRule type="expression" rank="0" priority="63" equalAverage="0" aboveAverage="0" dxfId="0" text="" percent="0" bottom="0">
      <formula>M16&gt;=20</formula>
    </cfRule>
    <cfRule type="expression" rank="0" priority="64" equalAverage="0" aboveAverage="0" dxfId="1" text="" percent="0" bottom="0">
      <formula>AND(M16&gt;=10,M16&lt;20)</formula>
    </cfRule>
    <cfRule type="expression" rank="0" priority="65" equalAverage="0" aboveAverage="0" dxfId="2" text="" percent="0" bottom="0">
      <formula>AND(M16&gt;=5,M16&lt;10)</formula>
    </cfRule>
    <cfRule type="expression" rank="0" priority="66" equalAverage="0" aboveAverage="0" dxfId="3" text="" percent="0" bottom="0">
      <formula>AND(M16&gt;=1,M16&lt;5)</formula>
    </cfRule>
  </conditionalFormatting>
  <conditionalFormatting sqref="M17">
    <cfRule type="expression" rank="0" priority="67" equalAverage="0" aboveAverage="0" dxfId="0" text="" percent="0" bottom="0">
      <formula>M17&gt;=20</formula>
    </cfRule>
    <cfRule type="expression" rank="0" priority="68" equalAverage="0" aboveAverage="0" dxfId="1" text="" percent="0" bottom="0">
      <formula>AND(M17&gt;=10,M17&lt;20)</formula>
    </cfRule>
    <cfRule type="expression" rank="0" priority="69" equalAverage="0" aboveAverage="0" dxfId="2" text="" percent="0" bottom="0">
      <formula>AND(M17&gt;=5,M17&lt;10)</formula>
    </cfRule>
    <cfRule type="expression" rank="0" priority="70" equalAverage="0" aboveAverage="0" dxfId="3" text="" percent="0" bottom="0">
      <formula>AND(M17&gt;=1,M17&lt;5)</formula>
    </cfRule>
  </conditionalFormatting>
  <conditionalFormatting sqref="M18">
    <cfRule type="expression" rank="0" priority="71" equalAverage="0" aboveAverage="0" dxfId="0" text="" percent="0" bottom="0">
      <formula>M18&gt;=20</formula>
    </cfRule>
    <cfRule type="expression" rank="0" priority="72" equalAverage="0" aboveAverage="0" dxfId="1" text="" percent="0" bottom="0">
      <formula>AND(M18&gt;=10,M18&lt;20)</formula>
    </cfRule>
    <cfRule type="expression" rank="0" priority="73" equalAverage="0" aboveAverage="0" dxfId="2" text="" percent="0" bottom="0">
      <formula>AND(M18&gt;=5,M18&lt;10)</formula>
    </cfRule>
    <cfRule type="expression" rank="0" priority="74" equalAverage="0" aboveAverage="0" dxfId="3" text="" percent="0" bottom="0">
      <formula>AND(M18&gt;=1,M18&lt;5)</formula>
    </cfRule>
  </conditionalFormatting>
  <conditionalFormatting sqref="M19">
    <cfRule type="expression" rank="0" priority="75" equalAverage="0" aboveAverage="0" dxfId="0" text="" percent="0" bottom="0">
      <formula>M19&gt;=20</formula>
    </cfRule>
    <cfRule type="expression" rank="0" priority="76" equalAverage="0" aboveAverage="0" dxfId="1" text="" percent="0" bottom="0">
      <formula>AND(M19&gt;=10,M19&lt;20)</formula>
    </cfRule>
    <cfRule type="expression" rank="0" priority="77" equalAverage="0" aboveAverage="0" dxfId="2" text="" percent="0" bottom="0">
      <formula>AND(M19&gt;=5,M19&lt;10)</formula>
    </cfRule>
    <cfRule type="expression" rank="0" priority="78" equalAverage="0" aboveAverage="0" dxfId="3" text="" percent="0" bottom="0">
      <formula>AND(M19&gt;=1,M19&lt;5)</formula>
    </cfRule>
  </conditionalFormatting>
  <conditionalFormatting sqref="M20">
    <cfRule type="expression" rank="0" priority="79" equalAverage="0" aboveAverage="0" dxfId="0" text="" percent="0" bottom="0">
      <formula>M20&gt;=20</formula>
    </cfRule>
    <cfRule type="expression" rank="0" priority="80" equalAverage="0" aboveAverage="0" dxfId="1" text="" percent="0" bottom="0">
      <formula>AND(M20&gt;=10,M20&lt;20)</formula>
    </cfRule>
    <cfRule type="expression" rank="0" priority="81" equalAverage="0" aboveAverage="0" dxfId="2" text="" percent="0" bottom="0">
      <formula>AND(M20&gt;=5,M20&lt;10)</formula>
    </cfRule>
    <cfRule type="expression" rank="0" priority="82" equalAverage="0" aboveAverage="0" dxfId="3" text="" percent="0" bottom="0">
      <formula>AND(M20&gt;=1,M20&lt;5)</formula>
    </cfRule>
  </conditionalFormatting>
  <conditionalFormatting sqref="M21">
    <cfRule type="expression" rank="0" priority="83" equalAverage="0" aboveAverage="0" dxfId="0" text="" percent="0" bottom="0">
      <formula>M21&gt;=20</formula>
    </cfRule>
    <cfRule type="expression" rank="0" priority="84" equalAverage="0" aboveAverage="0" dxfId="1" text="" percent="0" bottom="0">
      <formula>AND(M21&gt;=10,M21&lt;20)</formula>
    </cfRule>
    <cfRule type="expression" rank="0" priority="85" equalAverage="0" aboveAverage="0" dxfId="2" text="" percent="0" bottom="0">
      <formula>AND(M21&gt;=5,M21&lt;10)</formula>
    </cfRule>
    <cfRule type="expression" rank="0" priority="86" equalAverage="0" aboveAverage="0" dxfId="3" text="" percent="0" bottom="0">
      <formula>AND(M21&gt;=1,M21&lt;5)</formula>
    </cfRule>
  </conditionalFormatting>
  <conditionalFormatting sqref="M22">
    <cfRule type="expression" rank="0" priority="87" equalAverage="0" aboveAverage="0" dxfId="0" text="" percent="0" bottom="0">
      <formula>M22&gt;=20</formula>
    </cfRule>
    <cfRule type="expression" rank="0" priority="88" equalAverage="0" aboveAverage="0" dxfId="1" text="" percent="0" bottom="0">
      <formula>AND(M22&gt;=10,M22&lt;20)</formula>
    </cfRule>
    <cfRule type="expression" rank="0" priority="89" equalAverage="0" aboveAverage="0" dxfId="2" text="" percent="0" bottom="0">
      <formula>AND(M22&gt;=5,M22&lt;10)</formula>
    </cfRule>
    <cfRule type="expression" rank="0" priority="90" equalAverage="0" aboveAverage="0" dxfId="3" text="" percent="0" bottom="0">
      <formula>AND(M22&gt;=1,M22&lt;5)</formula>
    </cfRule>
  </conditionalFormatting>
  <conditionalFormatting sqref="M23">
    <cfRule type="expression" rank="0" priority="91" equalAverage="0" aboveAverage="0" dxfId="0" text="" percent="0" bottom="0">
      <formula>M23&gt;=20</formula>
    </cfRule>
    <cfRule type="expression" rank="0" priority="92" equalAverage="0" aboveAverage="0" dxfId="1" text="" percent="0" bottom="0">
      <formula>AND(M23&gt;=10,M23&lt;20)</formula>
    </cfRule>
    <cfRule type="expression" rank="0" priority="93" equalAverage="0" aboveAverage="0" dxfId="2" text="" percent="0" bottom="0">
      <formula>AND(M23&gt;=5,M23&lt;10)</formula>
    </cfRule>
    <cfRule type="expression" rank="0" priority="94" equalAverage="0" aboveAverage="0" dxfId="3" text="" percent="0" bottom="0">
      <formula>AND(M23&gt;=1,M23&lt;5)</formula>
    </cfRule>
  </conditionalFormatting>
  <conditionalFormatting sqref="M24">
    <cfRule type="expression" rank="0" priority="95" equalAverage="0" aboveAverage="0" dxfId="0" text="" percent="0" bottom="0">
      <formula>M24&gt;=20</formula>
    </cfRule>
    <cfRule type="expression" rank="0" priority="96" equalAverage="0" aboveAverage="0" dxfId="1" text="" percent="0" bottom="0">
      <formula>AND(M24&gt;=10,M24&lt;20)</formula>
    </cfRule>
    <cfRule type="expression" rank="0" priority="97" equalAverage="0" aboveAverage="0" dxfId="2" text="" percent="0" bottom="0">
      <formula>AND(M24&gt;=5,M24&lt;10)</formula>
    </cfRule>
    <cfRule type="expression" rank="0" priority="98" equalAverage="0" aboveAverage="0" dxfId="3" text="" percent="0" bottom="0">
      <formula>AND(M24&gt;=1,M24&lt;5)</formula>
    </cfRule>
  </conditionalFormatting>
  <conditionalFormatting sqref="M25">
    <cfRule type="expression" rank="0" priority="99" equalAverage="0" aboveAverage="0" dxfId="0" text="" percent="0" bottom="0">
      <formula>M25&gt;=20</formula>
    </cfRule>
    <cfRule type="expression" rank="0" priority="100" equalAverage="0" aboveAverage="0" dxfId="1" text="" percent="0" bottom="0">
      <formula>AND(M25&gt;=10,M25&lt;20)</formula>
    </cfRule>
    <cfRule type="expression" rank="0" priority="101" equalAverage="0" aboveAverage="0" dxfId="2" text="" percent="0" bottom="0">
      <formula>AND(M25&gt;=5,M25&lt;10)</formula>
    </cfRule>
    <cfRule type="expression" rank="0" priority="102" equalAverage="0" aboveAverage="0" dxfId="3" text="" percent="0" bottom="0">
      <formula>AND(M25&gt;=1,M25&lt;5)</formula>
    </cfRule>
  </conditionalFormatting>
  <conditionalFormatting sqref="M26">
    <cfRule type="expression" rank="0" priority="103" equalAverage="0" aboveAverage="0" dxfId="0" text="" percent="0" bottom="0">
      <formula>M26&gt;=20</formula>
    </cfRule>
    <cfRule type="expression" rank="0" priority="104" equalAverage="0" aboveAverage="0" dxfId="1" text="" percent="0" bottom="0">
      <formula>AND(M26&gt;=10,M26&lt;20)</formula>
    </cfRule>
    <cfRule type="expression" rank="0" priority="105" equalAverage="0" aboveAverage="0" dxfId="2" text="" percent="0" bottom="0">
      <formula>AND(M26&gt;=5,M26&lt;10)</formula>
    </cfRule>
    <cfRule type="expression" rank="0" priority="106" equalAverage="0" aboveAverage="0" dxfId="3" text="" percent="0" bottom="0">
      <formula>AND(M26&gt;=1,M26&lt;5)</formula>
    </cfRule>
  </conditionalFormatting>
  <conditionalFormatting sqref="M27">
    <cfRule type="expression" rank="0" priority="107" equalAverage="0" aboveAverage="0" dxfId="0" text="" percent="0" bottom="0">
      <formula>M27&gt;=20</formula>
    </cfRule>
    <cfRule type="expression" rank="0" priority="108" equalAverage="0" aboveAverage="0" dxfId="1" text="" percent="0" bottom="0">
      <formula>AND(M27&gt;=10,M27&lt;20)</formula>
    </cfRule>
    <cfRule type="expression" rank="0" priority="109" equalAverage="0" aboveAverage="0" dxfId="2" text="" percent="0" bottom="0">
      <formula>AND(M27&gt;=5,M27&lt;10)</formula>
    </cfRule>
    <cfRule type="expression" rank="0" priority="110" equalAverage="0" aboveAverage="0" dxfId="3" text="" percent="0" bottom="0">
      <formula>AND(M27&gt;=1,M27&lt;5)</formula>
    </cfRule>
  </conditionalFormatting>
  <conditionalFormatting sqref="M28">
    <cfRule type="expression" rank="0" priority="111" equalAverage="0" aboveAverage="0" dxfId="0" text="" percent="0" bottom="0">
      <formula>M28&gt;=20</formula>
    </cfRule>
    <cfRule type="expression" rank="0" priority="112" equalAverage="0" aboveAverage="0" dxfId="1" text="" percent="0" bottom="0">
      <formula>AND(M28&gt;=10,M28&lt;20)</formula>
    </cfRule>
    <cfRule type="expression" rank="0" priority="113" equalAverage="0" aboveAverage="0" dxfId="2" text="" percent="0" bottom="0">
      <formula>AND(M28&gt;=5,M28&lt;10)</formula>
    </cfRule>
    <cfRule type="expression" rank="0" priority="114" equalAverage="0" aboveAverage="0" dxfId="3" text="" percent="0" bottom="0">
      <formula>AND(M28&gt;=1,M28&lt;5)</formula>
    </cfRule>
  </conditionalFormatting>
  <conditionalFormatting sqref="M29">
    <cfRule type="expression" rank="0" priority="115" equalAverage="0" aboveAverage="0" dxfId="0" text="" percent="0" bottom="0">
      <formula>M29&gt;=20</formula>
    </cfRule>
    <cfRule type="expression" rank="0" priority="116" equalAverage="0" aboveAverage="0" dxfId="1" text="" percent="0" bottom="0">
      <formula>AND(M29&gt;=10,M29&lt;20)</formula>
    </cfRule>
    <cfRule type="expression" rank="0" priority="117" equalAverage="0" aboveAverage="0" dxfId="2" text="" percent="0" bottom="0">
      <formula>AND(M29&gt;=5,M29&lt;10)</formula>
    </cfRule>
    <cfRule type="expression" rank="0" priority="118" equalAverage="0" aboveAverage="0" dxfId="3" text="" percent="0" bottom="0">
      <formula>AND(M29&gt;=1,M29&lt;5)</formula>
    </cfRule>
  </conditionalFormatting>
  <conditionalFormatting sqref="M30">
    <cfRule type="expression" rank="0" priority="119" equalAverage="0" aboveAverage="0" dxfId="0" text="" percent="0" bottom="0">
      <formula>M30&gt;=20</formula>
    </cfRule>
    <cfRule type="expression" rank="0" priority="120" equalAverage="0" aboveAverage="0" dxfId="1" text="" percent="0" bottom="0">
      <formula>AND(M30&gt;=10,M30&lt;20)</formula>
    </cfRule>
    <cfRule type="expression" rank="0" priority="121" equalAverage="0" aboveAverage="0" dxfId="2" text="" percent="0" bottom="0">
      <formula>AND(M30&gt;=5,M30&lt;10)</formula>
    </cfRule>
    <cfRule type="expression" rank="0" priority="122" equalAverage="0" aboveAverage="0" dxfId="3" text="" percent="0" bottom="0">
      <formula>AND(M30&gt;=1,M30&lt;5)</formula>
    </cfRule>
  </conditionalFormatting>
  <conditionalFormatting sqref="M31">
    <cfRule type="expression" rank="0" priority="123" equalAverage="0" aboveAverage="0" dxfId="0" text="" percent="0" bottom="0">
      <formula>M31&gt;=20</formula>
    </cfRule>
    <cfRule type="expression" rank="0" priority="124" equalAverage="0" aboveAverage="0" dxfId="1" text="" percent="0" bottom="0">
      <formula>AND(M31&gt;=10,M31&lt;20)</formula>
    </cfRule>
    <cfRule type="expression" rank="0" priority="125" equalAverage="0" aboveAverage="0" dxfId="2" text="" percent="0" bottom="0">
      <formula>AND(M31&gt;=5,M31&lt;10)</formula>
    </cfRule>
    <cfRule type="expression" rank="0" priority="126" equalAverage="0" aboveAverage="0" dxfId="3" text="" percent="0" bottom="0">
      <formula>AND(M31&gt;=1,M31&lt;5)</formula>
    </cfRule>
  </conditionalFormatting>
  <conditionalFormatting sqref="M32">
    <cfRule type="expression" rank="0" priority="127" equalAverage="0" aboveAverage="0" dxfId="0" text="" percent="0" bottom="0">
      <formula>M32&gt;=20</formula>
    </cfRule>
    <cfRule type="expression" rank="0" priority="128" equalAverage="0" aboveAverage="0" dxfId="1" text="" percent="0" bottom="0">
      <formula>AND(M32&gt;=10,M32&lt;20)</formula>
    </cfRule>
    <cfRule type="expression" rank="0" priority="129" equalAverage="0" aboveAverage="0" dxfId="2" text="" percent="0" bottom="0">
      <formula>AND(M32&gt;=5,M32&lt;10)</formula>
    </cfRule>
    <cfRule type="expression" rank="0" priority="130" equalAverage="0" aboveAverage="0" dxfId="3" text="" percent="0" bottom="0">
      <formula>AND(M32&gt;=1,M32&lt;5)</formula>
    </cfRule>
  </conditionalFormatting>
  <conditionalFormatting sqref="M33">
    <cfRule type="expression" rank="0" priority="131" equalAverage="0" aboveAverage="0" dxfId="0" text="" percent="0" bottom="0">
      <formula>M33&gt;=20</formula>
    </cfRule>
    <cfRule type="expression" rank="0" priority="132" equalAverage="0" aboveAverage="0" dxfId="1" text="" percent="0" bottom="0">
      <formula>AND(M33&gt;=10,M33&lt;20)</formula>
    </cfRule>
    <cfRule type="expression" rank="0" priority="133" equalAverage="0" aboveAverage="0" dxfId="2" text="" percent="0" bottom="0">
      <formula>AND(M33&gt;=5,M33&lt;10)</formula>
    </cfRule>
    <cfRule type="expression" rank="0" priority="134" equalAverage="0" aboveAverage="0" dxfId="3" text="" percent="0" bottom="0">
      <formula>AND(M33&gt;=1,M33&lt;5)</formula>
    </cfRule>
  </conditionalFormatting>
  <conditionalFormatting sqref="M34">
    <cfRule type="expression" rank="0" priority="135" equalAverage="0" aboveAverage="0" dxfId="0" text="" percent="0" bottom="0">
      <formula>M34&gt;=20</formula>
    </cfRule>
    <cfRule type="expression" rank="0" priority="136" equalAverage="0" aboveAverage="0" dxfId="1" text="" percent="0" bottom="0">
      <formula>AND(M34&gt;=10,M34&lt;20)</formula>
    </cfRule>
    <cfRule type="expression" rank="0" priority="137" equalAverage="0" aboveAverage="0" dxfId="2" text="" percent="0" bottom="0">
      <formula>AND(M34&gt;=5,M34&lt;10)</formula>
    </cfRule>
    <cfRule type="expression" rank="0" priority="138" equalAverage="0" aboveAverage="0" dxfId="3" text="" percent="0" bottom="0">
      <formula>AND(M34&gt;=1,M34&lt;5)</formula>
    </cfRule>
  </conditionalFormatting>
  <conditionalFormatting sqref="M35">
    <cfRule type="expression" rank="0" priority="139" equalAverage="0" aboveAverage="0" dxfId="0" text="" percent="0" bottom="0">
      <formula>M35&gt;=20</formula>
    </cfRule>
    <cfRule type="expression" rank="0" priority="140" equalAverage="0" aboveAverage="0" dxfId="1" text="" percent="0" bottom="0">
      <formula>AND(M35&gt;=10,M35&lt;20)</formula>
    </cfRule>
    <cfRule type="expression" rank="0" priority="141" equalAverage="0" aboveAverage="0" dxfId="2" text="" percent="0" bottom="0">
      <formula>AND(M35&gt;=5,M35&lt;10)</formula>
    </cfRule>
    <cfRule type="expression" rank="0" priority="142" equalAverage="0" aboveAverage="0" dxfId="3" text="" percent="0" bottom="0">
      <formula>AND(M35&gt;=1,M35&lt;5)</formula>
    </cfRule>
  </conditionalFormatting>
  <conditionalFormatting sqref="M36">
    <cfRule type="expression" rank="0" priority="143" equalAverage="0" aboveAverage="0" dxfId="0" text="" percent="0" bottom="0">
      <formula>M36&gt;=20</formula>
    </cfRule>
    <cfRule type="expression" rank="0" priority="144" equalAverage="0" aboveAverage="0" dxfId="1" text="" percent="0" bottom="0">
      <formula>AND(M36&gt;=10,M36&lt;20)</formula>
    </cfRule>
    <cfRule type="expression" rank="0" priority="145" equalAverage="0" aboveAverage="0" dxfId="2" text="" percent="0" bottom="0">
      <formula>AND(M36&gt;=5,M36&lt;10)</formula>
    </cfRule>
    <cfRule type="expression" rank="0" priority="146" equalAverage="0" aboveAverage="0" dxfId="3" text="" percent="0" bottom="0">
      <formula>AND(M36&gt;=1,M36&lt;5)</formula>
    </cfRule>
  </conditionalFormatting>
  <conditionalFormatting sqref="M37">
    <cfRule type="expression" rank="0" priority="147" equalAverage="0" aboveAverage="0" dxfId="0" text="" percent="0" bottom="0">
      <formula>M37&gt;=20</formula>
    </cfRule>
    <cfRule type="expression" rank="0" priority="148" equalAverage="0" aboveAverage="0" dxfId="1" text="" percent="0" bottom="0">
      <formula>AND(M37&gt;=10,M37&lt;20)</formula>
    </cfRule>
    <cfRule type="expression" rank="0" priority="149" equalAverage="0" aboveAverage="0" dxfId="2" text="" percent="0" bottom="0">
      <formula>AND(M37&gt;=5,M37&lt;10)</formula>
    </cfRule>
    <cfRule type="expression" rank="0" priority="150" equalAverage="0" aboveAverage="0" dxfId="3" text="" percent="0" bottom="0">
      <formula>AND(M37&gt;=1,M37&lt;5)</formula>
    </cfRule>
  </conditionalFormatting>
  <conditionalFormatting sqref="M38">
    <cfRule type="expression" rank="0" priority="151" equalAverage="0" aboveAverage="0" dxfId="0" text="" percent="0" bottom="0">
      <formula>M38&gt;=20</formula>
    </cfRule>
    <cfRule type="expression" rank="0" priority="152" equalAverage="0" aboveAverage="0" dxfId="1" text="" percent="0" bottom="0">
      <formula>AND(M38&gt;=10,M38&lt;20)</formula>
    </cfRule>
    <cfRule type="expression" rank="0" priority="153" equalAverage="0" aboveAverage="0" dxfId="2" text="" percent="0" bottom="0">
      <formula>AND(M38&gt;=5,M38&lt;10)</formula>
    </cfRule>
    <cfRule type="expression" rank="0" priority="154" equalAverage="0" aboveAverage="0" dxfId="3" text="" percent="0" bottom="0">
      <formula>AND(M38&gt;=1,M38&lt;5)</formula>
    </cfRule>
  </conditionalFormatting>
  <conditionalFormatting sqref="M39">
    <cfRule type="expression" rank="0" priority="155" equalAverage="0" aboveAverage="0" dxfId="0" text="" percent="0" bottom="0">
      <formula>M39&gt;=20</formula>
    </cfRule>
    <cfRule type="expression" rank="0" priority="156" equalAverage="0" aboveAverage="0" dxfId="1" text="" percent="0" bottom="0">
      <formula>AND(M39&gt;=10,M39&lt;20)</formula>
    </cfRule>
    <cfRule type="expression" rank="0" priority="157" equalAverage="0" aboveAverage="0" dxfId="2" text="" percent="0" bottom="0">
      <formula>AND(M39&gt;=5,M39&lt;10)</formula>
    </cfRule>
    <cfRule type="expression" rank="0" priority="158" equalAverage="0" aboveAverage="0" dxfId="3" text="" percent="0" bottom="0">
      <formula>AND(M39&gt;=1,M39&lt;5)</formula>
    </cfRule>
  </conditionalFormatting>
  <conditionalFormatting sqref="M40">
    <cfRule type="expression" rank="0" priority="159" equalAverage="0" aboveAverage="0" dxfId="0" text="" percent="0" bottom="0">
      <formula>M40&gt;=20</formula>
    </cfRule>
    <cfRule type="expression" rank="0" priority="160" equalAverage="0" aboveAverage="0" dxfId="1" text="" percent="0" bottom="0">
      <formula>AND(M40&gt;=10,M40&lt;20)</formula>
    </cfRule>
    <cfRule type="expression" rank="0" priority="161" equalAverage="0" aboveAverage="0" dxfId="2" text="" percent="0" bottom="0">
      <formula>AND(M40&gt;=5,M40&lt;10)</formula>
    </cfRule>
    <cfRule type="expression" rank="0" priority="162" equalAverage="0" aboveAverage="0" dxfId="3" text="" percent="0" bottom="0">
      <formula>AND(M40&gt;=1,M40&lt;5)</formula>
    </cfRule>
  </conditionalFormatting>
  <conditionalFormatting sqref="M41">
    <cfRule type="expression" rank="0" priority="163" equalAverage="0" aboveAverage="0" dxfId="0" text="" percent="0" bottom="0">
      <formula>M41&gt;=20</formula>
    </cfRule>
    <cfRule type="expression" rank="0" priority="164" equalAverage="0" aboveAverage="0" dxfId="1" text="" percent="0" bottom="0">
      <formula>AND(M41&gt;=10,M41&lt;20)</formula>
    </cfRule>
    <cfRule type="expression" rank="0" priority="165" equalAverage="0" aboveAverage="0" dxfId="2" text="" percent="0" bottom="0">
      <formula>AND(M41&gt;=5,M41&lt;10)</formula>
    </cfRule>
    <cfRule type="expression" rank="0" priority="166" equalAverage="0" aboveAverage="0" dxfId="3" text="" percent="0" bottom="0">
      <formula>AND(M41&gt;=1,M41&lt;5)</formula>
    </cfRule>
  </conditionalFormatting>
  <conditionalFormatting sqref="M42">
    <cfRule type="expression" rank="0" priority="167" equalAverage="0" aboveAverage="0" dxfId="0" text="" percent="0" bottom="0">
      <formula>M42&gt;=20</formula>
    </cfRule>
    <cfRule type="expression" rank="0" priority="168" equalAverage="0" aboveAverage="0" dxfId="1" text="" percent="0" bottom="0">
      <formula>AND(M42&gt;=10,M42&lt;20)</formula>
    </cfRule>
    <cfRule type="expression" rank="0" priority="169" equalAverage="0" aboveAverage="0" dxfId="2" text="" percent="0" bottom="0">
      <formula>AND(M42&gt;=5,M42&lt;10)</formula>
    </cfRule>
    <cfRule type="expression" rank="0" priority="170" equalAverage="0" aboveAverage="0" dxfId="3" text="" percent="0" bottom="0">
      <formula>AND(M42&gt;=1,M42&lt;5)</formula>
    </cfRule>
  </conditionalFormatting>
  <conditionalFormatting sqref="M43">
    <cfRule type="expression" rank="0" priority="171" equalAverage="0" aboveAverage="0" dxfId="0" text="" percent="0" bottom="0">
      <formula>M43&gt;=20</formula>
    </cfRule>
    <cfRule type="expression" rank="0" priority="172" equalAverage="0" aboveAverage="0" dxfId="1" text="" percent="0" bottom="0">
      <formula>AND(M43&gt;=10,M43&lt;20)</formula>
    </cfRule>
    <cfRule type="expression" rank="0" priority="173" equalAverage="0" aboveAverage="0" dxfId="2" text="" percent="0" bottom="0">
      <formula>AND(M43&gt;=5,M43&lt;10)</formula>
    </cfRule>
    <cfRule type="expression" rank="0" priority="174" equalAverage="0" aboveAverage="0" dxfId="3" text="" percent="0" bottom="0">
      <formula>AND(M43&gt;=1,M43&lt;5)</formula>
    </cfRule>
  </conditionalFormatting>
  <conditionalFormatting sqref="M44">
    <cfRule type="expression" rank="0" priority="175" equalAverage="0" aboveAverage="0" dxfId="0" text="" percent="0" bottom="0">
      <formula>M44&gt;=20</formula>
    </cfRule>
    <cfRule type="expression" rank="0" priority="176" equalAverage="0" aboveAverage="0" dxfId="1" text="" percent="0" bottom="0">
      <formula>AND(M44&gt;=10,M44&lt;20)</formula>
    </cfRule>
    <cfRule type="expression" rank="0" priority="177" equalAverage="0" aboveAverage="0" dxfId="2" text="" percent="0" bottom="0">
      <formula>AND(M44&gt;=5,M44&lt;10)</formula>
    </cfRule>
    <cfRule type="expression" rank="0" priority="178" equalAverage="0" aboveAverage="0" dxfId="3" text="" percent="0" bottom="0">
      <formula>AND(M44&gt;=1,M44&lt;5)</formula>
    </cfRule>
  </conditionalFormatting>
  <conditionalFormatting sqref="M45">
    <cfRule type="expression" rank="0" priority="179" equalAverage="0" aboveAverage="0" dxfId="0" text="" percent="0" bottom="0">
      <formula>M45&gt;=20</formula>
    </cfRule>
    <cfRule type="expression" rank="0" priority="180" equalAverage="0" aboveAverage="0" dxfId="1" text="" percent="0" bottom="0">
      <formula>AND(M45&gt;=10,M45&lt;20)</formula>
    </cfRule>
    <cfRule type="expression" rank="0" priority="181" equalAverage="0" aboveAverage="0" dxfId="2" text="" percent="0" bottom="0">
      <formula>AND(M45&gt;=5,M45&lt;10)</formula>
    </cfRule>
    <cfRule type="expression" rank="0" priority="182" equalAverage="0" aboveAverage="0" dxfId="3" text="" percent="0" bottom="0">
      <formula>AND(M45&gt;=1,M45&lt;5)</formula>
    </cfRule>
  </conditionalFormatting>
  <conditionalFormatting sqref="M46">
    <cfRule type="expression" rank="0" priority="183" equalAverage="0" aboveAverage="0" dxfId="0" text="" percent="0" bottom="0">
      <formula>M46&gt;=20</formula>
    </cfRule>
    <cfRule type="expression" rank="0" priority="184" equalAverage="0" aboveAverage="0" dxfId="1" text="" percent="0" bottom="0">
      <formula>AND(M46&gt;=10,M46&lt;20)</formula>
    </cfRule>
    <cfRule type="expression" rank="0" priority="185" equalAverage="0" aboveAverage="0" dxfId="2" text="" percent="0" bottom="0">
      <formula>AND(M46&gt;=5,M46&lt;10)</formula>
    </cfRule>
    <cfRule type="expression" rank="0" priority="186" equalAverage="0" aboveAverage="0" dxfId="3" text="" percent="0" bottom="0">
      <formula>AND(M46&gt;=1,M46&lt;5)</formula>
    </cfRule>
  </conditionalFormatting>
  <conditionalFormatting sqref="M47">
    <cfRule type="expression" rank="0" priority="187" equalAverage="0" aboveAverage="0" dxfId="0" text="" percent="0" bottom="0">
      <formula>M47&gt;=20</formula>
    </cfRule>
    <cfRule type="expression" rank="0" priority="188" equalAverage="0" aboveAverage="0" dxfId="1" text="" percent="0" bottom="0">
      <formula>AND(M47&gt;=10,M47&lt;20)</formula>
    </cfRule>
    <cfRule type="expression" rank="0" priority="189" equalAverage="0" aboveAverage="0" dxfId="2" text="" percent="0" bottom="0">
      <formula>AND(M47&gt;=5,M47&lt;10)</formula>
    </cfRule>
    <cfRule type="expression" rank="0" priority="190" equalAverage="0" aboveAverage="0" dxfId="3" text="" percent="0" bottom="0">
      <formula>AND(M47&gt;=1,M47&lt;5)</formula>
    </cfRule>
  </conditionalFormatting>
  <conditionalFormatting sqref="M48">
    <cfRule type="expression" rank="0" priority="191" equalAverage="0" aboveAverage="0" dxfId="0" text="" percent="0" bottom="0">
      <formula>M48&gt;=20</formula>
    </cfRule>
    <cfRule type="expression" rank="0" priority="192" equalAverage="0" aboveAverage="0" dxfId="1" text="" percent="0" bottom="0">
      <formula>AND(M48&gt;=10,M48&lt;20)</formula>
    </cfRule>
    <cfRule type="expression" rank="0" priority="193" equalAverage="0" aboveAverage="0" dxfId="2" text="" percent="0" bottom="0">
      <formula>AND(M48&gt;=5,M48&lt;10)</formula>
    </cfRule>
    <cfRule type="expression" rank="0" priority="194" equalAverage="0" aboveAverage="0" dxfId="3" text="" percent="0" bottom="0">
      <formula>AND(M48&gt;=1,M48&lt;5)</formula>
    </cfRule>
  </conditionalFormatting>
  <conditionalFormatting sqref="M49">
    <cfRule type="expression" rank="0" priority="195" equalAverage="0" aboveAverage="0" dxfId="0" text="" percent="0" bottom="0">
      <formula>M49&gt;=20</formula>
    </cfRule>
    <cfRule type="expression" rank="0" priority="196" equalAverage="0" aboveAverage="0" dxfId="1" text="" percent="0" bottom="0">
      <formula>AND(M49&gt;=10,M49&lt;20)</formula>
    </cfRule>
    <cfRule type="expression" rank="0" priority="197" equalAverage="0" aboveAverage="0" dxfId="2" text="" percent="0" bottom="0">
      <formula>AND(M49&gt;=5,M49&lt;10)</formula>
    </cfRule>
    <cfRule type="expression" rank="0" priority="198" equalAverage="0" aboveAverage="0" dxfId="3" text="" percent="0" bottom="0">
      <formula>AND(M49&gt;=1,M49&lt;5)</formula>
    </cfRule>
  </conditionalFormatting>
  <conditionalFormatting sqref="M50">
    <cfRule type="expression" rank="0" priority="199" equalAverage="0" aboveAverage="0" dxfId="0" text="" percent="0" bottom="0">
      <formula>M50&gt;=20</formula>
    </cfRule>
    <cfRule type="expression" rank="0" priority="200" equalAverage="0" aboveAverage="0" dxfId="1" text="" percent="0" bottom="0">
      <formula>AND(M50&gt;=10,M50&lt;20)</formula>
    </cfRule>
    <cfRule type="expression" rank="0" priority="201" equalAverage="0" aboveAverage="0" dxfId="2" text="" percent="0" bottom="0">
      <formula>AND(M50&gt;=5,M50&lt;10)</formula>
    </cfRule>
    <cfRule type="expression" rank="0" priority="202" equalAverage="0" aboveAverage="0" dxfId="3" text="" percent="0" bottom="0">
      <formula>AND(M50&gt;=1,M50&lt;5)</formula>
    </cfRule>
  </conditionalFormatting>
  <conditionalFormatting sqref="M51">
    <cfRule type="expression" rank="0" priority="203" equalAverage="0" aboveAverage="0" dxfId="0" text="" percent="0" bottom="0">
      <formula>M51&gt;=20</formula>
    </cfRule>
    <cfRule type="expression" rank="0" priority="204" equalAverage="0" aboveAverage="0" dxfId="1" text="" percent="0" bottom="0">
      <formula>AND(M51&gt;=10,M51&lt;20)</formula>
    </cfRule>
    <cfRule type="expression" rank="0" priority="205" equalAverage="0" aboveAverage="0" dxfId="2" text="" percent="0" bottom="0">
      <formula>AND(M51&gt;=5,M51&lt;10)</formula>
    </cfRule>
    <cfRule type="expression" rank="0" priority="206" equalAverage="0" aboveAverage="0" dxfId="3" text="" percent="0" bottom="0">
      <formula>AND(M51&gt;=1,M51&lt;5)</formula>
    </cfRule>
  </conditionalFormatting>
  <conditionalFormatting sqref="M52">
    <cfRule type="expression" rank="0" priority="207" equalAverage="0" aboveAverage="0" dxfId="0" text="" percent="0" bottom="0">
      <formula>M52&gt;=20</formula>
    </cfRule>
    <cfRule type="expression" rank="0" priority="208" equalAverage="0" aboveAverage="0" dxfId="1" text="" percent="0" bottom="0">
      <formula>AND(M52&gt;=10,M52&lt;20)</formula>
    </cfRule>
    <cfRule type="expression" rank="0" priority="209" equalAverage="0" aboveAverage="0" dxfId="2" text="" percent="0" bottom="0">
      <formula>AND(M52&gt;=5,M52&lt;10)</formula>
    </cfRule>
    <cfRule type="expression" rank="0" priority="210" equalAverage="0" aboveAverage="0" dxfId="3" text="" percent="0" bottom="0">
      <formula>AND(M52&gt;=1,M52&lt;5)</formula>
    </cfRule>
  </conditionalFormatting>
  <conditionalFormatting sqref="M53">
    <cfRule type="expression" rank="0" priority="211" equalAverage="0" aboveAverage="0" dxfId="0" text="" percent="0" bottom="0">
      <formula>M53&gt;=20</formula>
    </cfRule>
    <cfRule type="expression" rank="0" priority="212" equalAverage="0" aboveAverage="0" dxfId="1" text="" percent="0" bottom="0">
      <formula>AND(M53&gt;=10,M53&lt;20)</formula>
    </cfRule>
    <cfRule type="expression" rank="0" priority="213" equalAverage="0" aboveAverage="0" dxfId="2" text="" percent="0" bottom="0">
      <formula>AND(M53&gt;=5,M53&lt;10)</formula>
    </cfRule>
    <cfRule type="expression" rank="0" priority="214" equalAverage="0" aboveAverage="0" dxfId="3" text="" percent="0" bottom="0">
      <formula>AND(M53&gt;=1,M53&lt;5)</formula>
    </cfRule>
  </conditionalFormatting>
  <conditionalFormatting sqref="M54">
    <cfRule type="expression" rank="0" priority="215" equalAverage="0" aboveAverage="0" dxfId="0" text="" percent="0" bottom="0">
      <formula>M54&gt;=20</formula>
    </cfRule>
    <cfRule type="expression" rank="0" priority="216" equalAverage="0" aboveAverage="0" dxfId="1" text="" percent="0" bottom="0">
      <formula>AND(M54&gt;=10,M54&lt;20)</formula>
    </cfRule>
    <cfRule type="expression" rank="0" priority="217" equalAverage="0" aboveAverage="0" dxfId="2" text="" percent="0" bottom="0">
      <formula>AND(M54&gt;=5,M54&lt;10)</formula>
    </cfRule>
    <cfRule type="expression" rank="0" priority="218" equalAverage="0" aboveAverage="0" dxfId="3" text="" percent="0" bottom="0">
      <formula>AND(M54&gt;=1,M54&lt;5)</formula>
    </cfRule>
  </conditionalFormatting>
  <conditionalFormatting sqref="M55">
    <cfRule type="expression" rank="0" priority="219" equalAverage="0" aboveAverage="0" dxfId="0" text="" percent="0" bottom="0">
      <formula>M55&gt;=20</formula>
    </cfRule>
    <cfRule type="expression" rank="0" priority="220" equalAverage="0" aboveAverage="0" dxfId="1" text="" percent="0" bottom="0">
      <formula>AND(M55&gt;=10,M55&lt;20)</formula>
    </cfRule>
    <cfRule type="expression" rank="0" priority="221" equalAverage="0" aboveAverage="0" dxfId="2" text="" percent="0" bottom="0">
      <formula>AND(M55&gt;=5,M55&lt;10)</formula>
    </cfRule>
    <cfRule type="expression" rank="0" priority="222" equalAverage="0" aboveAverage="0" dxfId="3" text="" percent="0" bottom="0">
      <formula>AND(M55&gt;=1,M55&lt;5)</formula>
    </cfRule>
  </conditionalFormatting>
  <conditionalFormatting sqref="M56">
    <cfRule type="expression" rank="0" priority="223" equalAverage="0" aboveAverage="0" dxfId="0" text="" percent="0" bottom="0">
      <formula>M56&gt;=20</formula>
    </cfRule>
    <cfRule type="expression" rank="0" priority="224" equalAverage="0" aboveAverage="0" dxfId="1" text="" percent="0" bottom="0">
      <formula>AND(M56&gt;=10,M56&lt;20)</formula>
    </cfRule>
    <cfRule type="expression" rank="0" priority="225" equalAverage="0" aboveAverage="0" dxfId="2" text="" percent="0" bottom="0">
      <formula>AND(M56&gt;=5,M56&lt;10)</formula>
    </cfRule>
    <cfRule type="expression" rank="0" priority="226" equalAverage="0" aboveAverage="0" dxfId="3" text="" percent="0" bottom="0">
      <formula>AND(M56&gt;=1,M56&lt;5)</formula>
    </cfRule>
  </conditionalFormatting>
  <conditionalFormatting sqref="M57">
    <cfRule type="expression" rank="0" priority="227" equalAverage="0" aboveAverage="0" dxfId="0" text="" percent="0" bottom="0">
      <formula>M57&gt;=20</formula>
    </cfRule>
    <cfRule type="expression" rank="0" priority="228" equalAverage="0" aboveAverage="0" dxfId="1" text="" percent="0" bottom="0">
      <formula>AND(M57&gt;=10,M57&lt;20)</formula>
    </cfRule>
    <cfRule type="expression" rank="0" priority="229" equalAverage="0" aboveAverage="0" dxfId="2" text="" percent="0" bottom="0">
      <formula>AND(M57&gt;=5,M57&lt;10)</formula>
    </cfRule>
    <cfRule type="expression" rank="0" priority="230" equalAverage="0" aboveAverage="0" dxfId="3" text="" percent="0" bottom="0">
      <formula>AND(M57&gt;=1,M57&lt;5)</formula>
    </cfRule>
  </conditionalFormatting>
  <conditionalFormatting sqref="M58">
    <cfRule type="expression" rank="0" priority="231" equalAverage="0" aboveAverage="0" dxfId="0" text="" percent="0" bottom="0">
      <formula>M58&gt;=20</formula>
    </cfRule>
    <cfRule type="expression" rank="0" priority="232" equalAverage="0" aboveAverage="0" dxfId="1" text="" percent="0" bottom="0">
      <formula>AND(M58&gt;=10,M58&lt;20)</formula>
    </cfRule>
    <cfRule type="expression" rank="0" priority="233" equalAverage="0" aboveAverage="0" dxfId="2" text="" percent="0" bottom="0">
      <formula>AND(M58&gt;=5,M58&lt;10)</formula>
    </cfRule>
    <cfRule type="expression" rank="0" priority="234" equalAverage="0" aboveAverage="0" dxfId="3" text="" percent="0" bottom="0">
      <formula>AND(M58&gt;=1,M58&lt;5)</formula>
    </cfRule>
  </conditionalFormatting>
  <conditionalFormatting sqref="M59">
    <cfRule type="expression" rank="0" priority="235" equalAverage="0" aboveAverage="0" dxfId="0" text="" percent="0" bottom="0">
      <formula>M59&gt;=20</formula>
    </cfRule>
    <cfRule type="expression" rank="0" priority="236" equalAverage="0" aboveAverage="0" dxfId="1" text="" percent="0" bottom="0">
      <formula>AND(M59&gt;=10,M59&lt;20)</formula>
    </cfRule>
    <cfRule type="expression" rank="0" priority="237" equalAverage="0" aboveAverage="0" dxfId="2" text="" percent="0" bottom="0">
      <formula>AND(M59&gt;=5,M59&lt;10)</formula>
    </cfRule>
    <cfRule type="expression" rank="0" priority="238" equalAverage="0" aboveAverage="0" dxfId="3" text="" percent="0" bottom="0">
      <formula>AND(M59&gt;=1,M59&lt;5)</formula>
    </cfRule>
  </conditionalFormatting>
  <conditionalFormatting sqref="M60">
    <cfRule type="expression" rank="0" priority="239" equalAverage="0" aboveAverage="0" dxfId="0" text="" percent="0" bottom="0">
      <formula>M60&gt;=20</formula>
    </cfRule>
    <cfRule type="expression" rank="0" priority="240" equalAverage="0" aboveAverage="0" dxfId="1" text="" percent="0" bottom="0">
      <formula>AND(M60&gt;=10,M60&lt;20)</formula>
    </cfRule>
    <cfRule type="expression" rank="0" priority="241" equalAverage="0" aboveAverage="0" dxfId="2" text="" percent="0" bottom="0">
      <formula>AND(M60&gt;=5,M60&lt;10)</formula>
    </cfRule>
    <cfRule type="expression" rank="0" priority="242" equalAverage="0" aboveAverage="0" dxfId="3" text="" percent="0" bottom="0">
      <formula>AND(M60&gt;=1,M60&lt;5)</formula>
    </cfRule>
  </conditionalFormatting>
  <conditionalFormatting sqref="M61">
    <cfRule type="expression" rank="0" priority="243" equalAverage="0" aboveAverage="0" dxfId="0" text="" percent="0" bottom="0">
      <formula>M61&gt;=20</formula>
    </cfRule>
    <cfRule type="expression" rank="0" priority="244" equalAverage="0" aboveAverage="0" dxfId="1" text="" percent="0" bottom="0">
      <formula>AND(M61&gt;=10,M61&lt;20)</formula>
    </cfRule>
    <cfRule type="expression" rank="0" priority="245" equalAverage="0" aboveAverage="0" dxfId="2" text="" percent="0" bottom="0">
      <formula>AND(M61&gt;=5,M61&lt;10)</formula>
    </cfRule>
    <cfRule type="expression" rank="0" priority="246" equalAverage="0" aboveAverage="0" dxfId="3" text="" percent="0" bottom="0">
      <formula>AND(M61&gt;=1,M61&lt;5)</formula>
    </cfRule>
  </conditionalFormatting>
  <conditionalFormatting sqref="M62">
    <cfRule type="expression" rank="0" priority="247" equalAverage="0" aboveAverage="0" dxfId="0" text="" percent="0" bottom="0">
      <formula>M62&gt;=20</formula>
    </cfRule>
    <cfRule type="expression" rank="0" priority="248" equalAverage="0" aboveAverage="0" dxfId="1" text="" percent="0" bottom="0">
      <formula>AND(M62&gt;=10,M62&lt;20)</formula>
    </cfRule>
    <cfRule type="expression" rank="0" priority="249" equalAverage="0" aboveAverage="0" dxfId="2" text="" percent="0" bottom="0">
      <formula>AND(M62&gt;=5,M62&lt;10)</formula>
    </cfRule>
    <cfRule type="expression" rank="0" priority="250" equalAverage="0" aboveAverage="0" dxfId="3" text="" percent="0" bottom="0">
      <formula>AND(M62&gt;=1,M62&lt;5)</formula>
    </cfRule>
  </conditionalFormatting>
  <conditionalFormatting sqref="M63">
    <cfRule type="expression" rank="0" priority="251" equalAverage="0" aboveAverage="0" dxfId="0" text="" percent="0" bottom="0">
      <formula>M63&gt;=20</formula>
    </cfRule>
    <cfRule type="expression" rank="0" priority="252" equalAverage="0" aboveAverage="0" dxfId="1" text="" percent="0" bottom="0">
      <formula>AND(M63&gt;=10,M63&lt;20)</formula>
    </cfRule>
    <cfRule type="expression" rank="0" priority="253" equalAverage="0" aboveAverage="0" dxfId="2" text="" percent="0" bottom="0">
      <formula>AND(M63&gt;=5,M63&lt;10)</formula>
    </cfRule>
    <cfRule type="expression" rank="0" priority="254" equalAverage="0" aboveAverage="0" dxfId="3" text="" percent="0" bottom="0">
      <formula>AND(M63&gt;=1,M63&lt;5)</formula>
    </cfRule>
  </conditionalFormatting>
  <conditionalFormatting sqref="M64">
    <cfRule type="expression" rank="0" priority="255" equalAverage="0" aboveAverage="0" dxfId="0" text="" percent="0" bottom="0">
      <formula>M64&gt;=20</formula>
    </cfRule>
    <cfRule type="expression" rank="0" priority="256" equalAverage="0" aboveAverage="0" dxfId="1" text="" percent="0" bottom="0">
      <formula>AND(M64&gt;=10,M64&lt;20)</formula>
    </cfRule>
    <cfRule type="expression" rank="0" priority="257" equalAverage="0" aboveAverage="0" dxfId="2" text="" percent="0" bottom="0">
      <formula>AND(M64&gt;=5,M64&lt;10)</formula>
    </cfRule>
    <cfRule type="expression" rank="0" priority="258" equalAverage="0" aboveAverage="0" dxfId="3" text="" percent="0" bottom="0">
      <formula>AND(M64&gt;=1,M64&lt;5)</formula>
    </cfRule>
  </conditionalFormatting>
  <conditionalFormatting sqref="M65">
    <cfRule type="expression" rank="0" priority="259" equalAverage="0" aboveAverage="0" dxfId="0" text="" percent="0" bottom="0">
      <formula>M65&gt;=20</formula>
    </cfRule>
    <cfRule type="expression" rank="0" priority="260" equalAverage="0" aboveAverage="0" dxfId="1" text="" percent="0" bottom="0">
      <formula>AND(M65&gt;=10,M65&lt;20)</formula>
    </cfRule>
    <cfRule type="expression" rank="0" priority="261" equalAverage="0" aboveAverage="0" dxfId="2" text="" percent="0" bottom="0">
      <formula>AND(M65&gt;=5,M65&lt;10)</formula>
    </cfRule>
    <cfRule type="expression" rank="0" priority="262" equalAverage="0" aboveAverage="0" dxfId="3" text="" percent="0" bottom="0">
      <formula>AND(M65&gt;=1,M65&lt;5)</formula>
    </cfRule>
  </conditionalFormatting>
  <conditionalFormatting sqref="M66">
    <cfRule type="expression" rank="0" priority="263" equalAverage="0" aboveAverage="0" dxfId="0" text="" percent="0" bottom="0">
      <formula>M66&gt;=20</formula>
    </cfRule>
    <cfRule type="expression" rank="0" priority="264" equalAverage="0" aboveAverage="0" dxfId="1" text="" percent="0" bottom="0">
      <formula>AND(M66&gt;=10,M66&lt;20)</formula>
    </cfRule>
    <cfRule type="expression" rank="0" priority="265" equalAverage="0" aboveAverage="0" dxfId="2" text="" percent="0" bottom="0">
      <formula>AND(M66&gt;=5,M66&lt;10)</formula>
    </cfRule>
    <cfRule type="expression" rank="0" priority="266" equalAverage="0" aboveAverage="0" dxfId="3" text="" percent="0" bottom="0">
      <formula>AND(M66&gt;=1,M66&lt;5)</formula>
    </cfRule>
  </conditionalFormatting>
  <conditionalFormatting sqref="M67">
    <cfRule type="expression" rank="0" priority="267" equalAverage="0" aboveAverage="0" dxfId="0" text="" percent="0" bottom="0">
      <formula>M67&gt;=20</formula>
    </cfRule>
    <cfRule type="expression" rank="0" priority="268" equalAverage="0" aboveAverage="0" dxfId="1" text="" percent="0" bottom="0">
      <formula>AND(M67&gt;=10,M67&lt;20)</formula>
    </cfRule>
    <cfRule type="expression" rank="0" priority="269" equalAverage="0" aboveAverage="0" dxfId="2" text="" percent="0" bottom="0">
      <formula>AND(M67&gt;=5,M67&lt;10)</formula>
    </cfRule>
    <cfRule type="expression" rank="0" priority="270" equalAverage="0" aboveAverage="0" dxfId="3" text="" percent="0" bottom="0">
      <formula>AND(M67&gt;=1,M67&lt;5)</formula>
    </cfRule>
  </conditionalFormatting>
  <conditionalFormatting sqref="M68">
    <cfRule type="expression" rank="0" priority="271" equalAverage="0" aboveAverage="0" dxfId="0" text="" percent="0" bottom="0">
      <formula>M68&gt;=20</formula>
    </cfRule>
    <cfRule type="expression" rank="0" priority="272" equalAverage="0" aboveAverage="0" dxfId="1" text="" percent="0" bottom="0">
      <formula>AND(M68&gt;=10,M68&lt;20)</formula>
    </cfRule>
    <cfRule type="expression" rank="0" priority="273" equalAverage="0" aboveAverage="0" dxfId="2" text="" percent="0" bottom="0">
      <formula>AND(M68&gt;=5,M68&lt;10)</formula>
    </cfRule>
    <cfRule type="expression" rank="0" priority="274" equalAverage="0" aboveAverage="0" dxfId="3" text="" percent="0" bottom="0">
      <formula>AND(M68&gt;=1,M68&lt;5)</formula>
    </cfRule>
  </conditionalFormatting>
  <conditionalFormatting sqref="M69">
    <cfRule type="expression" rank="0" priority="275" equalAverage="0" aboveAverage="0" dxfId="0" text="" percent="0" bottom="0">
      <formula>M69&gt;=20</formula>
    </cfRule>
    <cfRule type="expression" rank="0" priority="276" equalAverage="0" aboveAverage="0" dxfId="1" text="" percent="0" bottom="0">
      <formula>AND(M69&gt;=10,M69&lt;20)</formula>
    </cfRule>
    <cfRule type="expression" rank="0" priority="277" equalAverage="0" aboveAverage="0" dxfId="2" text="" percent="0" bottom="0">
      <formula>AND(M69&gt;=5,M69&lt;10)</formula>
    </cfRule>
    <cfRule type="expression" rank="0" priority="278" equalAverage="0" aboveAverage="0" dxfId="3" text="" percent="0" bottom="0">
      <formula>AND(M69&gt;=1,M69&lt;5)</formula>
    </cfRule>
  </conditionalFormatting>
  <conditionalFormatting sqref="M70">
    <cfRule type="expression" rank="0" priority="279" equalAverage="0" aboveAverage="0" dxfId="0" text="" percent="0" bottom="0">
      <formula>M70&gt;=20</formula>
    </cfRule>
    <cfRule type="expression" rank="0" priority="280" equalAverage="0" aboveAverage="0" dxfId="1" text="" percent="0" bottom="0">
      <formula>AND(M70&gt;=10,M70&lt;20)</formula>
    </cfRule>
    <cfRule type="expression" rank="0" priority="281" equalAverage="0" aboveAverage="0" dxfId="2" text="" percent="0" bottom="0">
      <formula>AND(M70&gt;=5,M70&lt;10)</formula>
    </cfRule>
    <cfRule type="expression" rank="0" priority="282" equalAverage="0" aboveAverage="0" dxfId="3" text="" percent="0" bottom="0">
      <formula>AND(M70&gt;=1,M70&lt;5)</formula>
    </cfRule>
  </conditionalFormatting>
  <conditionalFormatting sqref="M71">
    <cfRule type="expression" rank="0" priority="283" equalAverage="0" aboveAverage="0" dxfId="0" text="" percent="0" bottom="0">
      <formula>M71&gt;=20</formula>
    </cfRule>
    <cfRule type="expression" rank="0" priority="284" equalAverage="0" aboveAverage="0" dxfId="1" text="" percent="0" bottom="0">
      <formula>AND(M71&gt;=10,M71&lt;20)</formula>
    </cfRule>
    <cfRule type="expression" rank="0" priority="285" equalAverage="0" aboveAverage="0" dxfId="2" text="" percent="0" bottom="0">
      <formula>AND(M71&gt;=5,M71&lt;10)</formula>
    </cfRule>
    <cfRule type="expression" rank="0" priority="286" equalAverage="0" aboveAverage="0" dxfId="3" text="" percent="0" bottom="0">
      <formula>AND(M71&gt;=1,M71&lt;5)</formula>
    </cfRule>
  </conditionalFormatting>
  <conditionalFormatting sqref="M72">
    <cfRule type="expression" rank="0" priority="287" equalAverage="0" aboveAverage="0" dxfId="0" text="" percent="0" bottom="0">
      <formula>M72&gt;=20</formula>
    </cfRule>
    <cfRule type="expression" rank="0" priority="288" equalAverage="0" aboveAverage="0" dxfId="1" text="" percent="0" bottom="0">
      <formula>AND(M72&gt;=10,M72&lt;20)</formula>
    </cfRule>
    <cfRule type="expression" rank="0" priority="289" equalAverage="0" aboveAverage="0" dxfId="2" text="" percent="0" bottom="0">
      <formula>AND(M72&gt;=5,M72&lt;10)</formula>
    </cfRule>
    <cfRule type="expression" rank="0" priority="290" equalAverage="0" aboveAverage="0" dxfId="3" text="" percent="0" bottom="0">
      <formula>AND(M72&gt;=1,M72&lt;5)</formula>
    </cfRule>
  </conditionalFormatting>
  <conditionalFormatting sqref="M73">
    <cfRule type="expression" rank="0" priority="291" equalAverage="0" aboveAverage="0" dxfId="0" text="" percent="0" bottom="0">
      <formula>M73&gt;=20</formula>
    </cfRule>
    <cfRule type="expression" rank="0" priority="292" equalAverage="0" aboveAverage="0" dxfId="1" text="" percent="0" bottom="0">
      <formula>AND(M73&gt;=10,M73&lt;20)</formula>
    </cfRule>
    <cfRule type="expression" rank="0" priority="293" equalAverage="0" aboveAverage="0" dxfId="2" text="" percent="0" bottom="0">
      <formula>AND(M73&gt;=5,M73&lt;10)</formula>
    </cfRule>
    <cfRule type="expression" rank="0" priority="294" equalAverage="0" aboveAverage="0" dxfId="3" text="" percent="0" bottom="0">
      <formula>AND(M73&gt;=1,M73&lt;5)</formula>
    </cfRule>
  </conditionalFormatting>
  <conditionalFormatting sqref="M74">
    <cfRule type="expression" rank="0" priority="295" equalAverage="0" aboveAverage="0" dxfId="0" text="" percent="0" bottom="0">
      <formula>M74&gt;=20</formula>
    </cfRule>
    <cfRule type="expression" rank="0" priority="296" equalAverage="0" aboveAverage="0" dxfId="1" text="" percent="0" bottom="0">
      <formula>AND(M74&gt;=10,M74&lt;20)</formula>
    </cfRule>
    <cfRule type="expression" rank="0" priority="297" equalAverage="0" aboveAverage="0" dxfId="2" text="" percent="0" bottom="0">
      <formula>AND(M74&gt;=5,M74&lt;10)</formula>
    </cfRule>
    <cfRule type="expression" rank="0" priority="298" equalAverage="0" aboveAverage="0" dxfId="3" text="" percent="0" bottom="0">
      <formula>AND(M74&gt;=1,M74&lt;5)</formula>
    </cfRule>
  </conditionalFormatting>
  <conditionalFormatting sqref="M75">
    <cfRule type="expression" rank="0" priority="299" equalAverage="0" aboveAverage="0" dxfId="0" text="" percent="0" bottom="0">
      <formula>M75&gt;=20</formula>
    </cfRule>
    <cfRule type="expression" rank="0" priority="300" equalAverage="0" aboveAverage="0" dxfId="1" text="" percent="0" bottom="0">
      <formula>AND(M75&gt;=10,M75&lt;20)</formula>
    </cfRule>
    <cfRule type="expression" rank="0" priority="301" equalAverage="0" aboveAverage="0" dxfId="2" text="" percent="0" bottom="0">
      <formula>AND(M75&gt;=5,M75&lt;10)</formula>
    </cfRule>
    <cfRule type="expression" rank="0" priority="302" equalAverage="0" aboveAverage="0" dxfId="3" text="" percent="0" bottom="0">
      <formula>AND(M75&gt;=1,M75&lt;5)</formula>
    </cfRule>
  </conditionalFormatting>
  <conditionalFormatting sqref="M76">
    <cfRule type="expression" rank="0" priority="303" equalAverage="0" aboveAverage="0" dxfId="0" text="" percent="0" bottom="0">
      <formula>M76&gt;=20</formula>
    </cfRule>
    <cfRule type="expression" rank="0" priority="304" equalAverage="0" aboveAverage="0" dxfId="1" text="" percent="0" bottom="0">
      <formula>AND(M76&gt;=10,M76&lt;20)</formula>
    </cfRule>
    <cfRule type="expression" rank="0" priority="305" equalAverage="0" aboveAverage="0" dxfId="2" text="" percent="0" bottom="0">
      <formula>AND(M76&gt;=5,M76&lt;10)</formula>
    </cfRule>
    <cfRule type="expression" rank="0" priority="306" equalAverage="0" aboveAverage="0" dxfId="3" text="" percent="0" bottom="0">
      <formula>AND(M76&gt;=1,M76&lt;5)</formula>
    </cfRule>
  </conditionalFormatting>
  <conditionalFormatting sqref="M77">
    <cfRule type="expression" rank="0" priority="307" equalAverage="0" aboveAverage="0" dxfId="0" text="" percent="0" bottom="0">
      <formula>M77&gt;=20</formula>
    </cfRule>
    <cfRule type="expression" rank="0" priority="308" equalAverage="0" aboveAverage="0" dxfId="1" text="" percent="0" bottom="0">
      <formula>AND(M77&gt;=10,M77&lt;20)</formula>
    </cfRule>
    <cfRule type="expression" rank="0" priority="309" equalAverage="0" aboveAverage="0" dxfId="2" text="" percent="0" bottom="0">
      <formula>AND(M77&gt;=5,M77&lt;10)</formula>
    </cfRule>
    <cfRule type="expression" rank="0" priority="310" equalAverage="0" aboveAverage="0" dxfId="3" text="" percent="0" bottom="0">
      <formula>AND(M77&gt;=1,M77&lt;5)</formula>
    </cfRule>
  </conditionalFormatting>
  <conditionalFormatting sqref="M78">
    <cfRule type="expression" rank="0" priority="311" equalAverage="0" aboveAverage="0" dxfId="0" text="" percent="0" bottom="0">
      <formula>M78&gt;=20</formula>
    </cfRule>
    <cfRule type="expression" rank="0" priority="312" equalAverage="0" aboveAverage="0" dxfId="1" text="" percent="0" bottom="0">
      <formula>AND(M78&gt;=10,M78&lt;20)</formula>
    </cfRule>
    <cfRule type="expression" rank="0" priority="313" equalAverage="0" aboveAverage="0" dxfId="2" text="" percent="0" bottom="0">
      <formula>AND(M78&gt;=5,M78&lt;10)</formula>
    </cfRule>
    <cfRule type="expression" rank="0" priority="314" equalAverage="0" aboveAverage="0" dxfId="3" text="" percent="0" bottom="0">
      <formula>AND(M78&gt;=1,M78&lt;5)</formula>
    </cfRule>
  </conditionalFormatting>
  <conditionalFormatting sqref="M79">
    <cfRule type="expression" rank="0" priority="315" equalAverage="0" aboveAverage="0" dxfId="0" text="" percent="0" bottom="0">
      <formula>M79&gt;=20</formula>
    </cfRule>
    <cfRule type="expression" rank="0" priority="316" equalAverage="0" aboveAverage="0" dxfId="1" text="" percent="0" bottom="0">
      <formula>AND(M79&gt;=10,M79&lt;20)</formula>
    </cfRule>
    <cfRule type="expression" rank="0" priority="317" equalAverage="0" aboveAverage="0" dxfId="2" text="" percent="0" bottom="0">
      <formula>AND(M79&gt;=5,M79&lt;10)</formula>
    </cfRule>
    <cfRule type="expression" rank="0" priority="318" equalAverage="0" aboveAverage="0" dxfId="3" text="" percent="0" bottom="0">
      <formula>AND(M79&gt;=1,M79&lt;5)</formula>
    </cfRule>
  </conditionalFormatting>
  <conditionalFormatting sqref="M80">
    <cfRule type="expression" rank="0" priority="319" equalAverage="0" aboveAverage="0" dxfId="0" text="" percent="0" bottom="0">
      <formula>M80&gt;=20</formula>
    </cfRule>
    <cfRule type="expression" rank="0" priority="320" equalAverage="0" aboveAverage="0" dxfId="1" text="" percent="0" bottom="0">
      <formula>AND(M80&gt;=10,M80&lt;20)</formula>
    </cfRule>
    <cfRule type="expression" rank="0" priority="321" equalAverage="0" aboveAverage="0" dxfId="2" text="" percent="0" bottom="0">
      <formula>AND(M80&gt;=5,M80&lt;10)</formula>
    </cfRule>
    <cfRule type="expression" rank="0" priority="322" equalAverage="0" aboveAverage="0" dxfId="3" text="" percent="0" bottom="0">
      <formula>AND(M80&gt;=1,M80&lt;5)</formula>
    </cfRule>
  </conditionalFormatting>
  <conditionalFormatting sqref="M81">
    <cfRule type="expression" rank="0" priority="323" equalAverage="0" aboveAverage="0" dxfId="0" text="" percent="0" bottom="0">
      <formula>M81&gt;=20</formula>
    </cfRule>
    <cfRule type="expression" rank="0" priority="324" equalAverage="0" aboveAverage="0" dxfId="1" text="" percent="0" bottom="0">
      <formula>AND(M81&gt;=10,M81&lt;20)</formula>
    </cfRule>
    <cfRule type="expression" rank="0" priority="325" equalAverage="0" aboveAverage="0" dxfId="2" text="" percent="0" bottom="0">
      <formula>AND(M81&gt;=5,M81&lt;10)</formula>
    </cfRule>
    <cfRule type="expression" rank="0" priority="326" equalAverage="0" aboveAverage="0" dxfId="3" text="" percent="0" bottom="0">
      <formula>AND(M81&gt;=1,M81&lt;5)</formula>
    </cfRule>
  </conditionalFormatting>
  <conditionalFormatting sqref="M82">
    <cfRule type="expression" rank="0" priority="327" equalAverage="0" aboveAverage="0" dxfId="0" text="" percent="0" bottom="0">
      <formula>M82&gt;=20</formula>
    </cfRule>
    <cfRule type="expression" rank="0" priority="328" equalAverage="0" aboveAverage="0" dxfId="1" text="" percent="0" bottom="0">
      <formula>AND(M82&gt;=10,M82&lt;20)</formula>
    </cfRule>
    <cfRule type="expression" rank="0" priority="329" equalAverage="0" aboveAverage="0" dxfId="2" text="" percent="0" bottom="0">
      <formula>AND(M82&gt;=5,M82&lt;10)</formula>
    </cfRule>
    <cfRule type="expression" rank="0" priority="330" equalAverage="0" aboveAverage="0" dxfId="3" text="" percent="0" bottom="0">
      <formula>AND(M82&gt;=1,M82&lt;5)</formula>
    </cfRule>
  </conditionalFormatting>
  <conditionalFormatting sqref="M83">
    <cfRule type="expression" rank="0" priority="331" equalAverage="0" aboveAverage="0" dxfId="0" text="" percent="0" bottom="0">
      <formula>M83&gt;=20</formula>
    </cfRule>
    <cfRule type="expression" rank="0" priority="332" equalAverage="0" aboveAverage="0" dxfId="1" text="" percent="0" bottom="0">
      <formula>AND(M83&gt;=10,M83&lt;20)</formula>
    </cfRule>
    <cfRule type="expression" rank="0" priority="333" equalAverage="0" aboveAverage="0" dxfId="2" text="" percent="0" bottom="0">
      <formula>AND(M83&gt;=5,M83&lt;10)</formula>
    </cfRule>
    <cfRule type="expression" rank="0" priority="334" equalAverage="0" aboveAverage="0" dxfId="3" text="" percent="0" bottom="0">
      <formula>AND(M83&gt;=1,M83&lt;5)</formula>
    </cfRule>
  </conditionalFormatting>
  <conditionalFormatting sqref="M84">
    <cfRule type="expression" rank="0" priority="335" equalAverage="0" aboveAverage="0" dxfId="0" text="" percent="0" bottom="0">
      <formula>M84&gt;=20</formula>
    </cfRule>
    <cfRule type="expression" rank="0" priority="336" equalAverage="0" aboveAverage="0" dxfId="1" text="" percent="0" bottom="0">
      <formula>AND(M84&gt;=10,M84&lt;20)</formula>
    </cfRule>
    <cfRule type="expression" rank="0" priority="337" equalAverage="0" aboveAverage="0" dxfId="2" text="" percent="0" bottom="0">
      <formula>AND(M84&gt;=5,M84&lt;10)</formula>
    </cfRule>
    <cfRule type="expression" rank="0" priority="338" equalAverage="0" aboveAverage="0" dxfId="3" text="" percent="0" bottom="0">
      <formula>AND(M84&gt;=1,M84&lt;5)</formula>
    </cfRule>
  </conditionalFormatting>
  <conditionalFormatting sqref="M85">
    <cfRule type="expression" rank="0" priority="339" equalAverage="0" aboveAverage="0" dxfId="0" text="" percent="0" bottom="0">
      <formula>M85&gt;=20</formula>
    </cfRule>
    <cfRule type="expression" rank="0" priority="340" equalAverage="0" aboveAverage="0" dxfId="1" text="" percent="0" bottom="0">
      <formula>AND(M85&gt;=10,M85&lt;20)</formula>
    </cfRule>
    <cfRule type="expression" rank="0" priority="341" equalAverage="0" aboveAverage="0" dxfId="2" text="" percent="0" bottom="0">
      <formula>AND(M85&gt;=5,M85&lt;10)</formula>
    </cfRule>
    <cfRule type="expression" rank="0" priority="342" equalAverage="0" aboveAverage="0" dxfId="3" text="" percent="0" bottom="0">
      <formula>AND(M85&gt;=1,M85&lt;5)</formula>
    </cfRule>
  </conditionalFormatting>
  <conditionalFormatting sqref="M86">
    <cfRule type="expression" rank="0" priority="343" equalAverage="0" aboveAverage="0" dxfId="0" text="" percent="0" bottom="0">
      <formula>M86&gt;=20</formula>
    </cfRule>
    <cfRule type="expression" rank="0" priority="344" equalAverage="0" aboveAverage="0" dxfId="1" text="" percent="0" bottom="0">
      <formula>AND(M86&gt;=10,M86&lt;20)</formula>
    </cfRule>
    <cfRule type="expression" rank="0" priority="345" equalAverage="0" aboveAverage="0" dxfId="2" text="" percent="0" bottom="0">
      <formula>AND(M86&gt;=5,M86&lt;10)</formula>
    </cfRule>
    <cfRule type="expression" rank="0" priority="346" equalAverage="0" aboveAverage="0" dxfId="3" text="" percent="0" bottom="0">
      <formula>AND(M86&gt;=1,M86&lt;5)</formula>
    </cfRule>
  </conditionalFormatting>
  <conditionalFormatting sqref="M87">
    <cfRule type="expression" rank="0" priority="347" equalAverage="0" aboveAverage="0" dxfId="0" text="" percent="0" bottom="0">
      <formula>M87&gt;=20</formula>
    </cfRule>
    <cfRule type="expression" rank="0" priority="348" equalAverage="0" aboveAverage="0" dxfId="1" text="" percent="0" bottom="0">
      <formula>AND(M87&gt;=10,M87&lt;20)</formula>
    </cfRule>
    <cfRule type="expression" rank="0" priority="349" equalAverage="0" aboveAverage="0" dxfId="2" text="" percent="0" bottom="0">
      <formula>AND(M87&gt;=5,M87&lt;10)</formula>
    </cfRule>
    <cfRule type="expression" rank="0" priority="350" equalAverage="0" aboveAverage="0" dxfId="3" text="" percent="0" bottom="0">
      <formula>AND(M87&gt;=1,M87&lt;5)</formula>
    </cfRule>
  </conditionalFormatting>
  <conditionalFormatting sqref="M88">
    <cfRule type="expression" rank="0" priority="351" equalAverage="0" aboveAverage="0" dxfId="0" text="" percent="0" bottom="0">
      <formula>M88&gt;=20</formula>
    </cfRule>
    <cfRule type="expression" rank="0" priority="352" equalAverage="0" aboveAverage="0" dxfId="1" text="" percent="0" bottom="0">
      <formula>AND(M88&gt;=10,M88&lt;20)</formula>
    </cfRule>
    <cfRule type="expression" rank="0" priority="353" equalAverage="0" aboveAverage="0" dxfId="2" text="" percent="0" bottom="0">
      <formula>AND(M88&gt;=5,M88&lt;10)</formula>
    </cfRule>
    <cfRule type="expression" rank="0" priority="354" equalAverage="0" aboveAverage="0" dxfId="3" text="" percent="0" bottom="0">
      <formula>AND(M88&gt;=1,M88&lt;5)</formula>
    </cfRule>
  </conditionalFormatting>
  <conditionalFormatting sqref="M89">
    <cfRule type="expression" rank="0" priority="355" equalAverage="0" aboveAverage="0" dxfId="0" text="" percent="0" bottom="0">
      <formula>M89&gt;=20</formula>
    </cfRule>
    <cfRule type="expression" rank="0" priority="356" equalAverage="0" aboveAverage="0" dxfId="1" text="" percent="0" bottom="0">
      <formula>AND(M89&gt;=10,M89&lt;20)</formula>
    </cfRule>
    <cfRule type="expression" rank="0" priority="357" equalAverage="0" aboveAverage="0" dxfId="2" text="" percent="0" bottom="0">
      <formula>AND(M89&gt;=5,M89&lt;10)</formula>
    </cfRule>
    <cfRule type="expression" rank="0" priority="358" equalAverage="0" aboveAverage="0" dxfId="3" text="" percent="0" bottom="0">
      <formula>AND(M89&gt;=1,M89&lt;5)</formula>
    </cfRule>
  </conditionalFormatting>
  <conditionalFormatting sqref="M90">
    <cfRule type="expression" rank="0" priority="359" equalAverage="0" aboveAverage="0" dxfId="0" text="" percent="0" bottom="0">
      <formula>M90&gt;=20</formula>
    </cfRule>
    <cfRule type="expression" rank="0" priority="360" equalAverage="0" aboveAverage="0" dxfId="1" text="" percent="0" bottom="0">
      <formula>AND(M90&gt;=10,M90&lt;20)</formula>
    </cfRule>
    <cfRule type="expression" rank="0" priority="361" equalAverage="0" aboveAverage="0" dxfId="2" text="" percent="0" bottom="0">
      <formula>AND(M90&gt;=5,M90&lt;10)</formula>
    </cfRule>
    <cfRule type="expression" rank="0" priority="362" equalAverage="0" aboveAverage="0" dxfId="3" text="" percent="0" bottom="0">
      <formula>AND(M90&gt;=1,M90&lt;5)</formula>
    </cfRule>
  </conditionalFormatting>
  <conditionalFormatting sqref="M91">
    <cfRule type="expression" rank="0" priority="363" equalAverage="0" aboveAverage="0" dxfId="0" text="" percent="0" bottom="0">
      <formula>M91&gt;=20</formula>
    </cfRule>
    <cfRule type="expression" rank="0" priority="364" equalAverage="0" aboveAverage="0" dxfId="1" text="" percent="0" bottom="0">
      <formula>AND(M91&gt;=10,M91&lt;20)</formula>
    </cfRule>
    <cfRule type="expression" rank="0" priority="365" equalAverage="0" aboveAverage="0" dxfId="2" text="" percent="0" bottom="0">
      <formula>AND(M91&gt;=5,M91&lt;10)</formula>
    </cfRule>
    <cfRule type="expression" rank="0" priority="366" equalAverage="0" aboveAverage="0" dxfId="3" text="" percent="0" bottom="0">
      <formula>AND(M91&gt;=1,M91&lt;5)</formula>
    </cfRule>
  </conditionalFormatting>
  <conditionalFormatting sqref="M92">
    <cfRule type="expression" rank="0" priority="367" equalAverage="0" aboveAverage="0" dxfId="0" text="" percent="0" bottom="0">
      <formula>M92&gt;=20</formula>
    </cfRule>
    <cfRule type="expression" rank="0" priority="368" equalAverage="0" aboveAverage="0" dxfId="1" text="" percent="0" bottom="0">
      <formula>AND(M92&gt;=10,M92&lt;20)</formula>
    </cfRule>
    <cfRule type="expression" rank="0" priority="369" equalAverage="0" aboveAverage="0" dxfId="2" text="" percent="0" bottom="0">
      <formula>AND(M92&gt;=5,M92&lt;10)</formula>
    </cfRule>
    <cfRule type="expression" rank="0" priority="370" equalAverage="0" aboveAverage="0" dxfId="3" text="" percent="0" bottom="0">
      <formula>AND(M92&gt;=1,M92&lt;5)</formula>
    </cfRule>
  </conditionalFormatting>
  <conditionalFormatting sqref="M93">
    <cfRule type="expression" rank="0" priority="371" equalAverage="0" aboveAverage="0" dxfId="0" text="" percent="0" bottom="0">
      <formula>M93&gt;=20</formula>
    </cfRule>
    <cfRule type="expression" rank="0" priority="372" equalAverage="0" aboveAverage="0" dxfId="1" text="" percent="0" bottom="0">
      <formula>AND(M93&gt;=10,M93&lt;20)</formula>
    </cfRule>
    <cfRule type="expression" rank="0" priority="373" equalAverage="0" aboveAverage="0" dxfId="2" text="" percent="0" bottom="0">
      <formula>AND(M93&gt;=5,M93&lt;10)</formula>
    </cfRule>
    <cfRule type="expression" rank="0" priority="374" equalAverage="0" aboveAverage="0" dxfId="3" text="" percent="0" bottom="0">
      <formula>AND(M93&gt;=1,M93&lt;5)</formula>
    </cfRule>
  </conditionalFormatting>
  <conditionalFormatting sqref="M94">
    <cfRule type="expression" rank="0" priority="375" equalAverage="0" aboveAverage="0" dxfId="0" text="" percent="0" bottom="0">
      <formula>M94&gt;=20</formula>
    </cfRule>
    <cfRule type="expression" rank="0" priority="376" equalAverage="0" aboveAverage="0" dxfId="1" text="" percent="0" bottom="0">
      <formula>AND(M94&gt;=10,M94&lt;20)</formula>
    </cfRule>
    <cfRule type="expression" rank="0" priority="377" equalAverage="0" aboveAverage="0" dxfId="2" text="" percent="0" bottom="0">
      <formula>AND(M94&gt;=5,M94&lt;10)</formula>
    </cfRule>
    <cfRule type="expression" rank="0" priority="378" equalAverage="0" aboveAverage="0" dxfId="3" text="" percent="0" bottom="0">
      <formula>AND(M94&gt;=1,M94&lt;5)</formula>
    </cfRule>
  </conditionalFormatting>
  <conditionalFormatting sqref="M95">
    <cfRule type="expression" rank="0" priority="379" equalAverage="0" aboveAverage="0" dxfId="0" text="" percent="0" bottom="0">
      <formula>M95&gt;=20</formula>
    </cfRule>
    <cfRule type="expression" rank="0" priority="380" equalAverage="0" aboveAverage="0" dxfId="1" text="" percent="0" bottom="0">
      <formula>AND(M95&gt;=10,M95&lt;20)</formula>
    </cfRule>
    <cfRule type="expression" rank="0" priority="381" equalAverage="0" aboveAverage="0" dxfId="2" text="" percent="0" bottom="0">
      <formula>AND(M95&gt;=5,M95&lt;10)</formula>
    </cfRule>
    <cfRule type="expression" rank="0" priority="382" equalAverage="0" aboveAverage="0" dxfId="3" text="" percent="0" bottom="0">
      <formula>AND(M95&gt;=1,M95&lt;5)</formula>
    </cfRule>
  </conditionalFormatting>
  <conditionalFormatting sqref="M96">
    <cfRule type="expression" rank="0" priority="383" equalAverage="0" aboveAverage="0" dxfId="0" text="" percent="0" bottom="0">
      <formula>M96&gt;=20</formula>
    </cfRule>
    <cfRule type="expression" rank="0" priority="384" equalAverage="0" aboveAverage="0" dxfId="1" text="" percent="0" bottom="0">
      <formula>AND(M96&gt;=10,M96&lt;20)</formula>
    </cfRule>
    <cfRule type="expression" rank="0" priority="385" equalAverage="0" aboveAverage="0" dxfId="2" text="" percent="0" bottom="0">
      <formula>AND(M96&gt;=5,M96&lt;10)</formula>
    </cfRule>
    <cfRule type="expression" rank="0" priority="386" equalAverage="0" aboveAverage="0" dxfId="3" text="" percent="0" bottom="0">
      <formula>AND(M96&gt;=1,M96&lt;5)</formula>
    </cfRule>
  </conditionalFormatting>
  <conditionalFormatting sqref="M97">
    <cfRule type="expression" rank="0" priority="387" equalAverage="0" aboveAverage="0" dxfId="0" text="" percent="0" bottom="0">
      <formula>M97&gt;=20</formula>
    </cfRule>
    <cfRule type="expression" rank="0" priority="388" equalAverage="0" aboveAverage="0" dxfId="1" text="" percent="0" bottom="0">
      <formula>AND(M97&gt;=10,M97&lt;20)</formula>
    </cfRule>
    <cfRule type="expression" rank="0" priority="389" equalAverage="0" aboveAverage="0" dxfId="2" text="" percent="0" bottom="0">
      <formula>AND(M97&gt;=5,M97&lt;10)</formula>
    </cfRule>
    <cfRule type="expression" rank="0" priority="390" equalAverage="0" aboveAverage="0" dxfId="3" text="" percent="0" bottom="0">
      <formula>AND(M97&gt;=1,M97&lt;5)</formula>
    </cfRule>
  </conditionalFormatting>
  <conditionalFormatting sqref="M98">
    <cfRule type="expression" rank="0" priority="391" equalAverage="0" aboveAverage="0" dxfId="0" text="" percent="0" bottom="0">
      <formula>M98&gt;=20</formula>
    </cfRule>
    <cfRule type="expression" rank="0" priority="392" equalAverage="0" aboveAverage="0" dxfId="1" text="" percent="0" bottom="0">
      <formula>AND(M98&gt;=10,M98&lt;20)</formula>
    </cfRule>
    <cfRule type="expression" rank="0" priority="393" equalAverage="0" aboveAverage="0" dxfId="2" text="" percent="0" bottom="0">
      <formula>AND(M98&gt;=5,M98&lt;10)</formula>
    </cfRule>
    <cfRule type="expression" rank="0" priority="394" equalAverage="0" aboveAverage="0" dxfId="3" text="" percent="0" bottom="0">
      <formula>AND(M98&gt;=1,M98&lt;5)</formula>
    </cfRule>
  </conditionalFormatting>
  <conditionalFormatting sqref="M99">
    <cfRule type="expression" rank="0" priority="395" equalAverage="0" aboveAverage="0" dxfId="0" text="" percent="0" bottom="0">
      <formula>M99&gt;=20</formula>
    </cfRule>
    <cfRule type="expression" rank="0" priority="396" equalAverage="0" aboveAverage="0" dxfId="1" text="" percent="0" bottom="0">
      <formula>AND(M99&gt;=10,M99&lt;20)</formula>
    </cfRule>
    <cfRule type="expression" rank="0" priority="397" equalAverage="0" aboveAverage="0" dxfId="2" text="" percent="0" bottom="0">
      <formula>AND(M99&gt;=5,M99&lt;10)</formula>
    </cfRule>
    <cfRule type="expression" rank="0" priority="398" equalAverage="0" aboveAverage="0" dxfId="3" text="" percent="0" bottom="0">
      <formula>AND(M99&gt;=1,M99&lt;5)</formula>
    </cfRule>
  </conditionalFormatting>
  <conditionalFormatting sqref="M100">
    <cfRule type="expression" rank="0" priority="399" equalAverage="0" aboveAverage="0" dxfId="0" text="" percent="0" bottom="0">
      <formula>M100&gt;=20</formula>
    </cfRule>
    <cfRule type="expression" rank="0" priority="400" equalAverage="0" aboveAverage="0" dxfId="1" text="" percent="0" bottom="0">
      <formula>AND(M100&gt;=10,M100&lt;20)</formula>
    </cfRule>
    <cfRule type="expression" rank="0" priority="401" equalAverage="0" aboveAverage="0" dxfId="2" text="" percent="0" bottom="0">
      <formula>AND(M100&gt;=5,M100&lt;10)</formula>
    </cfRule>
    <cfRule type="expression" rank="0" priority="402" equalAverage="0" aboveAverage="0" dxfId="3" text="" percent="0" bottom="0">
      <formula>AND(M100&gt;=1,M100&lt;5)</formula>
    </cfRule>
  </conditionalFormatting>
  <conditionalFormatting sqref="M101">
    <cfRule type="expression" rank="0" priority="403" equalAverage="0" aboveAverage="0" dxfId="0" text="" percent="0" bottom="0">
      <formula>M101&gt;=20</formula>
    </cfRule>
    <cfRule type="expression" rank="0" priority="404" equalAverage="0" aboveAverage="0" dxfId="1" text="" percent="0" bottom="0">
      <formula>AND(M101&gt;=10,M101&lt;20)</formula>
    </cfRule>
    <cfRule type="expression" rank="0" priority="405" equalAverage="0" aboveAverage="0" dxfId="2" text="" percent="0" bottom="0">
      <formula>AND(M101&gt;=5,M101&lt;10)</formula>
    </cfRule>
    <cfRule type="expression" rank="0" priority="406" equalAverage="0" aboveAverage="0" dxfId="3" text="" percent="0" bottom="0">
      <formula>AND(M101&gt;=1,M101&lt;5)</formula>
    </cfRule>
  </conditionalFormatting>
  <conditionalFormatting sqref="M102">
    <cfRule type="expression" rank="0" priority="407" equalAverage="0" aboveAverage="0" dxfId="0" text="" percent="0" bottom="0">
      <formula>M102&gt;=20</formula>
    </cfRule>
    <cfRule type="expression" rank="0" priority="408" equalAverage="0" aboveAverage="0" dxfId="1" text="" percent="0" bottom="0">
      <formula>AND(M102&gt;=10,M102&lt;20)</formula>
    </cfRule>
    <cfRule type="expression" rank="0" priority="409" equalAverage="0" aboveAverage="0" dxfId="2" text="" percent="0" bottom="0">
      <formula>AND(M102&gt;=5,M102&lt;10)</formula>
    </cfRule>
    <cfRule type="expression" rank="0" priority="410" equalAverage="0" aboveAverage="0" dxfId="3" text="" percent="0" bottom="0">
      <formula>AND(M102&gt;=1,M102&lt;5)</formula>
    </cfRule>
  </conditionalFormatting>
  <conditionalFormatting sqref="M103">
    <cfRule type="expression" rank="0" priority="411" equalAverage="0" aboveAverage="0" dxfId="0" text="" percent="0" bottom="0">
      <formula>M103&gt;=20</formula>
    </cfRule>
    <cfRule type="expression" rank="0" priority="412" equalAverage="0" aboveAverage="0" dxfId="1" text="" percent="0" bottom="0">
      <formula>AND(M103&gt;=10,M103&lt;20)</formula>
    </cfRule>
    <cfRule type="expression" rank="0" priority="413" equalAverage="0" aboveAverage="0" dxfId="2" text="" percent="0" bottom="0">
      <formula>AND(M103&gt;=5,M103&lt;10)</formula>
    </cfRule>
    <cfRule type="expression" rank="0" priority="414" equalAverage="0" aboveAverage="0" dxfId="3" text="" percent="0" bottom="0">
      <formula>AND(M103&gt;=1,M103&lt;5)</formula>
    </cfRule>
  </conditionalFormatting>
  <conditionalFormatting sqref="M104">
    <cfRule type="expression" rank="0" priority="415" equalAverage="0" aboveAverage="0" dxfId="0" text="" percent="0" bottom="0">
      <formula>M104&gt;=20</formula>
    </cfRule>
    <cfRule type="expression" rank="0" priority="416" equalAverage="0" aboveAverage="0" dxfId="1" text="" percent="0" bottom="0">
      <formula>AND(M104&gt;=10,M104&lt;20)</formula>
    </cfRule>
    <cfRule type="expression" rank="0" priority="417" equalAverage="0" aboveAverage="0" dxfId="2" text="" percent="0" bottom="0">
      <formula>AND(M104&gt;=5,M104&lt;10)</formula>
    </cfRule>
    <cfRule type="expression" rank="0" priority="418" equalAverage="0" aboveAverage="0" dxfId="3" text="" percent="0" bottom="0">
      <formula>AND(M104&gt;=1,M104&lt;5)</formula>
    </cfRule>
  </conditionalFormatting>
  <conditionalFormatting sqref="M105">
    <cfRule type="expression" rank="0" priority="419" equalAverage="0" aboveAverage="0" dxfId="0" text="" percent="0" bottom="0">
      <formula>M105&gt;=20</formula>
    </cfRule>
    <cfRule type="expression" rank="0" priority="420" equalAverage="0" aboveAverage="0" dxfId="1" text="" percent="0" bottom="0">
      <formula>AND(M105&gt;=10,M105&lt;20)</formula>
    </cfRule>
    <cfRule type="expression" rank="0" priority="421" equalAverage="0" aboveAverage="0" dxfId="2" text="" percent="0" bottom="0">
      <formula>AND(M105&gt;=5,M105&lt;10)</formula>
    </cfRule>
    <cfRule type="expression" rank="0" priority="422" equalAverage="0" aboveAverage="0" dxfId="3" text="" percent="0" bottom="0">
      <formula>AND(M105&gt;=1,M105&lt;5)</formula>
    </cfRule>
  </conditionalFormatting>
  <conditionalFormatting sqref="M106">
    <cfRule type="expression" rank="0" priority="423" equalAverage="0" aboveAverage="0" dxfId="0" text="" percent="0" bottom="0">
      <formula>M106&gt;=20</formula>
    </cfRule>
    <cfRule type="expression" rank="0" priority="424" equalAverage="0" aboveAverage="0" dxfId="1" text="" percent="0" bottom="0">
      <formula>AND(M106&gt;=10,M106&lt;20)</formula>
    </cfRule>
    <cfRule type="expression" rank="0" priority="425" equalAverage="0" aboveAverage="0" dxfId="2" text="" percent="0" bottom="0">
      <formula>AND(M106&gt;=5,M106&lt;10)</formula>
    </cfRule>
    <cfRule type="expression" rank="0" priority="426" equalAverage="0" aboveAverage="0" dxfId="3" text="" percent="0" bottom="0">
      <formula>AND(M106&gt;=1,M106&lt;5)</formula>
    </cfRule>
  </conditionalFormatting>
  <conditionalFormatting sqref="M107">
    <cfRule type="expression" rank="0" priority="427" equalAverage="0" aboveAverage="0" dxfId="0" text="" percent="0" bottom="0">
      <formula>M107&gt;=20</formula>
    </cfRule>
    <cfRule type="expression" rank="0" priority="428" equalAverage="0" aboveAverage="0" dxfId="1" text="" percent="0" bottom="0">
      <formula>AND(M107&gt;=10,M107&lt;20)</formula>
    </cfRule>
    <cfRule type="expression" rank="0" priority="429" equalAverage="0" aboveAverage="0" dxfId="2" text="" percent="0" bottom="0">
      <formula>AND(M107&gt;=5,M107&lt;10)</formula>
    </cfRule>
    <cfRule type="expression" rank="0" priority="430" equalAverage="0" aboveAverage="0" dxfId="3" text="" percent="0" bottom="0">
      <formula>AND(M107&gt;=1,M107&lt;5)</formula>
    </cfRule>
  </conditionalFormatting>
  <conditionalFormatting sqref="M108">
    <cfRule type="expression" rank="0" priority="431" equalAverage="0" aboveAverage="0" dxfId="0" text="" percent="0" bottom="0">
      <formula>M108&gt;=20</formula>
    </cfRule>
    <cfRule type="expression" rank="0" priority="432" equalAverage="0" aboveAverage="0" dxfId="1" text="" percent="0" bottom="0">
      <formula>AND(M108&gt;=10,M108&lt;20)</formula>
    </cfRule>
    <cfRule type="expression" rank="0" priority="433" equalAverage="0" aboveAverage="0" dxfId="2" text="" percent="0" bottom="0">
      <formula>AND(M108&gt;=5,M108&lt;10)</formula>
    </cfRule>
    <cfRule type="expression" rank="0" priority="434" equalAverage="0" aboveAverage="0" dxfId="3" text="" percent="0" bottom="0">
      <formula>AND(M108&gt;=1,M108&lt;5)</formula>
    </cfRule>
  </conditionalFormatting>
  <conditionalFormatting sqref="M109">
    <cfRule type="expression" rank="0" priority="435" equalAverage="0" aboveAverage="0" dxfId="0" text="" percent="0" bottom="0">
      <formula>M109&gt;=20</formula>
    </cfRule>
    <cfRule type="expression" rank="0" priority="436" equalAverage="0" aboveAverage="0" dxfId="1" text="" percent="0" bottom="0">
      <formula>AND(M109&gt;=10,M109&lt;20)</formula>
    </cfRule>
    <cfRule type="expression" rank="0" priority="437" equalAverage="0" aboveAverage="0" dxfId="2" text="" percent="0" bottom="0">
      <formula>AND(M109&gt;=5,M109&lt;10)</formula>
    </cfRule>
    <cfRule type="expression" rank="0" priority="438" equalAverage="0" aboveAverage="0" dxfId="3" text="" percent="0" bottom="0">
      <formula>AND(M109&gt;=1,M109&lt;5)</formula>
    </cfRule>
  </conditionalFormatting>
  <conditionalFormatting sqref="M110">
    <cfRule type="expression" rank="0" priority="439" equalAverage="0" aboveAverage="0" dxfId="0" text="" percent="0" bottom="0">
      <formula>M110&gt;=20</formula>
    </cfRule>
    <cfRule type="expression" rank="0" priority="440" equalAverage="0" aboveAverage="0" dxfId="1" text="" percent="0" bottom="0">
      <formula>AND(M110&gt;=10,M110&lt;20)</formula>
    </cfRule>
    <cfRule type="expression" rank="0" priority="441" equalAverage="0" aboveAverage="0" dxfId="2" text="" percent="0" bottom="0">
      <formula>AND(M110&gt;=5,M110&lt;10)</formula>
    </cfRule>
    <cfRule type="expression" rank="0" priority="442" equalAverage="0" aboveAverage="0" dxfId="3" text="" percent="0" bottom="0">
      <formula>AND(M110&gt;=1,M110&lt;5)</formula>
    </cfRule>
  </conditionalFormatting>
  <conditionalFormatting sqref="M111">
    <cfRule type="expression" rank="0" priority="443" equalAverage="0" aboveAverage="0" dxfId="0" text="" percent="0" bottom="0">
      <formula>M111&gt;=20</formula>
    </cfRule>
    <cfRule type="expression" rank="0" priority="444" equalAverage="0" aboveAverage="0" dxfId="1" text="" percent="0" bottom="0">
      <formula>AND(M111&gt;=10,M111&lt;20)</formula>
    </cfRule>
    <cfRule type="expression" rank="0" priority="445" equalAverage="0" aboveAverage="0" dxfId="2" text="" percent="0" bottom="0">
      <formula>AND(M111&gt;=5,M111&lt;10)</formula>
    </cfRule>
    <cfRule type="expression" rank="0" priority="446" equalAverage="0" aboveAverage="0" dxfId="3" text="" percent="0" bottom="0">
      <formula>AND(M111&gt;=1,M111&lt;5)</formula>
    </cfRule>
  </conditionalFormatting>
  <conditionalFormatting sqref="M112">
    <cfRule type="expression" rank="0" priority="447" equalAverage="0" aboveAverage="0" dxfId="0" text="" percent="0" bottom="0">
      <formula>M112&gt;=20</formula>
    </cfRule>
    <cfRule type="expression" rank="0" priority="448" equalAverage="0" aboveAverage="0" dxfId="1" text="" percent="0" bottom="0">
      <formula>AND(M112&gt;=10,M112&lt;20)</formula>
    </cfRule>
    <cfRule type="expression" rank="0" priority="449" equalAverage="0" aboveAverage="0" dxfId="2" text="" percent="0" bottom="0">
      <formula>AND(M112&gt;=5,M112&lt;10)</formula>
    </cfRule>
    <cfRule type="expression" rank="0" priority="450" equalAverage="0" aboveAverage="0" dxfId="3" text="" percent="0" bottom="0">
      <formula>AND(M112&gt;=1,M112&lt;5)</formula>
    </cfRule>
  </conditionalFormatting>
  <conditionalFormatting sqref="M113">
    <cfRule type="expression" rank="0" priority="451" equalAverage="0" aboveAverage="0" dxfId="0" text="" percent="0" bottom="0">
      <formula>M113&gt;=20</formula>
    </cfRule>
    <cfRule type="expression" rank="0" priority="452" equalAverage="0" aboveAverage="0" dxfId="1" text="" percent="0" bottom="0">
      <formula>AND(M113&gt;=10,M113&lt;20)</formula>
    </cfRule>
    <cfRule type="expression" rank="0" priority="453" equalAverage="0" aboveAverage="0" dxfId="2" text="" percent="0" bottom="0">
      <formula>AND(M113&gt;=5,M113&lt;10)</formula>
    </cfRule>
    <cfRule type="expression" rank="0" priority="454" equalAverage="0" aboveAverage="0" dxfId="3" text="" percent="0" bottom="0">
      <formula>AND(M113&gt;=1,M113&lt;5)</formula>
    </cfRule>
  </conditionalFormatting>
  <conditionalFormatting sqref="M114">
    <cfRule type="expression" rank="0" priority="455" equalAverage="0" aboveAverage="0" dxfId="0" text="" percent="0" bottom="0">
      <formula>M114&gt;=20</formula>
    </cfRule>
    <cfRule type="expression" rank="0" priority="456" equalAverage="0" aboveAverage="0" dxfId="1" text="" percent="0" bottom="0">
      <formula>AND(M114&gt;=10,M114&lt;20)</formula>
    </cfRule>
    <cfRule type="expression" rank="0" priority="457" equalAverage="0" aboveAverage="0" dxfId="2" text="" percent="0" bottom="0">
      <formula>AND(M114&gt;=5,M114&lt;10)</formula>
    </cfRule>
    <cfRule type="expression" rank="0" priority="458" equalAverage="0" aboveAverage="0" dxfId="3" text="" percent="0" bottom="0">
      <formula>AND(M114&gt;=1,M114&lt;5)</formula>
    </cfRule>
  </conditionalFormatting>
  <conditionalFormatting sqref="M115">
    <cfRule type="expression" rank="0" priority="459" equalAverage="0" aboveAverage="0" dxfId="0" text="" percent="0" bottom="0">
      <formula>M115&gt;=20</formula>
    </cfRule>
    <cfRule type="expression" rank="0" priority="460" equalAverage="0" aboveAverage="0" dxfId="1" text="" percent="0" bottom="0">
      <formula>AND(M115&gt;=10,M115&lt;20)</formula>
    </cfRule>
    <cfRule type="expression" rank="0" priority="461" equalAverage="0" aboveAverage="0" dxfId="2" text="" percent="0" bottom="0">
      <formula>AND(M115&gt;=5,M115&lt;10)</formula>
    </cfRule>
    <cfRule type="expression" rank="0" priority="462" equalAverage="0" aboveAverage="0" dxfId="3" text="" percent="0" bottom="0">
      <formula>AND(M115&gt;=1,M115&lt;5)</formula>
    </cfRule>
  </conditionalFormatting>
  <conditionalFormatting sqref="M116">
    <cfRule type="expression" rank="0" priority="463" equalAverage="0" aboveAverage="0" dxfId="0" text="" percent="0" bottom="0">
      <formula>M116&gt;=20</formula>
    </cfRule>
    <cfRule type="expression" rank="0" priority="464" equalAverage="0" aboveAverage="0" dxfId="1" text="" percent="0" bottom="0">
      <formula>AND(M116&gt;=10,M116&lt;20)</formula>
    </cfRule>
    <cfRule type="expression" rank="0" priority="465" equalAverage="0" aboveAverage="0" dxfId="2" text="" percent="0" bottom="0">
      <formula>AND(M116&gt;=5,M116&lt;10)</formula>
    </cfRule>
    <cfRule type="expression" rank="0" priority="466" equalAverage="0" aboveAverage="0" dxfId="3" text="" percent="0" bottom="0">
      <formula>AND(M116&gt;=1,M116&lt;5)</formula>
    </cfRule>
  </conditionalFormatting>
  <conditionalFormatting sqref="M117">
    <cfRule type="expression" rank="0" priority="467" equalAverage="0" aboveAverage="0" dxfId="0" text="" percent="0" bottom="0">
      <formula>M117&gt;=20</formula>
    </cfRule>
    <cfRule type="expression" rank="0" priority="468" equalAverage="0" aboveAverage="0" dxfId="1" text="" percent="0" bottom="0">
      <formula>AND(M117&gt;=10,M117&lt;20)</formula>
    </cfRule>
    <cfRule type="expression" rank="0" priority="469" equalAverage="0" aboveAverage="0" dxfId="2" text="" percent="0" bottom="0">
      <formula>AND(M117&gt;=5,M117&lt;10)</formula>
    </cfRule>
    <cfRule type="expression" rank="0" priority="470" equalAverage="0" aboveAverage="0" dxfId="3" text="" percent="0" bottom="0">
      <formula>AND(M117&gt;=1,M117&lt;5)</formula>
    </cfRule>
  </conditionalFormatting>
  <conditionalFormatting sqref="M118">
    <cfRule type="expression" rank="0" priority="471" equalAverage="0" aboveAverage="0" dxfId="0" text="" percent="0" bottom="0">
      <formula>M118&gt;=20</formula>
    </cfRule>
    <cfRule type="expression" rank="0" priority="472" equalAverage="0" aboveAverage="0" dxfId="1" text="" percent="0" bottom="0">
      <formula>AND(M118&gt;=10,M118&lt;20)</formula>
    </cfRule>
    <cfRule type="expression" rank="0" priority="473" equalAverage="0" aboveAverage="0" dxfId="2" text="" percent="0" bottom="0">
      <formula>AND(M118&gt;=5,M118&lt;10)</formula>
    </cfRule>
    <cfRule type="expression" rank="0" priority="474" equalAverage="0" aboveAverage="0" dxfId="3" text="" percent="0" bottom="0">
      <formula>AND(M118&gt;=1,M118&lt;5)</formula>
    </cfRule>
  </conditionalFormatting>
  <conditionalFormatting sqref="M119">
    <cfRule type="expression" rank="0" priority="475" equalAverage="0" aboveAverage="0" dxfId="0" text="" percent="0" bottom="0">
      <formula>M119&gt;=20</formula>
    </cfRule>
    <cfRule type="expression" rank="0" priority="476" equalAverage="0" aboveAverage="0" dxfId="1" text="" percent="0" bottom="0">
      <formula>AND(M119&gt;=10,M119&lt;20)</formula>
    </cfRule>
    <cfRule type="expression" rank="0" priority="477" equalAverage="0" aboveAverage="0" dxfId="2" text="" percent="0" bottom="0">
      <formula>AND(M119&gt;=5,M119&lt;10)</formula>
    </cfRule>
    <cfRule type="expression" rank="0" priority="478" equalAverage="0" aboveAverage="0" dxfId="3" text="" percent="0" bottom="0">
      <formula>AND(M119&gt;=1,M119&lt;5)</formula>
    </cfRule>
  </conditionalFormatting>
  <conditionalFormatting sqref="M120">
    <cfRule type="expression" rank="0" priority="479" equalAverage="0" aboveAverage="0" dxfId="0" text="" percent="0" bottom="0">
      <formula>M120&gt;=20</formula>
    </cfRule>
    <cfRule type="expression" rank="0" priority="480" equalAverage="0" aboveAverage="0" dxfId="1" text="" percent="0" bottom="0">
      <formula>AND(M120&gt;=10,M120&lt;20)</formula>
    </cfRule>
    <cfRule type="expression" rank="0" priority="481" equalAverage="0" aboveAverage="0" dxfId="2" text="" percent="0" bottom="0">
      <formula>AND(M120&gt;=5,M120&lt;10)</formula>
    </cfRule>
    <cfRule type="expression" rank="0" priority="482" equalAverage="0" aboveAverage="0" dxfId="3" text="" percent="0" bottom="0">
      <formula>AND(M120&gt;=1,M120&lt;5)</formula>
    </cfRule>
  </conditionalFormatting>
  <conditionalFormatting sqref="M121">
    <cfRule type="expression" rank="0" priority="483" equalAverage="0" aboveAverage="0" dxfId="0" text="" percent="0" bottom="0">
      <formula>M121&gt;=20</formula>
    </cfRule>
    <cfRule type="expression" rank="0" priority="484" equalAverage="0" aboveAverage="0" dxfId="1" text="" percent="0" bottom="0">
      <formula>AND(M121&gt;=10,M121&lt;20)</formula>
    </cfRule>
    <cfRule type="expression" rank="0" priority="485" equalAverage="0" aboveAverage="0" dxfId="2" text="" percent="0" bottom="0">
      <formula>AND(M121&gt;=5,M121&lt;10)</formula>
    </cfRule>
    <cfRule type="expression" rank="0" priority="486" equalAverage="0" aboveAverage="0" dxfId="3" text="" percent="0" bottom="0">
      <formula>AND(M121&gt;=1,M121&lt;5)</formula>
    </cfRule>
  </conditionalFormatting>
  <conditionalFormatting sqref="M122">
    <cfRule type="expression" rank="0" priority="487" equalAverage="0" aboveAverage="0" dxfId="0" text="" percent="0" bottom="0">
      <formula>M122&gt;=20</formula>
    </cfRule>
    <cfRule type="expression" rank="0" priority="488" equalAverage="0" aboveAverage="0" dxfId="1" text="" percent="0" bottom="0">
      <formula>AND(M122&gt;=10,M122&lt;20)</formula>
    </cfRule>
    <cfRule type="expression" rank="0" priority="489" equalAverage="0" aboveAverage="0" dxfId="2" text="" percent="0" bottom="0">
      <formula>AND(M122&gt;=5,M122&lt;10)</formula>
    </cfRule>
    <cfRule type="expression" rank="0" priority="490" equalAverage="0" aboveAverage="0" dxfId="3" text="" percent="0" bottom="0">
      <formula>AND(M122&gt;=1,M122&lt;5)</formula>
    </cfRule>
  </conditionalFormatting>
  <conditionalFormatting sqref="M123">
    <cfRule type="expression" rank="0" priority="491" equalAverage="0" aboveAverage="0" dxfId="0" text="" percent="0" bottom="0">
      <formula>M123&gt;=20</formula>
    </cfRule>
    <cfRule type="expression" rank="0" priority="492" equalAverage="0" aboveAverage="0" dxfId="1" text="" percent="0" bottom="0">
      <formula>AND(M123&gt;=10,M123&lt;20)</formula>
    </cfRule>
    <cfRule type="expression" rank="0" priority="493" equalAverage="0" aboveAverage="0" dxfId="2" text="" percent="0" bottom="0">
      <formula>AND(M123&gt;=5,M123&lt;10)</formula>
    </cfRule>
    <cfRule type="expression" rank="0" priority="494" equalAverage="0" aboveAverage="0" dxfId="3" text="" percent="0" bottom="0">
      <formula>AND(M123&gt;=1,M123&lt;5)</formula>
    </cfRule>
  </conditionalFormatting>
  <conditionalFormatting sqref="M124">
    <cfRule type="expression" rank="0" priority="495" equalAverage="0" aboveAverage="0" dxfId="0" text="" percent="0" bottom="0">
      <formula>M124&gt;=20</formula>
    </cfRule>
    <cfRule type="expression" rank="0" priority="496" equalAverage="0" aboveAverage="0" dxfId="1" text="" percent="0" bottom="0">
      <formula>AND(M124&gt;=10,M124&lt;20)</formula>
    </cfRule>
    <cfRule type="expression" rank="0" priority="497" equalAverage="0" aboveAverage="0" dxfId="2" text="" percent="0" bottom="0">
      <formula>AND(M124&gt;=5,M124&lt;10)</formula>
    </cfRule>
    <cfRule type="expression" rank="0" priority="498" equalAverage="0" aboveAverage="0" dxfId="3" text="" percent="0" bottom="0">
      <formula>AND(M124&gt;=1,M124&lt;5)</formula>
    </cfRule>
  </conditionalFormatting>
  <conditionalFormatting sqref="M125">
    <cfRule type="expression" rank="0" priority="499" equalAverage="0" aboveAverage="0" dxfId="0" text="" percent="0" bottom="0">
      <formula>M125&gt;=20</formula>
    </cfRule>
    <cfRule type="expression" rank="0" priority="500" equalAverage="0" aboveAverage="0" dxfId="1" text="" percent="0" bottom="0">
      <formula>AND(M125&gt;=10,M125&lt;20)</formula>
    </cfRule>
    <cfRule type="expression" rank="0" priority="501" equalAverage="0" aboveAverage="0" dxfId="2" text="" percent="0" bottom="0">
      <formula>AND(M125&gt;=5,M125&lt;10)</formula>
    </cfRule>
    <cfRule type="expression" rank="0" priority="502" equalAverage="0" aboveAverage="0" dxfId="3" text="" percent="0" bottom="0">
      <formula>AND(M125&gt;=1,M125&lt;5)</formula>
    </cfRule>
  </conditionalFormatting>
  <conditionalFormatting sqref="M126">
    <cfRule type="expression" rank="0" priority="503" equalAverage="0" aboveAverage="0" dxfId="0" text="" percent="0" bottom="0">
      <formula>M126&gt;=20</formula>
    </cfRule>
    <cfRule type="expression" rank="0" priority="504" equalAverage="0" aboveAverage="0" dxfId="1" text="" percent="0" bottom="0">
      <formula>AND(M126&gt;=10,M126&lt;20)</formula>
    </cfRule>
    <cfRule type="expression" rank="0" priority="505" equalAverage="0" aboveAverage="0" dxfId="2" text="" percent="0" bottom="0">
      <formula>AND(M126&gt;=5,M126&lt;10)</formula>
    </cfRule>
    <cfRule type="expression" rank="0" priority="506" equalAverage="0" aboveAverage="0" dxfId="3" text="" percent="0" bottom="0">
      <formula>AND(M126&gt;=1,M126&lt;5)</formula>
    </cfRule>
  </conditionalFormatting>
  <conditionalFormatting sqref="M127">
    <cfRule type="expression" rank="0" priority="507" equalAverage="0" aboveAverage="0" dxfId="0" text="" percent="0" bottom="0">
      <formula>M127&gt;=20</formula>
    </cfRule>
    <cfRule type="expression" rank="0" priority="508" equalAverage="0" aboveAverage="0" dxfId="1" text="" percent="0" bottom="0">
      <formula>AND(M127&gt;=10,M127&lt;20)</formula>
    </cfRule>
    <cfRule type="expression" rank="0" priority="509" equalAverage="0" aboveAverage="0" dxfId="2" text="" percent="0" bottom="0">
      <formula>AND(M127&gt;=5,M127&lt;10)</formula>
    </cfRule>
    <cfRule type="expression" rank="0" priority="510" equalAverage="0" aboveAverage="0" dxfId="3" text="" percent="0" bottom="0">
      <formula>AND(M127&gt;=1,M127&lt;5)</formula>
    </cfRule>
  </conditionalFormatting>
  <conditionalFormatting sqref="M128">
    <cfRule type="expression" rank="0" priority="511" equalAverage="0" aboveAverage="0" dxfId="0" text="" percent="0" bottom="0">
      <formula>M128&gt;=20</formula>
    </cfRule>
    <cfRule type="expression" rank="0" priority="512" equalAverage="0" aboveAverage="0" dxfId="1" text="" percent="0" bottom="0">
      <formula>AND(M128&gt;=10,M128&lt;20)</formula>
    </cfRule>
    <cfRule type="expression" rank="0" priority="513" equalAverage="0" aboveAverage="0" dxfId="2" text="" percent="0" bottom="0">
      <formula>AND(M128&gt;=5,M128&lt;10)</formula>
    </cfRule>
    <cfRule type="expression" rank="0" priority="514" equalAverage="0" aboveAverage="0" dxfId="3" text="" percent="0" bottom="0">
      <formula>AND(M128&gt;=1,M128&lt;5)</formula>
    </cfRule>
  </conditionalFormatting>
  <conditionalFormatting sqref="M129">
    <cfRule type="expression" rank="0" priority="515" equalAverage="0" aboveAverage="0" dxfId="0" text="" percent="0" bottom="0">
      <formula>M129&gt;=20</formula>
    </cfRule>
    <cfRule type="expression" rank="0" priority="516" equalAverage="0" aboveAverage="0" dxfId="1" text="" percent="0" bottom="0">
      <formula>AND(M129&gt;=10,M129&lt;20)</formula>
    </cfRule>
    <cfRule type="expression" rank="0" priority="517" equalAverage="0" aboveAverage="0" dxfId="2" text="" percent="0" bottom="0">
      <formula>AND(M129&gt;=5,M129&lt;10)</formula>
    </cfRule>
    <cfRule type="expression" rank="0" priority="518" equalAverage="0" aboveAverage="0" dxfId="3" text="" percent="0" bottom="0">
      <formula>AND(M129&gt;=1,M129&lt;5)</formula>
    </cfRule>
  </conditionalFormatting>
  <conditionalFormatting sqref="M130">
    <cfRule type="expression" rank="0" priority="519" equalAverage="0" aboveAverage="0" dxfId="0" text="" percent="0" bottom="0">
      <formula>M130&gt;=20</formula>
    </cfRule>
    <cfRule type="expression" rank="0" priority="520" equalAverage="0" aboveAverage="0" dxfId="1" text="" percent="0" bottom="0">
      <formula>AND(M130&gt;=10,M130&lt;20)</formula>
    </cfRule>
    <cfRule type="expression" rank="0" priority="521" equalAverage="0" aboveAverage="0" dxfId="2" text="" percent="0" bottom="0">
      <formula>AND(M130&gt;=5,M130&lt;10)</formula>
    </cfRule>
    <cfRule type="expression" rank="0" priority="522" equalAverage="0" aboveAverage="0" dxfId="3" text="" percent="0" bottom="0">
      <formula>AND(M130&gt;=1,M130&lt;5)</formula>
    </cfRule>
  </conditionalFormatting>
  <conditionalFormatting sqref="M131">
    <cfRule type="expression" rank="0" priority="523" equalAverage="0" aboveAverage="0" dxfId="0" text="" percent="0" bottom="0">
      <formula>M131&gt;=20</formula>
    </cfRule>
    <cfRule type="expression" rank="0" priority="524" equalAverage="0" aboveAverage="0" dxfId="1" text="" percent="0" bottom="0">
      <formula>AND(M131&gt;=10,M131&lt;20)</formula>
    </cfRule>
    <cfRule type="expression" rank="0" priority="525" equalAverage="0" aboveAverage="0" dxfId="2" text="" percent="0" bottom="0">
      <formula>AND(M131&gt;=5,M131&lt;10)</formula>
    </cfRule>
    <cfRule type="expression" rank="0" priority="526" equalAverage="0" aboveAverage="0" dxfId="3" text="" percent="0" bottom="0">
      <formula>AND(M131&gt;=1,M131&lt;5)</formula>
    </cfRule>
  </conditionalFormatting>
  <conditionalFormatting sqref="M132">
    <cfRule type="expression" rank="0" priority="527" equalAverage="0" aboveAverage="0" dxfId="0" text="" percent="0" bottom="0">
      <formula>M132&gt;=20</formula>
    </cfRule>
    <cfRule type="expression" rank="0" priority="528" equalAverage="0" aboveAverage="0" dxfId="1" text="" percent="0" bottom="0">
      <formula>AND(M132&gt;=10,M132&lt;20)</formula>
    </cfRule>
    <cfRule type="expression" rank="0" priority="529" equalAverage="0" aboveAverage="0" dxfId="2" text="" percent="0" bottom="0">
      <formula>AND(M132&gt;=5,M132&lt;10)</formula>
    </cfRule>
    <cfRule type="expression" rank="0" priority="530" equalAverage="0" aboveAverage="0" dxfId="3" text="" percent="0" bottom="0">
      <formula>AND(M132&gt;=1,M132&lt;5)</formula>
    </cfRule>
  </conditionalFormatting>
  <conditionalFormatting sqref="M133">
    <cfRule type="expression" rank="0" priority="531" equalAverage="0" aboveAverage="0" dxfId="0" text="" percent="0" bottom="0">
      <formula>M133&gt;=20</formula>
    </cfRule>
    <cfRule type="expression" rank="0" priority="532" equalAverage="0" aboveAverage="0" dxfId="1" text="" percent="0" bottom="0">
      <formula>AND(M133&gt;=10,M133&lt;20)</formula>
    </cfRule>
    <cfRule type="expression" rank="0" priority="533" equalAverage="0" aboveAverage="0" dxfId="2" text="" percent="0" bottom="0">
      <formula>AND(M133&gt;=5,M133&lt;10)</formula>
    </cfRule>
    <cfRule type="expression" rank="0" priority="534" equalAverage="0" aboveAverage="0" dxfId="3" text="" percent="0" bottom="0">
      <formula>AND(M133&gt;=1,M133&lt;5)</formula>
    </cfRule>
  </conditionalFormatting>
  <conditionalFormatting sqref="M134">
    <cfRule type="expression" rank="0" priority="535" equalAverage="0" aboveAverage="0" dxfId="0" text="" percent="0" bottom="0">
      <formula>M134&gt;=20</formula>
    </cfRule>
    <cfRule type="expression" rank="0" priority="536" equalAverage="0" aboveAverage="0" dxfId="1" text="" percent="0" bottom="0">
      <formula>AND(M134&gt;=10,M134&lt;20)</formula>
    </cfRule>
    <cfRule type="expression" rank="0" priority="537" equalAverage="0" aboveAverage="0" dxfId="2" text="" percent="0" bottom="0">
      <formula>AND(M134&gt;=5,M134&lt;10)</formula>
    </cfRule>
    <cfRule type="expression" rank="0" priority="538" equalAverage="0" aboveAverage="0" dxfId="3" text="" percent="0" bottom="0">
      <formula>AND(M134&gt;=1,M134&lt;5)</formula>
    </cfRule>
  </conditionalFormatting>
  <conditionalFormatting sqref="M135">
    <cfRule type="expression" rank="0" priority="539" equalAverage="0" aboveAverage="0" dxfId="0" text="" percent="0" bottom="0">
      <formula>M135&gt;=20</formula>
    </cfRule>
    <cfRule type="expression" rank="0" priority="540" equalAverage="0" aboveAverage="0" dxfId="1" text="" percent="0" bottom="0">
      <formula>AND(M135&gt;=10,M135&lt;20)</formula>
    </cfRule>
    <cfRule type="expression" rank="0" priority="541" equalAverage="0" aboveAverage="0" dxfId="2" text="" percent="0" bottom="0">
      <formula>AND(M135&gt;=5,M135&lt;10)</formula>
    </cfRule>
    <cfRule type="expression" rank="0" priority="542" equalAverage="0" aboveAverage="0" dxfId="3" text="" percent="0" bottom="0">
      <formula>AND(M135&gt;=1,M135&lt;5)</formula>
    </cfRule>
  </conditionalFormatting>
  <conditionalFormatting sqref="M136">
    <cfRule type="expression" rank="0" priority="543" equalAverage="0" aboveAverage="0" dxfId="0" text="" percent="0" bottom="0">
      <formula>M136&gt;=20</formula>
    </cfRule>
    <cfRule type="expression" rank="0" priority="544" equalAverage="0" aboveAverage="0" dxfId="1" text="" percent="0" bottom="0">
      <formula>AND(M136&gt;=10,M136&lt;20)</formula>
    </cfRule>
    <cfRule type="expression" rank="0" priority="545" equalAverage="0" aboveAverage="0" dxfId="2" text="" percent="0" bottom="0">
      <formula>AND(M136&gt;=5,M136&lt;10)</formula>
    </cfRule>
    <cfRule type="expression" rank="0" priority="546" equalAverage="0" aboveAverage="0" dxfId="3" text="" percent="0" bottom="0">
      <formula>AND(M136&gt;=1,M136&lt;5)</formula>
    </cfRule>
  </conditionalFormatting>
  <conditionalFormatting sqref="M137">
    <cfRule type="expression" rank="0" priority="547" equalAverage="0" aboveAverage="0" dxfId="0" text="" percent="0" bottom="0">
      <formula>M137&gt;=20</formula>
    </cfRule>
    <cfRule type="expression" rank="0" priority="548" equalAverage="0" aboveAverage="0" dxfId="1" text="" percent="0" bottom="0">
      <formula>AND(M137&gt;=10,M137&lt;20)</formula>
    </cfRule>
    <cfRule type="expression" rank="0" priority="549" equalAverage="0" aboveAverage="0" dxfId="2" text="" percent="0" bottom="0">
      <formula>AND(M137&gt;=5,M137&lt;10)</formula>
    </cfRule>
    <cfRule type="expression" rank="0" priority="550" equalAverage="0" aboveAverage="0" dxfId="3" text="" percent="0" bottom="0">
      <formula>AND(M137&gt;=1,M137&lt;5)</formula>
    </cfRule>
  </conditionalFormatting>
  <conditionalFormatting sqref="M138">
    <cfRule type="expression" rank="0" priority="551" equalAverage="0" aboveAverage="0" dxfId="0" text="" percent="0" bottom="0">
      <formula>M138&gt;=20</formula>
    </cfRule>
    <cfRule type="expression" rank="0" priority="552" equalAverage="0" aboveAverage="0" dxfId="1" text="" percent="0" bottom="0">
      <formula>AND(M138&gt;=10,M138&lt;20)</formula>
    </cfRule>
    <cfRule type="expression" rank="0" priority="553" equalAverage="0" aboveAverage="0" dxfId="2" text="" percent="0" bottom="0">
      <formula>AND(M138&gt;=5,M138&lt;10)</formula>
    </cfRule>
    <cfRule type="expression" rank="0" priority="554" equalAverage="0" aboveAverage="0" dxfId="3" text="" percent="0" bottom="0">
      <formula>AND(M138&gt;=1,M138&lt;5)</formula>
    </cfRule>
  </conditionalFormatting>
  <conditionalFormatting sqref="M139">
    <cfRule type="expression" rank="0" priority="555" equalAverage="0" aboveAverage="0" dxfId="0" text="" percent="0" bottom="0">
      <formula>M139&gt;=20</formula>
    </cfRule>
    <cfRule type="expression" rank="0" priority="556" equalAverage="0" aboveAverage="0" dxfId="1" text="" percent="0" bottom="0">
      <formula>AND(M139&gt;=10,M139&lt;20)</formula>
    </cfRule>
    <cfRule type="expression" rank="0" priority="557" equalAverage="0" aboveAverage="0" dxfId="2" text="" percent="0" bottom="0">
      <formula>AND(M139&gt;=5,M139&lt;10)</formula>
    </cfRule>
    <cfRule type="expression" rank="0" priority="558" equalAverage="0" aboveAverage="0" dxfId="3" text="" percent="0" bottom="0">
      <formula>AND(M139&gt;=1,M139&lt;5)</formula>
    </cfRule>
  </conditionalFormatting>
  <conditionalFormatting sqref="M140">
    <cfRule type="expression" rank="0" priority="559" equalAverage="0" aboveAverage="0" dxfId="0" text="" percent="0" bottom="0">
      <formula>M140&gt;=20</formula>
    </cfRule>
    <cfRule type="expression" rank="0" priority="560" equalAverage="0" aboveAverage="0" dxfId="1" text="" percent="0" bottom="0">
      <formula>AND(M140&gt;=10,M140&lt;20)</formula>
    </cfRule>
    <cfRule type="expression" rank="0" priority="561" equalAverage="0" aboveAverage="0" dxfId="2" text="" percent="0" bottom="0">
      <formula>AND(M140&gt;=5,M140&lt;10)</formula>
    </cfRule>
    <cfRule type="expression" rank="0" priority="562" equalAverage="0" aboveAverage="0" dxfId="3" text="" percent="0" bottom="0">
      <formula>AND(M140&gt;=1,M140&lt;5)</formula>
    </cfRule>
  </conditionalFormatting>
  <conditionalFormatting sqref="M141">
    <cfRule type="expression" rank="0" priority="563" equalAverage="0" aboveAverage="0" dxfId="0" text="" percent="0" bottom="0">
      <formula>M141&gt;=20</formula>
    </cfRule>
    <cfRule type="expression" rank="0" priority="564" equalAverage="0" aboveAverage="0" dxfId="1" text="" percent="0" bottom="0">
      <formula>AND(M141&gt;=10,M141&lt;20)</formula>
    </cfRule>
    <cfRule type="expression" rank="0" priority="565" equalAverage="0" aboveAverage="0" dxfId="2" text="" percent="0" bottom="0">
      <formula>AND(M141&gt;=5,M141&lt;10)</formula>
    </cfRule>
    <cfRule type="expression" rank="0" priority="566" equalAverage="0" aboveAverage="0" dxfId="3" text="" percent="0" bottom="0">
      <formula>AND(M141&gt;=1,M141&lt;5)</formula>
    </cfRule>
  </conditionalFormatting>
  <conditionalFormatting sqref="M142">
    <cfRule type="expression" rank="0" priority="567" equalAverage="0" aboveAverage="0" dxfId="0" text="" percent="0" bottom="0">
      <formula>M142&gt;=20</formula>
    </cfRule>
    <cfRule type="expression" rank="0" priority="568" equalAverage="0" aboveAverage="0" dxfId="1" text="" percent="0" bottom="0">
      <formula>AND(M142&gt;=10,M142&lt;20)</formula>
    </cfRule>
    <cfRule type="expression" rank="0" priority="569" equalAverage="0" aboveAverage="0" dxfId="2" text="" percent="0" bottom="0">
      <formula>AND(M142&gt;=5,M142&lt;10)</formula>
    </cfRule>
    <cfRule type="expression" rank="0" priority="570" equalAverage="0" aboveAverage="0" dxfId="3" text="" percent="0" bottom="0">
      <formula>AND(M142&gt;=1,M142&lt;5)</formula>
    </cfRule>
  </conditionalFormatting>
  <conditionalFormatting sqref="M143">
    <cfRule type="expression" rank="0" priority="571" equalAverage="0" aboveAverage="0" dxfId="0" text="" percent="0" bottom="0">
      <formula>M143&gt;=20</formula>
    </cfRule>
    <cfRule type="expression" rank="0" priority="572" equalAverage="0" aboveAverage="0" dxfId="1" text="" percent="0" bottom="0">
      <formula>AND(M143&gt;=10,M143&lt;20)</formula>
    </cfRule>
    <cfRule type="expression" rank="0" priority="573" equalAverage="0" aboveAverage="0" dxfId="2" text="" percent="0" bottom="0">
      <formula>AND(M143&gt;=5,M143&lt;10)</formula>
    </cfRule>
    <cfRule type="expression" rank="0" priority="574" equalAverage="0" aboveAverage="0" dxfId="3" text="" percent="0" bottom="0">
      <formula>AND(M143&gt;=1,M143&lt;5)</formula>
    </cfRule>
  </conditionalFormatting>
  <conditionalFormatting sqref="M144">
    <cfRule type="expression" rank="0" priority="575" equalAverage="0" aboveAverage="0" dxfId="0" text="" percent="0" bottom="0">
      <formula>M144&gt;=20</formula>
    </cfRule>
    <cfRule type="expression" rank="0" priority="576" equalAverage="0" aboveAverage="0" dxfId="1" text="" percent="0" bottom="0">
      <formula>AND(M144&gt;=10,M144&lt;20)</formula>
    </cfRule>
    <cfRule type="expression" rank="0" priority="577" equalAverage="0" aboveAverage="0" dxfId="2" text="" percent="0" bottom="0">
      <formula>AND(M144&gt;=5,M144&lt;10)</formula>
    </cfRule>
    <cfRule type="expression" rank="0" priority="578" equalAverage="0" aboveAverage="0" dxfId="3" text="" percent="0" bottom="0">
      <formula>AND(M144&gt;=1,M144&lt;5)</formula>
    </cfRule>
  </conditionalFormatting>
  <conditionalFormatting sqref="M145">
    <cfRule type="expression" rank="0" priority="579" equalAverage="0" aboveAverage="0" dxfId="0" text="" percent="0" bottom="0">
      <formula>M145&gt;=20</formula>
    </cfRule>
    <cfRule type="expression" rank="0" priority="580" equalAverage="0" aboveAverage="0" dxfId="1" text="" percent="0" bottom="0">
      <formula>AND(M145&gt;=10,M145&lt;20)</formula>
    </cfRule>
    <cfRule type="expression" rank="0" priority="581" equalAverage="0" aboveAverage="0" dxfId="2" text="" percent="0" bottom="0">
      <formula>AND(M145&gt;=5,M145&lt;10)</formula>
    </cfRule>
    <cfRule type="expression" rank="0" priority="582" equalAverage="0" aboveAverage="0" dxfId="3" text="" percent="0" bottom="0">
      <formula>AND(M145&gt;=1,M145&lt;5)</formula>
    </cfRule>
  </conditionalFormatting>
  <conditionalFormatting sqref="M146">
    <cfRule type="expression" rank="0" priority="583" equalAverage="0" aboveAverage="0" dxfId="0" text="" percent="0" bottom="0">
      <formula>M146&gt;=20</formula>
    </cfRule>
    <cfRule type="expression" rank="0" priority="584" equalAverage="0" aboveAverage="0" dxfId="1" text="" percent="0" bottom="0">
      <formula>AND(M146&gt;=10,M146&lt;20)</formula>
    </cfRule>
    <cfRule type="expression" rank="0" priority="585" equalAverage="0" aboveAverage="0" dxfId="2" text="" percent="0" bottom="0">
      <formula>AND(M146&gt;=5,M146&lt;10)</formula>
    </cfRule>
    <cfRule type="expression" rank="0" priority="586" equalAverage="0" aboveAverage="0" dxfId="3" text="" percent="0" bottom="0">
      <formula>AND(M146&gt;=1,M146&lt;5)</formula>
    </cfRule>
  </conditionalFormatting>
  <conditionalFormatting sqref="M147">
    <cfRule type="expression" rank="0" priority="587" equalAverage="0" aboveAverage="0" dxfId="0" text="" percent="0" bottom="0">
      <formula>M147&gt;=20</formula>
    </cfRule>
    <cfRule type="expression" rank="0" priority="588" equalAverage="0" aboveAverage="0" dxfId="1" text="" percent="0" bottom="0">
      <formula>AND(M147&gt;=10,M147&lt;20)</formula>
    </cfRule>
    <cfRule type="expression" rank="0" priority="589" equalAverage="0" aboveAverage="0" dxfId="2" text="" percent="0" bottom="0">
      <formula>AND(M147&gt;=5,M147&lt;10)</formula>
    </cfRule>
    <cfRule type="expression" rank="0" priority="590" equalAverage="0" aboveAverage="0" dxfId="3" text="" percent="0" bottom="0">
      <formula>AND(M147&gt;=1,M147&lt;5)</formula>
    </cfRule>
  </conditionalFormatting>
  <conditionalFormatting sqref="M148">
    <cfRule type="expression" rank="0" priority="591" equalAverage="0" aboveAverage="0" dxfId="0" text="" percent="0" bottom="0">
      <formula>M148&gt;=20</formula>
    </cfRule>
    <cfRule type="expression" rank="0" priority="592" equalAverage="0" aboveAverage="0" dxfId="1" text="" percent="0" bottom="0">
      <formula>AND(M148&gt;=10,M148&lt;20)</formula>
    </cfRule>
    <cfRule type="expression" rank="0" priority="593" equalAverage="0" aboveAverage="0" dxfId="2" text="" percent="0" bottom="0">
      <formula>AND(M148&gt;=5,M148&lt;10)</formula>
    </cfRule>
    <cfRule type="expression" rank="0" priority="594" equalAverage="0" aboveAverage="0" dxfId="3" text="" percent="0" bottom="0">
      <formula>AND(M148&gt;=1,M148&lt;5)</formula>
    </cfRule>
  </conditionalFormatting>
  <conditionalFormatting sqref="M149">
    <cfRule type="expression" rank="0" priority="595" equalAverage="0" aboveAverage="0" dxfId="0" text="" percent="0" bottom="0">
      <formula>M149&gt;=20</formula>
    </cfRule>
    <cfRule type="expression" rank="0" priority="596" equalAverage="0" aboveAverage="0" dxfId="1" text="" percent="0" bottom="0">
      <formula>AND(M149&gt;=10,M149&lt;20)</formula>
    </cfRule>
    <cfRule type="expression" rank="0" priority="597" equalAverage="0" aboveAverage="0" dxfId="2" text="" percent="0" bottom="0">
      <formula>AND(M149&gt;=5,M149&lt;10)</formula>
    </cfRule>
    <cfRule type="expression" rank="0" priority="598" equalAverage="0" aboveAverage="0" dxfId="3" text="" percent="0" bottom="0">
      <formula>AND(M149&gt;=1,M149&lt;5)</formula>
    </cfRule>
  </conditionalFormatting>
  <conditionalFormatting sqref="M150">
    <cfRule type="expression" rank="0" priority="599" equalAverage="0" aboveAverage="0" dxfId="0" text="" percent="0" bottom="0">
      <formula>M150&gt;=20</formula>
    </cfRule>
    <cfRule type="expression" rank="0" priority="600" equalAverage="0" aboveAverage="0" dxfId="1" text="" percent="0" bottom="0">
      <formula>AND(M150&gt;=10,M150&lt;20)</formula>
    </cfRule>
    <cfRule type="expression" rank="0" priority="601" equalAverage="0" aboveAverage="0" dxfId="2" text="" percent="0" bottom="0">
      <formula>AND(M150&gt;=5,M150&lt;10)</formula>
    </cfRule>
    <cfRule type="expression" rank="0" priority="602" equalAverage="0" aboveAverage="0" dxfId="3" text="" percent="0" bottom="0">
      <formula>AND(M150&gt;=1,M150&lt;5)</formula>
    </cfRule>
  </conditionalFormatting>
  <conditionalFormatting sqref="M151">
    <cfRule type="expression" rank="0" priority="603" equalAverage="0" aboveAverage="0" dxfId="0" text="" percent="0" bottom="0">
      <formula>M151&gt;=20</formula>
    </cfRule>
    <cfRule type="expression" rank="0" priority="604" equalAverage="0" aboveAverage="0" dxfId="1" text="" percent="0" bottom="0">
      <formula>AND(M151&gt;=10,M151&lt;20)</formula>
    </cfRule>
    <cfRule type="expression" rank="0" priority="605" equalAverage="0" aboveAverage="0" dxfId="2" text="" percent="0" bottom="0">
      <formula>AND(M151&gt;=5,M151&lt;10)</formula>
    </cfRule>
    <cfRule type="expression" rank="0" priority="606" equalAverage="0" aboveAverage="0" dxfId="3" text="" percent="0" bottom="0">
      <formula>AND(M151&gt;=1,M151&lt;5)</formula>
    </cfRule>
  </conditionalFormatting>
  <conditionalFormatting sqref="M152">
    <cfRule type="expression" rank="0" priority="607" equalAverage="0" aboveAverage="0" dxfId="0" text="" percent="0" bottom="0">
      <formula>M152&gt;=20</formula>
    </cfRule>
    <cfRule type="expression" rank="0" priority="608" equalAverage="0" aboveAverage="0" dxfId="1" text="" percent="0" bottom="0">
      <formula>AND(M152&gt;=10,M152&lt;20)</formula>
    </cfRule>
    <cfRule type="expression" rank="0" priority="609" equalAverage="0" aboveAverage="0" dxfId="2" text="" percent="0" bottom="0">
      <formula>AND(M152&gt;=5,M152&lt;10)</formula>
    </cfRule>
    <cfRule type="expression" rank="0" priority="610" equalAverage="0" aboveAverage="0" dxfId="3" text="" percent="0" bottom="0">
      <formula>AND(M152&gt;=1,M152&lt;5)</formula>
    </cfRule>
  </conditionalFormatting>
  <conditionalFormatting sqref="M153">
    <cfRule type="expression" rank="0" priority="611" equalAverage="0" aboveAverage="0" dxfId="0" text="" percent="0" bottom="0">
      <formula>M153&gt;=20</formula>
    </cfRule>
    <cfRule type="expression" rank="0" priority="612" equalAverage="0" aboveAverage="0" dxfId="1" text="" percent="0" bottom="0">
      <formula>AND(M153&gt;=10,M153&lt;20)</formula>
    </cfRule>
    <cfRule type="expression" rank="0" priority="613" equalAverage="0" aboveAverage="0" dxfId="2" text="" percent="0" bottom="0">
      <formula>AND(M153&gt;=5,M153&lt;10)</formula>
    </cfRule>
    <cfRule type="expression" rank="0" priority="614" equalAverage="0" aboveAverage="0" dxfId="3" text="" percent="0" bottom="0">
      <formula>AND(M153&gt;=1,M153&lt;5)</formula>
    </cfRule>
  </conditionalFormatting>
  <conditionalFormatting sqref="M154">
    <cfRule type="expression" rank="0" priority="615" equalAverage="0" aboveAverage="0" dxfId="0" text="" percent="0" bottom="0">
      <formula>M154&gt;=20</formula>
    </cfRule>
    <cfRule type="expression" rank="0" priority="616" equalAverage="0" aboveAverage="0" dxfId="1" text="" percent="0" bottom="0">
      <formula>AND(M154&gt;=10,M154&lt;20)</formula>
    </cfRule>
    <cfRule type="expression" rank="0" priority="617" equalAverage="0" aboveAverage="0" dxfId="2" text="" percent="0" bottom="0">
      <formula>AND(M154&gt;=5,M154&lt;10)</formula>
    </cfRule>
    <cfRule type="expression" rank="0" priority="618" equalAverage="0" aboveAverage="0" dxfId="3" text="" percent="0" bottom="0">
      <formula>AND(M154&gt;=1,M154&lt;5)</formula>
    </cfRule>
  </conditionalFormatting>
  <conditionalFormatting sqref="M155">
    <cfRule type="expression" rank="0" priority="619" equalAverage="0" aboveAverage="0" dxfId="0" text="" percent="0" bottom="0">
      <formula>M155&gt;=20</formula>
    </cfRule>
    <cfRule type="expression" rank="0" priority="620" equalAverage="0" aboveAverage="0" dxfId="1" text="" percent="0" bottom="0">
      <formula>AND(M155&gt;=10,M155&lt;20)</formula>
    </cfRule>
    <cfRule type="expression" rank="0" priority="621" equalAverage="0" aboveAverage="0" dxfId="2" text="" percent="0" bottom="0">
      <formula>AND(M155&gt;=5,M155&lt;10)</formula>
    </cfRule>
    <cfRule type="expression" rank="0" priority="622" equalAverage="0" aboveAverage="0" dxfId="3" text="" percent="0" bottom="0">
      <formula>AND(M155&gt;=1,M155&lt;5)</formula>
    </cfRule>
  </conditionalFormatting>
  <conditionalFormatting sqref="M156">
    <cfRule type="expression" rank="0" priority="623" equalAverage="0" aboveAverage="0" dxfId="0" text="" percent="0" bottom="0">
      <formula>M156&gt;=20</formula>
    </cfRule>
    <cfRule type="expression" rank="0" priority="624" equalAverage="0" aboveAverage="0" dxfId="1" text="" percent="0" bottom="0">
      <formula>AND(M156&gt;=10,M156&lt;20)</formula>
    </cfRule>
    <cfRule type="expression" rank="0" priority="625" equalAverage="0" aboveAverage="0" dxfId="2" text="" percent="0" bottom="0">
      <formula>AND(M156&gt;=5,M156&lt;10)</formula>
    </cfRule>
    <cfRule type="expression" rank="0" priority="626" equalAverage="0" aboveAverage="0" dxfId="3" text="" percent="0" bottom="0">
      <formula>AND(M156&gt;=1,M156&lt;5)</formula>
    </cfRule>
  </conditionalFormatting>
  <conditionalFormatting sqref="M157">
    <cfRule type="expression" rank="0" priority="627" equalAverage="0" aboveAverage="0" dxfId="0" text="" percent="0" bottom="0">
      <formula>M157&gt;=20</formula>
    </cfRule>
    <cfRule type="expression" rank="0" priority="628" equalAverage="0" aboveAverage="0" dxfId="1" text="" percent="0" bottom="0">
      <formula>AND(M157&gt;=10,M157&lt;20)</formula>
    </cfRule>
    <cfRule type="expression" rank="0" priority="629" equalAverage="0" aboveAverage="0" dxfId="2" text="" percent="0" bottom="0">
      <formula>AND(M157&gt;=5,M157&lt;10)</formula>
    </cfRule>
    <cfRule type="expression" rank="0" priority="630" equalAverage="0" aboveAverage="0" dxfId="3" text="" percent="0" bottom="0">
      <formula>AND(M157&gt;=1,M157&lt;5)</formula>
    </cfRule>
  </conditionalFormatting>
  <conditionalFormatting sqref="M158">
    <cfRule type="expression" rank="0" priority="631" equalAverage="0" aboveAverage="0" dxfId="0" text="" percent="0" bottom="0">
      <formula>M158&gt;=20</formula>
    </cfRule>
    <cfRule type="expression" rank="0" priority="632" equalAverage="0" aboveAverage="0" dxfId="1" text="" percent="0" bottom="0">
      <formula>AND(M158&gt;=10,M158&lt;20)</formula>
    </cfRule>
    <cfRule type="expression" rank="0" priority="633" equalAverage="0" aboveAverage="0" dxfId="2" text="" percent="0" bottom="0">
      <formula>AND(M158&gt;=5,M158&lt;10)</formula>
    </cfRule>
    <cfRule type="expression" rank="0" priority="634" equalAverage="0" aboveAverage="0" dxfId="3" text="" percent="0" bottom="0">
      <formula>AND(M158&gt;=1,M158&lt;5)</formula>
    </cfRule>
  </conditionalFormatting>
  <conditionalFormatting sqref="M159">
    <cfRule type="expression" rank="0" priority="635" equalAverage="0" aboveAverage="0" dxfId="0" text="" percent="0" bottom="0">
      <formula>M159&gt;=20</formula>
    </cfRule>
    <cfRule type="expression" rank="0" priority="636" equalAverage="0" aboveAverage="0" dxfId="1" text="" percent="0" bottom="0">
      <formula>AND(M159&gt;=10,M159&lt;20)</formula>
    </cfRule>
    <cfRule type="expression" rank="0" priority="637" equalAverage="0" aboveAverage="0" dxfId="2" text="" percent="0" bottom="0">
      <formula>AND(M159&gt;=5,M159&lt;10)</formula>
    </cfRule>
    <cfRule type="expression" rank="0" priority="638" equalAverage="0" aboveAverage="0" dxfId="3" text="" percent="0" bottom="0">
      <formula>AND(M159&gt;=1,M159&lt;5)</formula>
    </cfRule>
  </conditionalFormatting>
  <conditionalFormatting sqref="M160">
    <cfRule type="expression" rank="0" priority="639" equalAverage="0" aboveAverage="0" dxfId="0" text="" percent="0" bottom="0">
      <formula>M160&gt;=20</formula>
    </cfRule>
    <cfRule type="expression" rank="0" priority="640" equalAverage="0" aboveAverage="0" dxfId="1" text="" percent="0" bottom="0">
      <formula>AND(M160&gt;=10,M160&lt;20)</formula>
    </cfRule>
    <cfRule type="expression" rank="0" priority="641" equalAverage="0" aboveAverage="0" dxfId="2" text="" percent="0" bottom="0">
      <formula>AND(M160&gt;=5,M160&lt;10)</formula>
    </cfRule>
    <cfRule type="expression" rank="0" priority="642" equalAverage="0" aboveAverage="0" dxfId="3" text="" percent="0" bottom="0">
      <formula>AND(M160&gt;=1,M160&lt;5)</formula>
    </cfRule>
  </conditionalFormatting>
  <conditionalFormatting sqref="M161">
    <cfRule type="expression" rank="0" priority="643" equalAverage="0" aboveAverage="0" dxfId="0" text="" percent="0" bottom="0">
      <formula>M161&gt;=20</formula>
    </cfRule>
    <cfRule type="expression" rank="0" priority="644" equalAverage="0" aboveAverage="0" dxfId="1" text="" percent="0" bottom="0">
      <formula>AND(M161&gt;=10,M161&lt;20)</formula>
    </cfRule>
    <cfRule type="expression" rank="0" priority="645" equalAverage="0" aboveAverage="0" dxfId="2" text="" percent="0" bottom="0">
      <formula>AND(M161&gt;=5,M161&lt;10)</formula>
    </cfRule>
    <cfRule type="expression" rank="0" priority="646" equalAverage="0" aboveAverage="0" dxfId="3" text="" percent="0" bottom="0">
      <formula>AND(M161&gt;=1,M161&lt;5)</formula>
    </cfRule>
  </conditionalFormatting>
  <conditionalFormatting sqref="M162">
    <cfRule type="expression" rank="0" priority="647" equalAverage="0" aboveAverage="0" dxfId="0" text="" percent="0" bottom="0">
      <formula>M162&gt;=20</formula>
    </cfRule>
    <cfRule type="expression" rank="0" priority="648" equalAverage="0" aboveAverage="0" dxfId="1" text="" percent="0" bottom="0">
      <formula>AND(M162&gt;=10,M162&lt;20)</formula>
    </cfRule>
    <cfRule type="expression" rank="0" priority="649" equalAverage="0" aboveAverage="0" dxfId="2" text="" percent="0" bottom="0">
      <formula>AND(M162&gt;=5,M162&lt;10)</formula>
    </cfRule>
    <cfRule type="expression" rank="0" priority="650" equalAverage="0" aboveAverage="0" dxfId="3" text="" percent="0" bottom="0">
      <formula>AND(M162&gt;=1,M162&lt;5)</formula>
    </cfRule>
  </conditionalFormatting>
  <conditionalFormatting sqref="M163">
    <cfRule type="expression" rank="0" priority="651" equalAverage="0" aboveAverage="0" dxfId="0" text="" percent="0" bottom="0">
      <formula>M163&gt;=20</formula>
    </cfRule>
    <cfRule type="expression" rank="0" priority="652" equalAverage="0" aboveAverage="0" dxfId="1" text="" percent="0" bottom="0">
      <formula>AND(M163&gt;=10,M163&lt;20)</formula>
    </cfRule>
    <cfRule type="expression" rank="0" priority="653" equalAverage="0" aboveAverage="0" dxfId="2" text="" percent="0" bottom="0">
      <formula>AND(M163&gt;=5,M163&lt;10)</formula>
    </cfRule>
    <cfRule type="expression" rank="0" priority="654" equalAverage="0" aboveAverage="0" dxfId="3" text="" percent="0" bottom="0">
      <formula>AND(M163&gt;=1,M163&lt;5)</formula>
    </cfRule>
  </conditionalFormatting>
  <conditionalFormatting sqref="M164">
    <cfRule type="expression" rank="0" priority="655" equalAverage="0" aboveAverage="0" dxfId="0" text="" percent="0" bottom="0">
      <formula>M164&gt;=20</formula>
    </cfRule>
    <cfRule type="expression" rank="0" priority="656" equalAverage="0" aboveAverage="0" dxfId="1" text="" percent="0" bottom="0">
      <formula>AND(M164&gt;=10,M164&lt;20)</formula>
    </cfRule>
    <cfRule type="expression" rank="0" priority="657" equalAverage="0" aboveAverage="0" dxfId="2" text="" percent="0" bottom="0">
      <formula>AND(M164&gt;=5,M164&lt;10)</formula>
    </cfRule>
    <cfRule type="expression" rank="0" priority="658" equalAverage="0" aboveAverage="0" dxfId="3" text="" percent="0" bottom="0">
      <formula>AND(M164&gt;=1,M164&lt;5)</formula>
    </cfRule>
  </conditionalFormatting>
  <conditionalFormatting sqref="M165">
    <cfRule type="expression" rank="0" priority="659" equalAverage="0" aboveAverage="0" dxfId="0" text="" percent="0" bottom="0">
      <formula>M165&gt;=20</formula>
    </cfRule>
    <cfRule type="expression" rank="0" priority="660" equalAverage="0" aboveAverage="0" dxfId="1" text="" percent="0" bottom="0">
      <formula>AND(M165&gt;=10,M165&lt;20)</formula>
    </cfRule>
    <cfRule type="expression" rank="0" priority="661" equalAverage="0" aboveAverage="0" dxfId="2" text="" percent="0" bottom="0">
      <formula>AND(M165&gt;=5,M165&lt;10)</formula>
    </cfRule>
    <cfRule type="expression" rank="0" priority="662" equalAverage="0" aboveAverage="0" dxfId="3" text="" percent="0" bottom="0">
      <formula>AND(M165&gt;=1,M165&lt;5)</formula>
    </cfRule>
  </conditionalFormatting>
  <conditionalFormatting sqref="M166">
    <cfRule type="expression" rank="0" priority="663" equalAverage="0" aboveAverage="0" dxfId="0" text="" percent="0" bottom="0">
      <formula>M166&gt;=20</formula>
    </cfRule>
    <cfRule type="expression" rank="0" priority="664" equalAverage="0" aboveAverage="0" dxfId="1" text="" percent="0" bottom="0">
      <formula>AND(M166&gt;=10,M166&lt;20)</formula>
    </cfRule>
    <cfRule type="expression" rank="0" priority="665" equalAverage="0" aboveAverage="0" dxfId="2" text="" percent="0" bottom="0">
      <formula>AND(M166&gt;=5,M166&lt;10)</formula>
    </cfRule>
    <cfRule type="expression" rank="0" priority="666" equalAverage="0" aboveAverage="0" dxfId="3" text="" percent="0" bottom="0">
      <formula>AND(M166&gt;=1,M166&lt;5)</formula>
    </cfRule>
  </conditionalFormatting>
  <conditionalFormatting sqref="M167">
    <cfRule type="expression" rank="0" priority="667" equalAverage="0" aboveAverage="0" dxfId="0" text="" percent="0" bottom="0">
      <formula>M167&gt;=20</formula>
    </cfRule>
    <cfRule type="expression" rank="0" priority="668" equalAverage="0" aboveAverage="0" dxfId="1" text="" percent="0" bottom="0">
      <formula>AND(M167&gt;=10,M167&lt;20)</formula>
    </cfRule>
    <cfRule type="expression" rank="0" priority="669" equalAverage="0" aboveAverage="0" dxfId="2" text="" percent="0" bottom="0">
      <formula>AND(M167&gt;=5,M167&lt;10)</formula>
    </cfRule>
    <cfRule type="expression" rank="0" priority="670" equalAverage="0" aboveAverage="0" dxfId="3" text="" percent="0" bottom="0">
      <formula>AND(M167&gt;=1,M167&lt;5)</formula>
    </cfRule>
  </conditionalFormatting>
  <conditionalFormatting sqref="M168">
    <cfRule type="expression" rank="0" priority="671" equalAverage="0" aboveAverage="0" dxfId="0" text="" percent="0" bottom="0">
      <formula>M168&gt;=20</formula>
    </cfRule>
    <cfRule type="expression" rank="0" priority="672" equalAverage="0" aboveAverage="0" dxfId="1" text="" percent="0" bottom="0">
      <formula>AND(M168&gt;=10,M168&lt;20)</formula>
    </cfRule>
    <cfRule type="expression" rank="0" priority="673" equalAverage="0" aboveAverage="0" dxfId="2" text="" percent="0" bottom="0">
      <formula>AND(M168&gt;=5,M168&lt;10)</formula>
    </cfRule>
    <cfRule type="expression" rank="0" priority="674" equalAverage="0" aboveAverage="0" dxfId="3" text="" percent="0" bottom="0">
      <formula>AND(M168&gt;=1,M168&lt;5)</formula>
    </cfRule>
  </conditionalFormatting>
  <conditionalFormatting sqref="M169">
    <cfRule type="expression" rank="0" priority="675" equalAverage="0" aboveAverage="0" dxfId="0" text="" percent="0" bottom="0">
      <formula>M169&gt;=20</formula>
    </cfRule>
    <cfRule type="expression" rank="0" priority="676" equalAverage="0" aboveAverage="0" dxfId="1" text="" percent="0" bottom="0">
      <formula>AND(M169&gt;=10,M169&lt;20)</formula>
    </cfRule>
    <cfRule type="expression" rank="0" priority="677" equalAverage="0" aboveAverage="0" dxfId="2" text="" percent="0" bottom="0">
      <formula>AND(M169&gt;=5,M169&lt;10)</formula>
    </cfRule>
    <cfRule type="expression" rank="0" priority="678" equalAverage="0" aboveAverage="0" dxfId="3" text="" percent="0" bottom="0">
      <formula>AND(M169&gt;=1,M169&lt;5)</formula>
    </cfRule>
  </conditionalFormatting>
  <conditionalFormatting sqref="M170">
    <cfRule type="expression" rank="0" priority="679" equalAverage="0" aboveAverage="0" dxfId="0" text="" percent="0" bottom="0">
      <formula>M170&gt;=20</formula>
    </cfRule>
    <cfRule type="expression" rank="0" priority="680" equalAverage="0" aboveAverage="0" dxfId="1" text="" percent="0" bottom="0">
      <formula>AND(M170&gt;=10,M170&lt;20)</formula>
    </cfRule>
    <cfRule type="expression" rank="0" priority="681" equalAverage="0" aboveAverage="0" dxfId="2" text="" percent="0" bottom="0">
      <formula>AND(M170&gt;=5,M170&lt;10)</formula>
    </cfRule>
    <cfRule type="expression" rank="0" priority="682" equalAverage="0" aboveAverage="0" dxfId="3" text="" percent="0" bottom="0">
      <formula>AND(M170&gt;=1,M170&lt;5)</formula>
    </cfRule>
  </conditionalFormatting>
  <conditionalFormatting sqref="M171">
    <cfRule type="expression" rank="0" priority="683" equalAverage="0" aboveAverage="0" dxfId="0" text="" percent="0" bottom="0">
      <formula>M171&gt;=20</formula>
    </cfRule>
    <cfRule type="expression" rank="0" priority="684" equalAverage="0" aboveAverage="0" dxfId="1" text="" percent="0" bottom="0">
      <formula>AND(M171&gt;=10,M171&lt;20)</formula>
    </cfRule>
    <cfRule type="expression" rank="0" priority="685" equalAverage="0" aboveAverage="0" dxfId="2" text="" percent="0" bottom="0">
      <formula>AND(M171&gt;=5,M171&lt;10)</formula>
    </cfRule>
    <cfRule type="expression" rank="0" priority="686" equalAverage="0" aboveAverage="0" dxfId="3" text="" percent="0" bottom="0">
      <formula>AND(M171&gt;=1,M171&lt;5)</formula>
    </cfRule>
  </conditionalFormatting>
  <conditionalFormatting sqref="M172">
    <cfRule type="expression" rank="0" priority="687" equalAverage="0" aboveAverage="0" dxfId="0" text="" percent="0" bottom="0">
      <formula>M172&gt;=20</formula>
    </cfRule>
    <cfRule type="expression" rank="0" priority="688" equalAverage="0" aboveAverage="0" dxfId="1" text="" percent="0" bottom="0">
      <formula>AND(M172&gt;=10,M172&lt;20)</formula>
    </cfRule>
    <cfRule type="expression" rank="0" priority="689" equalAverage="0" aboveAverage="0" dxfId="2" text="" percent="0" bottom="0">
      <formula>AND(M172&gt;=5,M172&lt;10)</formula>
    </cfRule>
    <cfRule type="expression" rank="0" priority="690" equalAverage="0" aboveAverage="0" dxfId="3" text="" percent="0" bottom="0">
      <formula>AND(M172&gt;=1,M172&lt;5)</formula>
    </cfRule>
  </conditionalFormatting>
  <conditionalFormatting sqref="M173">
    <cfRule type="expression" rank="0" priority="691" equalAverage="0" aboveAverage="0" dxfId="0" text="" percent="0" bottom="0">
      <formula>M173&gt;=20</formula>
    </cfRule>
    <cfRule type="expression" rank="0" priority="692" equalAverage="0" aboveAverage="0" dxfId="1" text="" percent="0" bottom="0">
      <formula>AND(M173&gt;=10,M173&lt;20)</formula>
    </cfRule>
    <cfRule type="expression" rank="0" priority="693" equalAverage="0" aboveAverage="0" dxfId="2" text="" percent="0" bottom="0">
      <formula>AND(M173&gt;=5,M173&lt;10)</formula>
    </cfRule>
    <cfRule type="expression" rank="0" priority="694" equalAverage="0" aboveAverage="0" dxfId="3" text="" percent="0" bottom="0">
      <formula>AND(M173&gt;=1,M173&lt;5)</formula>
    </cfRule>
  </conditionalFormatting>
  <conditionalFormatting sqref="M174">
    <cfRule type="expression" rank="0" priority="695" equalAverage="0" aboveAverage="0" dxfId="0" text="" percent="0" bottom="0">
      <formula>M174&gt;=20</formula>
    </cfRule>
    <cfRule type="expression" rank="0" priority="696" equalAverage="0" aboveAverage="0" dxfId="1" text="" percent="0" bottom="0">
      <formula>AND(M174&gt;=10,M174&lt;20)</formula>
    </cfRule>
    <cfRule type="expression" rank="0" priority="697" equalAverage="0" aboveAverage="0" dxfId="2" text="" percent="0" bottom="0">
      <formula>AND(M174&gt;=5,M174&lt;10)</formula>
    </cfRule>
    <cfRule type="expression" rank="0" priority="698" equalAverage="0" aboveAverage="0" dxfId="3" text="" percent="0" bottom="0">
      <formula>AND(M174&gt;=1,M174&lt;5)</formula>
    </cfRule>
  </conditionalFormatting>
  <conditionalFormatting sqref="M175">
    <cfRule type="expression" rank="0" priority="699" equalAverage="0" aboveAverage="0" dxfId="0" text="" percent="0" bottom="0">
      <formula>M175&gt;=20</formula>
    </cfRule>
    <cfRule type="expression" rank="0" priority="700" equalAverage="0" aboveAverage="0" dxfId="1" text="" percent="0" bottom="0">
      <formula>AND(M175&gt;=10,M175&lt;20)</formula>
    </cfRule>
    <cfRule type="expression" rank="0" priority="701" equalAverage="0" aboveAverage="0" dxfId="2" text="" percent="0" bottom="0">
      <formula>AND(M175&gt;=5,M175&lt;10)</formula>
    </cfRule>
    <cfRule type="expression" rank="0" priority="702" equalAverage="0" aboveAverage="0" dxfId="3" text="" percent="0" bottom="0">
      <formula>AND(M175&gt;=1,M175&lt;5)</formula>
    </cfRule>
  </conditionalFormatting>
  <conditionalFormatting sqref="M176">
    <cfRule type="expression" rank="0" priority="703" equalAverage="0" aboveAverage="0" dxfId="0" text="" percent="0" bottom="0">
      <formula>M176&gt;=20</formula>
    </cfRule>
    <cfRule type="expression" rank="0" priority="704" equalAverage="0" aboveAverage="0" dxfId="1" text="" percent="0" bottom="0">
      <formula>AND(M176&gt;=10,M176&lt;20)</formula>
    </cfRule>
    <cfRule type="expression" rank="0" priority="705" equalAverage="0" aboveAverage="0" dxfId="2" text="" percent="0" bottom="0">
      <formula>AND(M176&gt;=5,M176&lt;10)</formula>
    </cfRule>
    <cfRule type="expression" rank="0" priority="706" equalAverage="0" aboveAverage="0" dxfId="3" text="" percent="0" bottom="0">
      <formula>AND(M176&gt;=1,M176&lt;5)</formula>
    </cfRule>
  </conditionalFormatting>
  <conditionalFormatting sqref="M177">
    <cfRule type="expression" rank="0" priority="707" equalAverage="0" aboveAverage="0" dxfId="0" text="" percent="0" bottom="0">
      <formula>M177&gt;=20</formula>
    </cfRule>
    <cfRule type="expression" rank="0" priority="708" equalAverage="0" aboveAverage="0" dxfId="1" text="" percent="0" bottom="0">
      <formula>AND(M177&gt;=10,M177&lt;20)</formula>
    </cfRule>
    <cfRule type="expression" rank="0" priority="709" equalAverage="0" aboveAverage="0" dxfId="2" text="" percent="0" bottom="0">
      <formula>AND(M177&gt;=5,M177&lt;10)</formula>
    </cfRule>
    <cfRule type="expression" rank="0" priority="710" equalAverage="0" aboveAverage="0" dxfId="3" text="" percent="0" bottom="0">
      <formula>AND(M177&gt;=1,M177&lt;5)</formula>
    </cfRule>
  </conditionalFormatting>
  <conditionalFormatting sqref="M178">
    <cfRule type="expression" rank="0" priority="711" equalAverage="0" aboveAverage="0" dxfId="0" text="" percent="0" bottom="0">
      <formula>M178&gt;=20</formula>
    </cfRule>
    <cfRule type="expression" rank="0" priority="712" equalAverage="0" aboveAverage="0" dxfId="1" text="" percent="0" bottom="0">
      <formula>AND(M178&gt;=10,M178&lt;20)</formula>
    </cfRule>
    <cfRule type="expression" rank="0" priority="713" equalAverage="0" aboveAverage="0" dxfId="2" text="" percent="0" bottom="0">
      <formula>AND(M178&gt;=5,M178&lt;10)</formula>
    </cfRule>
    <cfRule type="expression" rank="0" priority="714" equalAverage="0" aboveAverage="0" dxfId="3" text="" percent="0" bottom="0">
      <formula>AND(M178&gt;=1,M178&lt;5)</formula>
    </cfRule>
  </conditionalFormatting>
  <conditionalFormatting sqref="M179">
    <cfRule type="expression" rank="0" priority="715" equalAverage="0" aboveAverage="0" dxfId="0" text="" percent="0" bottom="0">
      <formula>M179&gt;=20</formula>
    </cfRule>
    <cfRule type="expression" rank="0" priority="716" equalAverage="0" aboveAverage="0" dxfId="1" text="" percent="0" bottom="0">
      <formula>AND(M179&gt;=10,M179&lt;20)</formula>
    </cfRule>
    <cfRule type="expression" rank="0" priority="717" equalAverage="0" aboveAverage="0" dxfId="2" text="" percent="0" bottom="0">
      <formula>AND(M179&gt;=5,M179&lt;10)</formula>
    </cfRule>
    <cfRule type="expression" rank="0" priority="718" equalAverage="0" aboveAverage="0" dxfId="3" text="" percent="0" bottom="0">
      <formula>AND(M179&gt;=1,M179&lt;5)</formula>
    </cfRule>
  </conditionalFormatting>
  <conditionalFormatting sqref="M180">
    <cfRule type="expression" rank="0" priority="719" equalAverage="0" aboveAverage="0" dxfId="0" text="" percent="0" bottom="0">
      <formula>M180&gt;=20</formula>
    </cfRule>
    <cfRule type="expression" rank="0" priority="720" equalAverage="0" aboveAverage="0" dxfId="1" text="" percent="0" bottom="0">
      <formula>AND(M180&gt;=10,M180&lt;20)</formula>
    </cfRule>
    <cfRule type="expression" rank="0" priority="721" equalAverage="0" aboveAverage="0" dxfId="2" text="" percent="0" bottom="0">
      <formula>AND(M180&gt;=5,M180&lt;10)</formula>
    </cfRule>
    <cfRule type="expression" rank="0" priority="722" equalAverage="0" aboveAverage="0" dxfId="3" text="" percent="0" bottom="0">
      <formula>AND(M180&gt;=1,M180&lt;5)</formula>
    </cfRule>
  </conditionalFormatting>
  <conditionalFormatting sqref="M181">
    <cfRule type="expression" rank="0" priority="723" equalAverage="0" aboveAverage="0" dxfId="0" text="" percent="0" bottom="0">
      <formula>M181&gt;=20</formula>
    </cfRule>
    <cfRule type="expression" rank="0" priority="724" equalAverage="0" aboveAverage="0" dxfId="1" text="" percent="0" bottom="0">
      <formula>AND(M181&gt;=10,M181&lt;20)</formula>
    </cfRule>
    <cfRule type="expression" rank="0" priority="725" equalAverage="0" aboveAverage="0" dxfId="2" text="" percent="0" bottom="0">
      <formula>AND(M181&gt;=5,M181&lt;10)</formula>
    </cfRule>
    <cfRule type="expression" rank="0" priority="726" equalAverage="0" aboveAverage="0" dxfId="3" text="" percent="0" bottom="0">
      <formula>AND(M181&gt;=1,M181&lt;5)</formula>
    </cfRule>
  </conditionalFormatting>
  <conditionalFormatting sqref="M182">
    <cfRule type="expression" rank="0" priority="727" equalAverage="0" aboveAverage="0" dxfId="0" text="" percent="0" bottom="0">
      <formula>M182&gt;=20</formula>
    </cfRule>
    <cfRule type="expression" rank="0" priority="728" equalAverage="0" aboveAverage="0" dxfId="1" text="" percent="0" bottom="0">
      <formula>AND(M182&gt;=10,M182&lt;20)</formula>
    </cfRule>
    <cfRule type="expression" rank="0" priority="729" equalAverage="0" aboveAverage="0" dxfId="2" text="" percent="0" bottom="0">
      <formula>AND(M182&gt;=5,M182&lt;10)</formula>
    </cfRule>
    <cfRule type="expression" rank="0" priority="730" equalAverage="0" aboveAverage="0" dxfId="3" text="" percent="0" bottom="0">
      <formula>AND(M182&gt;=1,M182&lt;5)</formula>
    </cfRule>
  </conditionalFormatting>
  <conditionalFormatting sqref="M183">
    <cfRule type="expression" rank="0" priority="731" equalAverage="0" aboveAverage="0" dxfId="0" text="" percent="0" bottom="0">
      <formula>M183&gt;=20</formula>
    </cfRule>
    <cfRule type="expression" rank="0" priority="732" equalAverage="0" aboveAverage="0" dxfId="1" text="" percent="0" bottom="0">
      <formula>AND(M183&gt;=10,M183&lt;20)</formula>
    </cfRule>
    <cfRule type="expression" rank="0" priority="733" equalAverage="0" aboveAverage="0" dxfId="2" text="" percent="0" bottom="0">
      <formula>AND(M183&gt;=5,M183&lt;10)</formula>
    </cfRule>
    <cfRule type="expression" rank="0" priority="734" equalAverage="0" aboveAverage="0" dxfId="3" text="" percent="0" bottom="0">
      <formula>AND(M183&gt;=1,M183&lt;5)</formula>
    </cfRule>
  </conditionalFormatting>
  <conditionalFormatting sqref="M184">
    <cfRule type="expression" rank="0" priority="735" equalAverage="0" aboveAverage="0" dxfId="0" text="" percent="0" bottom="0">
      <formula>M184&gt;=20</formula>
    </cfRule>
    <cfRule type="expression" rank="0" priority="736" equalAverage="0" aboveAverage="0" dxfId="1" text="" percent="0" bottom="0">
      <formula>AND(M184&gt;=10,M184&lt;20)</formula>
    </cfRule>
    <cfRule type="expression" rank="0" priority="737" equalAverage="0" aboveAverage="0" dxfId="2" text="" percent="0" bottom="0">
      <formula>AND(M184&gt;=5,M184&lt;10)</formula>
    </cfRule>
    <cfRule type="expression" rank="0" priority="738" equalAverage="0" aboveAverage="0" dxfId="3" text="" percent="0" bottom="0">
      <formula>AND(M184&gt;=1,M184&lt;5)</formula>
    </cfRule>
  </conditionalFormatting>
  <conditionalFormatting sqref="M185">
    <cfRule type="expression" rank="0" priority="739" equalAverage="0" aboveAverage="0" dxfId="0" text="" percent="0" bottom="0">
      <formula>M185&gt;=20</formula>
    </cfRule>
    <cfRule type="expression" rank="0" priority="740" equalAverage="0" aboveAverage="0" dxfId="1" text="" percent="0" bottom="0">
      <formula>AND(M185&gt;=10,M185&lt;20)</formula>
    </cfRule>
    <cfRule type="expression" rank="0" priority="741" equalAverage="0" aboveAverage="0" dxfId="2" text="" percent="0" bottom="0">
      <formula>AND(M185&gt;=5,M185&lt;10)</formula>
    </cfRule>
    <cfRule type="expression" rank="0" priority="742" equalAverage="0" aboveAverage="0" dxfId="3" text="" percent="0" bottom="0">
      <formula>AND(M185&gt;=1,M185&lt;5)</formula>
    </cfRule>
  </conditionalFormatting>
  <conditionalFormatting sqref="M186">
    <cfRule type="expression" rank="0" priority="743" equalAverage="0" aboveAverage="0" dxfId="0" text="" percent="0" bottom="0">
      <formula>M186&gt;=20</formula>
    </cfRule>
    <cfRule type="expression" rank="0" priority="744" equalAverage="0" aboveAverage="0" dxfId="1" text="" percent="0" bottom="0">
      <formula>AND(M186&gt;=10,M186&lt;20)</formula>
    </cfRule>
    <cfRule type="expression" rank="0" priority="745" equalAverage="0" aboveAverage="0" dxfId="2" text="" percent="0" bottom="0">
      <formula>AND(M186&gt;=5,M186&lt;10)</formula>
    </cfRule>
    <cfRule type="expression" rank="0" priority="746" equalAverage="0" aboveAverage="0" dxfId="3" text="" percent="0" bottom="0">
      <formula>AND(M186&gt;=1,M186&lt;5)</formula>
    </cfRule>
  </conditionalFormatting>
  <conditionalFormatting sqref="M187">
    <cfRule type="expression" rank="0" priority="747" equalAverage="0" aboveAverage="0" dxfId="0" text="" percent="0" bottom="0">
      <formula>M187&gt;=20</formula>
    </cfRule>
    <cfRule type="expression" rank="0" priority="748" equalAverage="0" aboveAverage="0" dxfId="1" text="" percent="0" bottom="0">
      <formula>AND(M187&gt;=10,M187&lt;20)</formula>
    </cfRule>
    <cfRule type="expression" rank="0" priority="749" equalAverage="0" aboveAverage="0" dxfId="2" text="" percent="0" bottom="0">
      <formula>AND(M187&gt;=5,M187&lt;10)</formula>
    </cfRule>
    <cfRule type="expression" rank="0" priority="750" equalAverage="0" aboveAverage="0" dxfId="3" text="" percent="0" bottom="0">
      <formula>AND(M187&gt;=1,M187&lt;5)</formula>
    </cfRule>
  </conditionalFormatting>
  <conditionalFormatting sqref="M188">
    <cfRule type="expression" rank="0" priority="751" equalAverage="0" aboveAverage="0" dxfId="0" text="" percent="0" bottom="0">
      <formula>M188&gt;=20</formula>
    </cfRule>
    <cfRule type="expression" rank="0" priority="752" equalAverage="0" aboveAverage="0" dxfId="1" text="" percent="0" bottom="0">
      <formula>AND(M188&gt;=10,M188&lt;20)</formula>
    </cfRule>
    <cfRule type="expression" rank="0" priority="753" equalAverage="0" aboveAverage="0" dxfId="2" text="" percent="0" bottom="0">
      <formula>AND(M188&gt;=5,M188&lt;10)</formula>
    </cfRule>
    <cfRule type="expression" rank="0" priority="754" equalAverage="0" aboveAverage="0" dxfId="3" text="" percent="0" bottom="0">
      <formula>AND(M188&gt;=1,M188&lt;5)</formula>
    </cfRule>
  </conditionalFormatting>
  <conditionalFormatting sqref="M189">
    <cfRule type="expression" rank="0" priority="755" equalAverage="0" aboveAverage="0" dxfId="0" text="" percent="0" bottom="0">
      <formula>M189&gt;=20</formula>
    </cfRule>
    <cfRule type="expression" rank="0" priority="756" equalAverage="0" aboveAverage="0" dxfId="1" text="" percent="0" bottom="0">
      <formula>AND(M189&gt;=10,M189&lt;20)</formula>
    </cfRule>
    <cfRule type="expression" rank="0" priority="757" equalAverage="0" aboveAverage="0" dxfId="2" text="" percent="0" bottom="0">
      <formula>AND(M189&gt;=5,M189&lt;10)</formula>
    </cfRule>
    <cfRule type="expression" rank="0" priority="758" equalAverage="0" aboveAverage="0" dxfId="3" text="" percent="0" bottom="0">
      <formula>AND(M189&gt;=1,M189&lt;5)</formula>
    </cfRule>
  </conditionalFormatting>
  <conditionalFormatting sqref="M190">
    <cfRule type="expression" rank="0" priority="759" equalAverage="0" aboveAverage="0" dxfId="0" text="" percent="0" bottom="0">
      <formula>M190&gt;=20</formula>
    </cfRule>
    <cfRule type="expression" rank="0" priority="760" equalAverage="0" aboveAverage="0" dxfId="1" text="" percent="0" bottom="0">
      <formula>AND(M190&gt;=10,M190&lt;20)</formula>
    </cfRule>
    <cfRule type="expression" rank="0" priority="761" equalAverage="0" aboveAverage="0" dxfId="2" text="" percent="0" bottom="0">
      <formula>AND(M190&gt;=5,M190&lt;10)</formula>
    </cfRule>
    <cfRule type="expression" rank="0" priority="762" equalAverage="0" aboveAverage="0" dxfId="3" text="" percent="0" bottom="0">
      <formula>AND(M190&gt;=1,M190&lt;5)</formula>
    </cfRule>
  </conditionalFormatting>
  <conditionalFormatting sqref="M191">
    <cfRule type="expression" rank="0" priority="763" equalAverage="0" aboveAverage="0" dxfId="0" text="" percent="0" bottom="0">
      <formula>M191&gt;=20</formula>
    </cfRule>
    <cfRule type="expression" rank="0" priority="764" equalAverage="0" aboveAverage="0" dxfId="1" text="" percent="0" bottom="0">
      <formula>AND(M191&gt;=10,M191&lt;20)</formula>
    </cfRule>
    <cfRule type="expression" rank="0" priority="765" equalAverage="0" aboveAverage="0" dxfId="2" text="" percent="0" bottom="0">
      <formula>AND(M191&gt;=5,M191&lt;10)</formula>
    </cfRule>
    <cfRule type="expression" rank="0" priority="766" equalAverage="0" aboveAverage="0" dxfId="3" text="" percent="0" bottom="0">
      <formula>AND(M191&gt;=1,M191&lt;5)</formula>
    </cfRule>
  </conditionalFormatting>
  <conditionalFormatting sqref="M192">
    <cfRule type="expression" rank="0" priority="767" equalAverage="0" aboveAverage="0" dxfId="0" text="" percent="0" bottom="0">
      <formula>M192&gt;=20</formula>
    </cfRule>
    <cfRule type="expression" rank="0" priority="768" equalAverage="0" aboveAverage="0" dxfId="1" text="" percent="0" bottom="0">
      <formula>AND(M192&gt;=10,M192&lt;20)</formula>
    </cfRule>
    <cfRule type="expression" rank="0" priority="769" equalAverage="0" aboveAverage="0" dxfId="2" text="" percent="0" bottom="0">
      <formula>AND(M192&gt;=5,M192&lt;10)</formula>
    </cfRule>
    <cfRule type="expression" rank="0" priority="770" equalAverage="0" aboveAverage="0" dxfId="3" text="" percent="0" bottom="0">
      <formula>AND(M192&gt;=1,M192&lt;5)</formula>
    </cfRule>
  </conditionalFormatting>
  <conditionalFormatting sqref="M193">
    <cfRule type="expression" rank="0" priority="771" equalAverage="0" aboveAverage="0" dxfId="0" text="" percent="0" bottom="0">
      <formula>M193&gt;=20</formula>
    </cfRule>
    <cfRule type="expression" rank="0" priority="772" equalAverage="0" aboveAverage="0" dxfId="1" text="" percent="0" bottom="0">
      <formula>AND(M193&gt;=10,M193&lt;20)</formula>
    </cfRule>
    <cfRule type="expression" rank="0" priority="773" equalAverage="0" aboveAverage="0" dxfId="2" text="" percent="0" bottom="0">
      <formula>AND(M193&gt;=5,M193&lt;10)</formula>
    </cfRule>
    <cfRule type="expression" rank="0" priority="774" equalAverage="0" aboveAverage="0" dxfId="3" text="" percent="0" bottom="0">
      <formula>AND(M193&gt;=1,M193&lt;5)</formula>
    </cfRule>
  </conditionalFormatting>
  <conditionalFormatting sqref="M194">
    <cfRule type="expression" rank="0" priority="775" equalAverage="0" aboveAverage="0" dxfId="0" text="" percent="0" bottom="0">
      <formula>M194&gt;=20</formula>
    </cfRule>
    <cfRule type="expression" rank="0" priority="776" equalAverage="0" aboveAverage="0" dxfId="1" text="" percent="0" bottom="0">
      <formula>AND(M194&gt;=10,M194&lt;20)</formula>
    </cfRule>
    <cfRule type="expression" rank="0" priority="777" equalAverage="0" aboveAverage="0" dxfId="2" text="" percent="0" bottom="0">
      <formula>AND(M194&gt;=5,M194&lt;10)</formula>
    </cfRule>
    <cfRule type="expression" rank="0" priority="778" equalAverage="0" aboveAverage="0" dxfId="3" text="" percent="0" bottom="0">
      <formula>AND(M194&gt;=1,M194&lt;5)</formula>
    </cfRule>
  </conditionalFormatting>
  <conditionalFormatting sqref="M195">
    <cfRule type="expression" rank="0" priority="779" equalAverage="0" aboveAverage="0" dxfId="0" text="" percent="0" bottom="0">
      <formula>M195&gt;=20</formula>
    </cfRule>
    <cfRule type="expression" rank="0" priority="780" equalAverage="0" aboveAverage="0" dxfId="1" text="" percent="0" bottom="0">
      <formula>AND(M195&gt;=10,M195&lt;20)</formula>
    </cfRule>
    <cfRule type="expression" rank="0" priority="781" equalAverage="0" aboveAverage="0" dxfId="2" text="" percent="0" bottom="0">
      <formula>AND(M195&gt;=5,M195&lt;10)</formula>
    </cfRule>
    <cfRule type="expression" rank="0" priority="782" equalAverage="0" aboveAverage="0" dxfId="3" text="" percent="0" bottom="0">
      <formula>AND(M195&gt;=1,M195&lt;5)</formula>
    </cfRule>
  </conditionalFormatting>
  <conditionalFormatting sqref="M196">
    <cfRule type="expression" rank="0" priority="783" equalAverage="0" aboveAverage="0" dxfId="0" text="" percent="0" bottom="0">
      <formula>M196&gt;=20</formula>
    </cfRule>
    <cfRule type="expression" rank="0" priority="784" equalAverage="0" aboveAverage="0" dxfId="1" text="" percent="0" bottom="0">
      <formula>AND(M196&gt;=10,M196&lt;20)</formula>
    </cfRule>
    <cfRule type="expression" rank="0" priority="785" equalAverage="0" aboveAverage="0" dxfId="2" text="" percent="0" bottom="0">
      <formula>AND(M196&gt;=5,M196&lt;10)</formula>
    </cfRule>
    <cfRule type="expression" rank="0" priority="786" equalAverage="0" aboveAverage="0" dxfId="3" text="" percent="0" bottom="0">
      <formula>AND(M196&gt;=1,M196&lt;5)</formula>
    </cfRule>
  </conditionalFormatting>
  <conditionalFormatting sqref="M197">
    <cfRule type="expression" rank="0" priority="787" equalAverage="0" aboveAverage="0" dxfId="0" text="" percent="0" bottom="0">
      <formula>M197&gt;=20</formula>
    </cfRule>
    <cfRule type="expression" rank="0" priority="788" equalAverage="0" aboveAverage="0" dxfId="1" text="" percent="0" bottom="0">
      <formula>AND(M197&gt;=10,M197&lt;20)</formula>
    </cfRule>
    <cfRule type="expression" rank="0" priority="789" equalAverage="0" aboveAverage="0" dxfId="2" text="" percent="0" bottom="0">
      <formula>AND(M197&gt;=5,M197&lt;10)</formula>
    </cfRule>
    <cfRule type="expression" rank="0" priority="790" equalAverage="0" aboveAverage="0" dxfId="3" text="" percent="0" bottom="0">
      <formula>AND(M197&gt;=1,M197&lt;5)</formula>
    </cfRule>
  </conditionalFormatting>
  <conditionalFormatting sqref="M198">
    <cfRule type="expression" rank="0" priority="791" equalAverage="0" aboveAverage="0" dxfId="0" text="" percent="0" bottom="0">
      <formula>M198&gt;=20</formula>
    </cfRule>
    <cfRule type="expression" rank="0" priority="792" equalAverage="0" aboveAverage="0" dxfId="1" text="" percent="0" bottom="0">
      <formula>AND(M198&gt;=10,M198&lt;20)</formula>
    </cfRule>
    <cfRule type="expression" rank="0" priority="793" equalAverage="0" aboveAverage="0" dxfId="2" text="" percent="0" bottom="0">
      <formula>AND(M198&gt;=5,M198&lt;10)</formula>
    </cfRule>
    <cfRule type="expression" rank="0" priority="794" equalAverage="0" aboveAverage="0" dxfId="3" text="" percent="0" bottom="0">
      <formula>AND(M198&gt;=1,M198&lt;5)</formula>
    </cfRule>
  </conditionalFormatting>
  <conditionalFormatting sqref="M199">
    <cfRule type="expression" rank="0" priority="795" equalAverage="0" aboveAverage="0" dxfId="0" text="" percent="0" bottom="0">
      <formula>M199&gt;=20</formula>
    </cfRule>
    <cfRule type="expression" rank="0" priority="796" equalAverage="0" aboveAverage="0" dxfId="1" text="" percent="0" bottom="0">
      <formula>AND(M199&gt;=10,M199&lt;20)</formula>
    </cfRule>
    <cfRule type="expression" rank="0" priority="797" equalAverage="0" aboveAverage="0" dxfId="2" text="" percent="0" bottom="0">
      <formula>AND(M199&gt;=5,M199&lt;10)</formula>
    </cfRule>
    <cfRule type="expression" rank="0" priority="798" equalAverage="0" aboveAverage="0" dxfId="3" text="" percent="0" bottom="0">
      <formula>AND(M199&gt;=1,M199&lt;5)</formula>
    </cfRule>
  </conditionalFormatting>
  <conditionalFormatting sqref="M200">
    <cfRule type="expression" rank="0" priority="799" equalAverage="0" aboveAverage="0" dxfId="0" text="" percent="0" bottom="0">
      <formula>M200&gt;=20</formula>
    </cfRule>
    <cfRule type="expression" rank="0" priority="800" equalAverage="0" aboveAverage="0" dxfId="1" text="" percent="0" bottom="0">
      <formula>AND(M200&gt;=10,M200&lt;20)</formula>
    </cfRule>
    <cfRule type="expression" rank="0" priority="801" equalAverage="0" aboveAverage="0" dxfId="2" text="" percent="0" bottom="0">
      <formula>AND(M200&gt;=5,M200&lt;10)</formula>
    </cfRule>
    <cfRule type="expression" rank="0" priority="802" equalAverage="0" aboveAverage="0" dxfId="3" text="" percent="0" bottom="0">
      <formula>AND(M200&gt;=1,M200&lt;5)</formula>
    </cfRule>
  </conditionalFormatting>
  <conditionalFormatting sqref="M201">
    <cfRule type="expression" rank="0" priority="803" equalAverage="0" aboveAverage="0" dxfId="0" text="" percent="0" bottom="0">
      <formula>M201&gt;=20</formula>
    </cfRule>
    <cfRule type="expression" rank="0" priority="804" equalAverage="0" aboveAverage="0" dxfId="1" text="" percent="0" bottom="0">
      <formula>AND(M201&gt;=10,M201&lt;20)</formula>
    </cfRule>
    <cfRule type="expression" rank="0" priority="805" equalAverage="0" aboveAverage="0" dxfId="2" text="" percent="0" bottom="0">
      <formula>AND(M201&gt;=5,M201&lt;10)</formula>
    </cfRule>
    <cfRule type="expression" rank="0" priority="806" equalAverage="0" aboveAverage="0" dxfId="3" text="" percent="0" bottom="0">
      <formula>AND(M201&gt;=1,M201&lt;5)</formula>
    </cfRule>
  </conditionalFormatting>
  <conditionalFormatting sqref="M202">
    <cfRule type="expression" rank="0" priority="807" equalAverage="0" aboveAverage="0" dxfId="0" text="" percent="0" bottom="0">
      <formula>M202&gt;=20</formula>
    </cfRule>
    <cfRule type="expression" rank="0" priority="808" equalAverage="0" aboveAverage="0" dxfId="1" text="" percent="0" bottom="0">
      <formula>AND(M202&gt;=10,M202&lt;20)</formula>
    </cfRule>
    <cfRule type="expression" rank="0" priority="809" equalAverage="0" aboveAverage="0" dxfId="2" text="" percent="0" bottom="0">
      <formula>AND(M202&gt;=5,M202&lt;10)</formula>
    </cfRule>
    <cfRule type="expression" rank="0" priority="810" equalAverage="0" aboveAverage="0" dxfId="3" text="" percent="0" bottom="0">
      <formula>AND(M202&gt;=1,M202&lt;5)</formula>
    </cfRule>
  </conditionalFormatting>
  <conditionalFormatting sqref="M203">
    <cfRule type="expression" rank="0" priority="811" equalAverage="0" aboveAverage="0" dxfId="0" text="" percent="0" bottom="0">
      <formula>M203&gt;=20</formula>
    </cfRule>
    <cfRule type="expression" rank="0" priority="812" equalAverage="0" aboveAverage="0" dxfId="1" text="" percent="0" bottom="0">
      <formula>AND(M203&gt;=10,M203&lt;20)</formula>
    </cfRule>
    <cfRule type="expression" rank="0" priority="813" equalAverage="0" aboveAverage="0" dxfId="2" text="" percent="0" bottom="0">
      <formula>AND(M203&gt;=5,M203&lt;10)</formula>
    </cfRule>
    <cfRule type="expression" rank="0" priority="814" equalAverage="0" aboveAverage="0" dxfId="3" text="" percent="0" bottom="0">
      <formula>AND(M203&gt;=1,M203&lt;5)</formula>
    </cfRule>
  </conditionalFormatting>
  <conditionalFormatting sqref="M204">
    <cfRule type="expression" rank="0" priority="815" equalAverage="0" aboveAverage="0" dxfId="0" text="" percent="0" bottom="0">
      <formula>M204&gt;=20</formula>
    </cfRule>
    <cfRule type="expression" rank="0" priority="816" equalAverage="0" aboveAverage="0" dxfId="1" text="" percent="0" bottom="0">
      <formula>AND(M204&gt;=10,M204&lt;20)</formula>
    </cfRule>
    <cfRule type="expression" rank="0" priority="817" equalAverage="0" aboveAverage="0" dxfId="2" text="" percent="0" bottom="0">
      <formula>AND(M204&gt;=5,M204&lt;10)</formula>
    </cfRule>
    <cfRule type="expression" rank="0" priority="818" equalAverage="0" aboveAverage="0" dxfId="3" text="" percent="0" bottom="0">
      <formula>AND(M204&gt;=1,M204&lt;5)</formula>
    </cfRule>
  </conditionalFormatting>
  <conditionalFormatting sqref="M205">
    <cfRule type="expression" rank="0" priority="819" equalAverage="0" aboveAverage="0" dxfId="0" text="" percent="0" bottom="0">
      <formula>M205&gt;=20</formula>
    </cfRule>
    <cfRule type="expression" rank="0" priority="820" equalAverage="0" aboveAverage="0" dxfId="1" text="" percent="0" bottom="0">
      <formula>AND(M205&gt;=10,M205&lt;20)</formula>
    </cfRule>
    <cfRule type="expression" rank="0" priority="821" equalAverage="0" aboveAverage="0" dxfId="2" text="" percent="0" bottom="0">
      <formula>AND(M205&gt;=5,M205&lt;10)</formula>
    </cfRule>
    <cfRule type="expression" rank="0" priority="822" equalAverage="0" aboveAverage="0" dxfId="3" text="" percent="0" bottom="0">
      <formula>AND(M205&gt;=1,M205&lt;5)</formula>
    </cfRule>
  </conditionalFormatting>
  <conditionalFormatting sqref="M206">
    <cfRule type="expression" rank="0" priority="823" equalAverage="0" aboveAverage="0" dxfId="0" text="" percent="0" bottom="0">
      <formula>M206&gt;=20</formula>
    </cfRule>
    <cfRule type="expression" rank="0" priority="824" equalAverage="0" aboveAverage="0" dxfId="1" text="" percent="0" bottom="0">
      <formula>AND(M206&gt;=10,M206&lt;20)</formula>
    </cfRule>
    <cfRule type="expression" rank="0" priority="825" equalAverage="0" aboveAverage="0" dxfId="2" text="" percent="0" bottom="0">
      <formula>AND(M206&gt;=5,M206&lt;10)</formula>
    </cfRule>
    <cfRule type="expression" rank="0" priority="826" equalAverage="0" aboveAverage="0" dxfId="3" text="" percent="0" bottom="0">
      <formula>AND(M206&gt;=1,M206&lt;5)</formula>
    </cfRule>
  </conditionalFormatting>
  <conditionalFormatting sqref="M207">
    <cfRule type="expression" rank="0" priority="827" equalAverage="0" aboveAverage="0" dxfId="0" text="" percent="0" bottom="0">
      <formula>M207&gt;=20</formula>
    </cfRule>
    <cfRule type="expression" rank="0" priority="828" equalAverage="0" aboveAverage="0" dxfId="1" text="" percent="0" bottom="0">
      <formula>AND(M207&gt;=10,M207&lt;20)</formula>
    </cfRule>
    <cfRule type="expression" rank="0" priority="829" equalAverage="0" aboveAverage="0" dxfId="2" text="" percent="0" bottom="0">
      <formula>AND(M207&gt;=5,M207&lt;10)</formula>
    </cfRule>
    <cfRule type="expression" rank="0" priority="830" equalAverage="0" aboveAverage="0" dxfId="3" text="" percent="0" bottom="0">
      <formula>AND(M207&gt;=1,M207&lt;5)</formula>
    </cfRule>
  </conditionalFormatting>
  <conditionalFormatting sqref="M208">
    <cfRule type="expression" rank="0" priority="831" equalAverage="0" aboveAverage="0" dxfId="0" text="" percent="0" bottom="0">
      <formula>M208&gt;=20</formula>
    </cfRule>
    <cfRule type="expression" rank="0" priority="832" equalAverage="0" aboveAverage="0" dxfId="1" text="" percent="0" bottom="0">
      <formula>AND(M208&gt;=10,M208&lt;20)</formula>
    </cfRule>
    <cfRule type="expression" rank="0" priority="833" equalAverage="0" aboveAverage="0" dxfId="2" text="" percent="0" bottom="0">
      <formula>AND(M208&gt;=5,M208&lt;10)</formula>
    </cfRule>
    <cfRule type="expression" rank="0" priority="834" equalAverage="0" aboveAverage="0" dxfId="3" text="" percent="0" bottom="0">
      <formula>AND(M208&gt;=1,M208&lt;5)</formula>
    </cfRule>
  </conditionalFormatting>
  <conditionalFormatting sqref="M209">
    <cfRule type="expression" rank="0" priority="835" equalAverage="0" aboveAverage="0" dxfId="0" text="" percent="0" bottom="0">
      <formula>M209&gt;=20</formula>
    </cfRule>
    <cfRule type="expression" rank="0" priority="836" equalAverage="0" aboveAverage="0" dxfId="1" text="" percent="0" bottom="0">
      <formula>AND(M209&gt;=10,M209&lt;20)</formula>
    </cfRule>
    <cfRule type="expression" rank="0" priority="837" equalAverage="0" aboveAverage="0" dxfId="2" text="" percent="0" bottom="0">
      <formula>AND(M209&gt;=5,M209&lt;10)</formula>
    </cfRule>
    <cfRule type="expression" rank="0" priority="838" equalAverage="0" aboveAverage="0" dxfId="3" text="" percent="0" bottom="0">
      <formula>AND(M209&gt;=1,M209&lt;5)</formula>
    </cfRule>
  </conditionalFormatting>
  <conditionalFormatting sqref="M210">
    <cfRule type="expression" rank="0" priority="839" equalAverage="0" aboveAverage="0" dxfId="0" text="" percent="0" bottom="0">
      <formula>M210&gt;=20</formula>
    </cfRule>
    <cfRule type="expression" rank="0" priority="840" equalAverage="0" aboveAverage="0" dxfId="1" text="" percent="0" bottom="0">
      <formula>AND(M210&gt;=10,M210&lt;20)</formula>
    </cfRule>
    <cfRule type="expression" rank="0" priority="841" equalAverage="0" aboveAverage="0" dxfId="2" text="" percent="0" bottom="0">
      <formula>AND(M210&gt;=5,M210&lt;10)</formula>
    </cfRule>
    <cfRule type="expression" rank="0" priority="842" equalAverage="0" aboveAverage="0" dxfId="3" text="" percent="0" bottom="0">
      <formula>AND(M210&gt;=1,M210&lt;5)</formula>
    </cfRule>
  </conditionalFormatting>
  <conditionalFormatting sqref="M211">
    <cfRule type="expression" rank="0" priority="843" equalAverage="0" aboveAverage="0" dxfId="0" text="" percent="0" bottom="0">
      <formula>M211&gt;=20</formula>
    </cfRule>
    <cfRule type="expression" rank="0" priority="844" equalAverage="0" aboveAverage="0" dxfId="1" text="" percent="0" bottom="0">
      <formula>AND(M211&gt;=10,M211&lt;20)</formula>
    </cfRule>
    <cfRule type="expression" rank="0" priority="845" equalAverage="0" aboveAverage="0" dxfId="2" text="" percent="0" bottom="0">
      <formula>AND(M211&gt;=5,M211&lt;10)</formula>
    </cfRule>
    <cfRule type="expression" rank="0" priority="846" equalAverage="0" aboveAverage="0" dxfId="3" text="" percent="0" bottom="0">
      <formula>AND(M211&gt;=1,M211&lt;5)</formula>
    </cfRule>
  </conditionalFormatting>
  <conditionalFormatting sqref="M212">
    <cfRule type="expression" rank="0" priority="847" equalAverage="0" aboveAverage="0" dxfId="0" text="" percent="0" bottom="0">
      <formula>M212&gt;=20</formula>
    </cfRule>
    <cfRule type="expression" rank="0" priority="848" equalAverage="0" aboveAverage="0" dxfId="1" text="" percent="0" bottom="0">
      <formula>AND(M212&gt;=10,M212&lt;20)</formula>
    </cfRule>
    <cfRule type="expression" rank="0" priority="849" equalAverage="0" aboveAverage="0" dxfId="2" text="" percent="0" bottom="0">
      <formula>AND(M212&gt;=5,M212&lt;10)</formula>
    </cfRule>
    <cfRule type="expression" rank="0" priority="850" equalAverage="0" aboveAverage="0" dxfId="3" text="" percent="0" bottom="0">
      <formula>AND(M212&gt;=1,M212&lt;5)</formula>
    </cfRule>
  </conditionalFormatting>
  <conditionalFormatting sqref="M213">
    <cfRule type="expression" rank="0" priority="851" equalAverage="0" aboveAverage="0" dxfId="0" text="" percent="0" bottom="0">
      <formula>M213&gt;=20</formula>
    </cfRule>
    <cfRule type="expression" rank="0" priority="852" equalAverage="0" aboveAverage="0" dxfId="1" text="" percent="0" bottom="0">
      <formula>AND(M213&gt;=10,M213&lt;20)</formula>
    </cfRule>
    <cfRule type="expression" rank="0" priority="853" equalAverage="0" aboveAverage="0" dxfId="2" text="" percent="0" bottom="0">
      <formula>AND(M213&gt;=5,M213&lt;10)</formula>
    </cfRule>
    <cfRule type="expression" rank="0" priority="854" equalAverage="0" aboveAverage="0" dxfId="3" text="" percent="0" bottom="0">
      <formula>AND(M213&gt;=1,M213&lt;5)</formula>
    </cfRule>
  </conditionalFormatting>
  <conditionalFormatting sqref="M214">
    <cfRule type="expression" rank="0" priority="855" equalAverage="0" aboveAverage="0" dxfId="0" text="" percent="0" bottom="0">
      <formula>M214&gt;=20</formula>
    </cfRule>
    <cfRule type="expression" rank="0" priority="856" equalAverage="0" aboveAverage="0" dxfId="1" text="" percent="0" bottom="0">
      <formula>AND(M214&gt;=10,M214&lt;20)</formula>
    </cfRule>
    <cfRule type="expression" rank="0" priority="857" equalAverage="0" aboveAverage="0" dxfId="2" text="" percent="0" bottom="0">
      <formula>AND(M214&gt;=5,M214&lt;10)</formula>
    </cfRule>
    <cfRule type="expression" rank="0" priority="858" equalAverage="0" aboveAverage="0" dxfId="3" text="" percent="0" bottom="0">
      <formula>AND(M214&gt;=1,M214&lt;5)</formula>
    </cfRule>
  </conditionalFormatting>
  <conditionalFormatting sqref="M215">
    <cfRule type="expression" rank="0" priority="859" equalAverage="0" aboveAverage="0" dxfId="0" text="" percent="0" bottom="0">
      <formula>M215&gt;=20</formula>
    </cfRule>
    <cfRule type="expression" rank="0" priority="860" equalAverage="0" aboveAverage="0" dxfId="1" text="" percent="0" bottom="0">
      <formula>AND(M215&gt;=10,M215&lt;20)</formula>
    </cfRule>
    <cfRule type="expression" rank="0" priority="861" equalAverage="0" aboveAverage="0" dxfId="2" text="" percent="0" bottom="0">
      <formula>AND(M215&gt;=5,M215&lt;10)</formula>
    </cfRule>
    <cfRule type="expression" rank="0" priority="862" equalAverage="0" aboveAverage="0" dxfId="3" text="" percent="0" bottom="0">
      <formula>AND(M215&gt;=1,M215&lt;5)</formula>
    </cfRule>
  </conditionalFormatting>
  <conditionalFormatting sqref="M216">
    <cfRule type="expression" rank="0" priority="863" equalAverage="0" aboveAverage="0" dxfId="0" text="" percent="0" bottom="0">
      <formula>M216&gt;=20</formula>
    </cfRule>
    <cfRule type="expression" rank="0" priority="864" equalAverage="0" aboveAverage="0" dxfId="1" text="" percent="0" bottom="0">
      <formula>AND(M216&gt;=10,M216&lt;20)</formula>
    </cfRule>
    <cfRule type="expression" rank="0" priority="865" equalAverage="0" aboveAverage="0" dxfId="2" text="" percent="0" bottom="0">
      <formula>AND(M216&gt;=5,M216&lt;10)</formula>
    </cfRule>
    <cfRule type="expression" rank="0" priority="866" equalAverage="0" aboveAverage="0" dxfId="3" text="" percent="0" bottom="0">
      <formula>AND(M216&gt;=1,M216&lt;5)</formula>
    </cfRule>
  </conditionalFormatting>
  <conditionalFormatting sqref="M217">
    <cfRule type="expression" rank="0" priority="867" equalAverage="0" aboveAverage="0" dxfId="0" text="" percent="0" bottom="0">
      <formula>M217&gt;=20</formula>
    </cfRule>
    <cfRule type="expression" rank="0" priority="868" equalAverage="0" aboveAverage="0" dxfId="1" text="" percent="0" bottom="0">
      <formula>AND(M217&gt;=10,M217&lt;20)</formula>
    </cfRule>
    <cfRule type="expression" rank="0" priority="869" equalAverage="0" aboveAverage="0" dxfId="2" text="" percent="0" bottom="0">
      <formula>AND(M217&gt;=5,M217&lt;10)</formula>
    </cfRule>
    <cfRule type="expression" rank="0" priority="870" equalAverage="0" aboveAverage="0" dxfId="3" text="" percent="0" bottom="0">
      <formula>AND(M217&gt;=1,M217&lt;5)</formula>
    </cfRule>
  </conditionalFormatting>
  <conditionalFormatting sqref="M218">
    <cfRule type="expression" rank="0" priority="871" equalAverage="0" aboveAverage="0" dxfId="0" text="" percent="0" bottom="0">
      <formula>M218&gt;=20</formula>
    </cfRule>
    <cfRule type="expression" rank="0" priority="872" equalAverage="0" aboveAverage="0" dxfId="1" text="" percent="0" bottom="0">
      <formula>AND(M218&gt;=10,M218&lt;20)</formula>
    </cfRule>
    <cfRule type="expression" rank="0" priority="873" equalAverage="0" aboveAverage="0" dxfId="2" text="" percent="0" bottom="0">
      <formula>AND(M218&gt;=5,M218&lt;10)</formula>
    </cfRule>
    <cfRule type="expression" rank="0" priority="874" equalAverage="0" aboveAverage="0" dxfId="3" text="" percent="0" bottom="0">
      <formula>AND(M218&gt;=1,M218&lt;5)</formula>
    </cfRule>
  </conditionalFormatting>
  <conditionalFormatting sqref="M219">
    <cfRule type="expression" rank="0" priority="875" equalAverage="0" aboveAverage="0" dxfId="0" text="" percent="0" bottom="0">
      <formula>M219&gt;=20</formula>
    </cfRule>
    <cfRule type="expression" rank="0" priority="876" equalAverage="0" aboveAverage="0" dxfId="1" text="" percent="0" bottom="0">
      <formula>AND(M219&gt;=10,M219&lt;20)</formula>
    </cfRule>
    <cfRule type="expression" rank="0" priority="877" equalAverage="0" aboveAverage="0" dxfId="2" text="" percent="0" bottom="0">
      <formula>AND(M219&gt;=5,M219&lt;10)</formula>
    </cfRule>
    <cfRule type="expression" rank="0" priority="878" equalAverage="0" aboveAverage="0" dxfId="3" text="" percent="0" bottom="0">
      <formula>AND(M219&gt;=1,M219&lt;5)</formula>
    </cfRule>
  </conditionalFormatting>
  <conditionalFormatting sqref="M220">
    <cfRule type="expression" rank="0" priority="879" equalAverage="0" aboveAverage="0" dxfId="0" text="" percent="0" bottom="0">
      <formula>M220&gt;=20</formula>
    </cfRule>
    <cfRule type="expression" rank="0" priority="880" equalAverage="0" aboveAverage="0" dxfId="1" text="" percent="0" bottom="0">
      <formula>AND(M220&gt;=10,M220&lt;20)</formula>
    </cfRule>
    <cfRule type="expression" rank="0" priority="881" equalAverage="0" aboveAverage="0" dxfId="2" text="" percent="0" bottom="0">
      <formula>AND(M220&gt;=5,M220&lt;10)</formula>
    </cfRule>
    <cfRule type="expression" rank="0" priority="882" equalAverage="0" aboveAverage="0" dxfId="3" text="" percent="0" bottom="0">
      <formula>AND(M220&gt;=1,M220&lt;5)</formula>
    </cfRule>
  </conditionalFormatting>
  <conditionalFormatting sqref="M221">
    <cfRule type="expression" rank="0" priority="883" equalAverage="0" aboveAverage="0" dxfId="0" text="" percent="0" bottom="0">
      <formula>M221&gt;=20</formula>
    </cfRule>
    <cfRule type="expression" rank="0" priority="884" equalAverage="0" aboveAverage="0" dxfId="1" text="" percent="0" bottom="0">
      <formula>AND(M221&gt;=10,M221&lt;20)</formula>
    </cfRule>
    <cfRule type="expression" rank="0" priority="885" equalAverage="0" aboveAverage="0" dxfId="2" text="" percent="0" bottom="0">
      <formula>AND(M221&gt;=5,M221&lt;10)</formula>
    </cfRule>
    <cfRule type="expression" rank="0" priority="886" equalAverage="0" aboveAverage="0" dxfId="3" text="" percent="0" bottom="0">
      <formula>AND(M221&gt;=1,M221&lt;5)</formula>
    </cfRule>
  </conditionalFormatting>
  <conditionalFormatting sqref="M222">
    <cfRule type="expression" rank="0" priority="887" equalAverage="0" aboveAverage="0" dxfId="0" text="" percent="0" bottom="0">
      <formula>M222&gt;=20</formula>
    </cfRule>
    <cfRule type="expression" rank="0" priority="888" equalAverage="0" aboveAverage="0" dxfId="1" text="" percent="0" bottom="0">
      <formula>AND(M222&gt;=10,M222&lt;20)</formula>
    </cfRule>
    <cfRule type="expression" rank="0" priority="889" equalAverage="0" aboveAverage="0" dxfId="2" text="" percent="0" bottom="0">
      <formula>AND(M222&gt;=5,M222&lt;10)</formula>
    </cfRule>
    <cfRule type="expression" rank="0" priority="890" equalAverage="0" aboveAverage="0" dxfId="3" text="" percent="0" bottom="0">
      <formula>AND(M222&gt;=1,M222&lt;5)</formula>
    </cfRule>
  </conditionalFormatting>
  <conditionalFormatting sqref="M223">
    <cfRule type="expression" rank="0" priority="891" equalAverage="0" aboveAverage="0" dxfId="0" text="" percent="0" bottom="0">
      <formula>M223&gt;=20</formula>
    </cfRule>
    <cfRule type="expression" rank="0" priority="892" equalAverage="0" aboveAverage="0" dxfId="1" text="" percent="0" bottom="0">
      <formula>AND(M223&gt;=10,M223&lt;20)</formula>
    </cfRule>
    <cfRule type="expression" rank="0" priority="893" equalAverage="0" aboveAverage="0" dxfId="2" text="" percent="0" bottom="0">
      <formula>AND(M223&gt;=5,M223&lt;10)</formula>
    </cfRule>
    <cfRule type="expression" rank="0" priority="894" equalAverage="0" aboveAverage="0" dxfId="3" text="" percent="0" bottom="0">
      <formula>AND(M223&gt;=1,M223&lt;5)</formula>
    </cfRule>
  </conditionalFormatting>
  <conditionalFormatting sqref="M224">
    <cfRule type="expression" rank="0" priority="895" equalAverage="0" aboveAverage="0" dxfId="0" text="" percent="0" bottom="0">
      <formula>M224&gt;=20</formula>
    </cfRule>
    <cfRule type="expression" rank="0" priority="896" equalAverage="0" aboveAverage="0" dxfId="1" text="" percent="0" bottom="0">
      <formula>AND(M224&gt;=10,M224&lt;20)</formula>
    </cfRule>
    <cfRule type="expression" rank="0" priority="897" equalAverage="0" aboveAverage="0" dxfId="2" text="" percent="0" bottom="0">
      <formula>AND(M224&gt;=5,M224&lt;10)</formula>
    </cfRule>
    <cfRule type="expression" rank="0" priority="898" equalAverage="0" aboveAverage="0" dxfId="3" text="" percent="0" bottom="0">
      <formula>AND(M224&gt;=1,M224&lt;5)</formula>
    </cfRule>
  </conditionalFormatting>
  <conditionalFormatting sqref="M225">
    <cfRule type="expression" rank="0" priority="899" equalAverage="0" aboveAverage="0" dxfId="0" text="" percent="0" bottom="0">
      <formula>M225&gt;=20</formula>
    </cfRule>
    <cfRule type="expression" rank="0" priority="900" equalAverage="0" aboveAverage="0" dxfId="1" text="" percent="0" bottom="0">
      <formula>AND(M225&gt;=10,M225&lt;20)</formula>
    </cfRule>
    <cfRule type="expression" rank="0" priority="901" equalAverage="0" aboveAverage="0" dxfId="2" text="" percent="0" bottom="0">
      <formula>AND(M225&gt;=5,M225&lt;10)</formula>
    </cfRule>
    <cfRule type="expression" rank="0" priority="902" equalAverage="0" aboveAverage="0" dxfId="3" text="" percent="0" bottom="0">
      <formula>AND(M225&gt;=1,M225&lt;5)</formula>
    </cfRule>
  </conditionalFormatting>
  <conditionalFormatting sqref="M226">
    <cfRule type="expression" rank="0" priority="903" equalAverage="0" aboveAverage="0" dxfId="0" text="" percent="0" bottom="0">
      <formula>M226&gt;=20</formula>
    </cfRule>
    <cfRule type="expression" rank="0" priority="904" equalAverage="0" aboveAverage="0" dxfId="1" text="" percent="0" bottom="0">
      <formula>AND(M226&gt;=10,M226&lt;20)</formula>
    </cfRule>
    <cfRule type="expression" rank="0" priority="905" equalAverage="0" aboveAverage="0" dxfId="2" text="" percent="0" bottom="0">
      <formula>AND(M226&gt;=5,M226&lt;10)</formula>
    </cfRule>
    <cfRule type="expression" rank="0" priority="906" equalAverage="0" aboveAverage="0" dxfId="3" text="" percent="0" bottom="0">
      <formula>AND(M226&gt;=1,M226&lt;5)</formula>
    </cfRule>
  </conditionalFormatting>
  <conditionalFormatting sqref="M227">
    <cfRule type="expression" rank="0" priority="907" equalAverage="0" aboveAverage="0" dxfId="0" text="" percent="0" bottom="0">
      <formula>M227&gt;=20</formula>
    </cfRule>
    <cfRule type="expression" rank="0" priority="908" equalAverage="0" aboveAverage="0" dxfId="1" text="" percent="0" bottom="0">
      <formula>AND(M227&gt;=10,M227&lt;20)</formula>
    </cfRule>
    <cfRule type="expression" rank="0" priority="909" equalAverage="0" aboveAverage="0" dxfId="2" text="" percent="0" bottom="0">
      <formula>AND(M227&gt;=5,M227&lt;10)</formula>
    </cfRule>
    <cfRule type="expression" rank="0" priority="910" equalAverage="0" aboveAverage="0" dxfId="3" text="" percent="0" bottom="0">
      <formula>AND(M227&gt;=1,M227&lt;5)</formula>
    </cfRule>
  </conditionalFormatting>
  <conditionalFormatting sqref="M228">
    <cfRule type="expression" rank="0" priority="911" equalAverage="0" aboveAverage="0" dxfId="0" text="" percent="0" bottom="0">
      <formula>M228&gt;=20</formula>
    </cfRule>
    <cfRule type="expression" rank="0" priority="912" equalAverage="0" aboveAverage="0" dxfId="1" text="" percent="0" bottom="0">
      <formula>AND(M228&gt;=10,M228&lt;20)</formula>
    </cfRule>
    <cfRule type="expression" rank="0" priority="913" equalAverage="0" aboveAverage="0" dxfId="2" text="" percent="0" bottom="0">
      <formula>AND(M228&gt;=5,M228&lt;10)</formula>
    </cfRule>
    <cfRule type="expression" rank="0" priority="914" equalAverage="0" aboveAverage="0" dxfId="3" text="" percent="0" bottom="0">
      <formula>AND(M228&gt;=1,M228&lt;5)</formula>
    </cfRule>
  </conditionalFormatting>
  <conditionalFormatting sqref="M229">
    <cfRule type="expression" rank="0" priority="915" equalAverage="0" aboveAverage="0" dxfId="0" text="" percent="0" bottom="0">
      <formula>M229&gt;=20</formula>
    </cfRule>
    <cfRule type="expression" rank="0" priority="916" equalAverage="0" aboveAverage="0" dxfId="1" text="" percent="0" bottom="0">
      <formula>AND(M229&gt;=10,M229&lt;20)</formula>
    </cfRule>
    <cfRule type="expression" rank="0" priority="917" equalAverage="0" aboveAverage="0" dxfId="2" text="" percent="0" bottom="0">
      <formula>AND(M229&gt;=5,M229&lt;10)</formula>
    </cfRule>
    <cfRule type="expression" rank="0" priority="918" equalAverage="0" aboveAverage="0" dxfId="3" text="" percent="0" bottom="0">
      <formula>AND(M229&gt;=1,M229&lt;5)</formula>
    </cfRule>
  </conditionalFormatting>
  <conditionalFormatting sqref="M230">
    <cfRule type="expression" rank="0" priority="919" equalAverage="0" aboveAverage="0" dxfId="0" text="" percent="0" bottom="0">
      <formula>M230&gt;=20</formula>
    </cfRule>
    <cfRule type="expression" rank="0" priority="920" equalAverage="0" aboveAverage="0" dxfId="1" text="" percent="0" bottom="0">
      <formula>AND(M230&gt;=10,M230&lt;20)</formula>
    </cfRule>
    <cfRule type="expression" rank="0" priority="921" equalAverage="0" aboveAverage="0" dxfId="2" text="" percent="0" bottom="0">
      <formula>AND(M230&gt;=5,M230&lt;10)</formula>
    </cfRule>
    <cfRule type="expression" rank="0" priority="922" equalAverage="0" aboveAverage="0" dxfId="3" text="" percent="0" bottom="0">
      <formula>AND(M230&gt;=1,M230&lt;5)</formula>
    </cfRule>
  </conditionalFormatting>
  <conditionalFormatting sqref="M231">
    <cfRule type="expression" rank="0" priority="923" equalAverage="0" aboveAverage="0" dxfId="0" text="" percent="0" bottom="0">
      <formula>M231&gt;=20</formula>
    </cfRule>
    <cfRule type="expression" rank="0" priority="924" equalAverage="0" aboveAverage="0" dxfId="1" text="" percent="0" bottom="0">
      <formula>AND(M231&gt;=10,M231&lt;20)</formula>
    </cfRule>
    <cfRule type="expression" rank="0" priority="925" equalAverage="0" aboveAverage="0" dxfId="2" text="" percent="0" bottom="0">
      <formula>AND(M231&gt;=5,M231&lt;10)</formula>
    </cfRule>
    <cfRule type="expression" rank="0" priority="926" equalAverage="0" aboveAverage="0" dxfId="3" text="" percent="0" bottom="0">
      <formula>AND(M231&gt;=1,M231&lt;5)</formula>
    </cfRule>
  </conditionalFormatting>
  <conditionalFormatting sqref="M232">
    <cfRule type="expression" rank="0" priority="927" equalAverage="0" aboveAverage="0" dxfId="0" text="" percent="0" bottom="0">
      <formula>M232&gt;=20</formula>
    </cfRule>
    <cfRule type="expression" rank="0" priority="928" equalAverage="0" aboveAverage="0" dxfId="1" text="" percent="0" bottom="0">
      <formula>AND(M232&gt;=10,M232&lt;20)</formula>
    </cfRule>
    <cfRule type="expression" rank="0" priority="929" equalAverage="0" aboveAverage="0" dxfId="2" text="" percent="0" bottom="0">
      <formula>AND(M232&gt;=5,M232&lt;10)</formula>
    </cfRule>
    <cfRule type="expression" rank="0" priority="930" equalAverage="0" aboveAverage="0" dxfId="3" text="" percent="0" bottom="0">
      <formula>AND(M232&gt;=1,M232&lt;5)</formula>
    </cfRule>
  </conditionalFormatting>
  <conditionalFormatting sqref="M233">
    <cfRule type="expression" rank="0" priority="931" equalAverage="0" aboveAverage="0" dxfId="0" text="" percent="0" bottom="0">
      <formula>M233&gt;=20</formula>
    </cfRule>
    <cfRule type="expression" rank="0" priority="932" equalAverage="0" aboveAverage="0" dxfId="1" text="" percent="0" bottom="0">
      <formula>AND(M233&gt;=10,M233&lt;20)</formula>
    </cfRule>
    <cfRule type="expression" rank="0" priority="933" equalAverage="0" aboveAverage="0" dxfId="2" text="" percent="0" bottom="0">
      <formula>AND(M233&gt;=5,M233&lt;10)</formula>
    </cfRule>
    <cfRule type="expression" rank="0" priority="934" equalAverage="0" aboveAverage="0" dxfId="3" text="" percent="0" bottom="0">
      <formula>AND(M233&gt;=1,M233&lt;5)</formula>
    </cfRule>
  </conditionalFormatting>
  <conditionalFormatting sqref="M234">
    <cfRule type="expression" rank="0" priority="935" equalAverage="0" aboveAverage="0" dxfId="0" text="" percent="0" bottom="0">
      <formula>M234&gt;=20</formula>
    </cfRule>
    <cfRule type="expression" rank="0" priority="936" equalAverage="0" aboveAverage="0" dxfId="1" text="" percent="0" bottom="0">
      <formula>AND(M234&gt;=10,M234&lt;20)</formula>
    </cfRule>
    <cfRule type="expression" rank="0" priority="937" equalAverage="0" aboveAverage="0" dxfId="2" text="" percent="0" bottom="0">
      <formula>AND(M234&gt;=5,M234&lt;10)</formula>
    </cfRule>
    <cfRule type="expression" rank="0" priority="938" equalAverage="0" aboveAverage="0" dxfId="3" text="" percent="0" bottom="0">
      <formula>AND(M234&gt;=1,M234&lt;5)</formula>
    </cfRule>
  </conditionalFormatting>
  <conditionalFormatting sqref="M235">
    <cfRule type="expression" rank="0" priority="939" equalAverage="0" aboveAverage="0" dxfId="0" text="" percent="0" bottom="0">
      <formula>M235&gt;=20</formula>
    </cfRule>
    <cfRule type="expression" rank="0" priority="940" equalAverage="0" aboveAverage="0" dxfId="1" text="" percent="0" bottom="0">
      <formula>AND(M235&gt;=10,M235&lt;20)</formula>
    </cfRule>
    <cfRule type="expression" rank="0" priority="941" equalAverage="0" aboveAverage="0" dxfId="2" text="" percent="0" bottom="0">
      <formula>AND(M235&gt;=5,M235&lt;10)</formula>
    </cfRule>
    <cfRule type="expression" rank="0" priority="942" equalAverage="0" aboveAverage="0" dxfId="3" text="" percent="0" bottom="0">
      <formula>AND(M235&gt;=1,M235&lt;5)</formula>
    </cfRule>
  </conditionalFormatting>
  <conditionalFormatting sqref="M236">
    <cfRule type="expression" rank="0" priority="943" equalAverage="0" aboveAverage="0" dxfId="0" text="" percent="0" bottom="0">
      <formula>M236&gt;=20</formula>
    </cfRule>
    <cfRule type="expression" rank="0" priority="944" equalAverage="0" aboveAverage="0" dxfId="1" text="" percent="0" bottom="0">
      <formula>AND(M236&gt;=10,M236&lt;20)</formula>
    </cfRule>
    <cfRule type="expression" rank="0" priority="945" equalAverage="0" aboveAverage="0" dxfId="2" text="" percent="0" bottom="0">
      <formula>AND(M236&gt;=5,M236&lt;10)</formula>
    </cfRule>
    <cfRule type="expression" rank="0" priority="946" equalAverage="0" aboveAverage="0" dxfId="3" text="" percent="0" bottom="0">
      <formula>AND(M236&gt;=1,M236&lt;5)</formula>
    </cfRule>
  </conditionalFormatting>
  <conditionalFormatting sqref="M237">
    <cfRule type="expression" rank="0" priority="947" equalAverage="0" aboveAverage="0" dxfId="0" text="" percent="0" bottom="0">
      <formula>M237&gt;=20</formula>
    </cfRule>
    <cfRule type="expression" rank="0" priority="948" equalAverage="0" aboveAverage="0" dxfId="1" text="" percent="0" bottom="0">
      <formula>AND(M237&gt;=10,M237&lt;20)</formula>
    </cfRule>
    <cfRule type="expression" rank="0" priority="949" equalAverage="0" aboveAverage="0" dxfId="2" text="" percent="0" bottom="0">
      <formula>AND(M237&gt;=5,M237&lt;10)</formula>
    </cfRule>
    <cfRule type="expression" rank="0" priority="950" equalAverage="0" aboveAverage="0" dxfId="3" text="" percent="0" bottom="0">
      <formula>AND(M237&gt;=1,M237&lt;5)</formula>
    </cfRule>
  </conditionalFormatting>
  <conditionalFormatting sqref="M238">
    <cfRule type="expression" rank="0" priority="951" equalAverage="0" aboveAverage="0" dxfId="0" text="" percent="0" bottom="0">
      <formula>M238&gt;=20</formula>
    </cfRule>
    <cfRule type="expression" rank="0" priority="952" equalAverage="0" aboveAverage="0" dxfId="1" text="" percent="0" bottom="0">
      <formula>AND(M238&gt;=10,M238&lt;20)</formula>
    </cfRule>
    <cfRule type="expression" rank="0" priority="953" equalAverage="0" aboveAverage="0" dxfId="2" text="" percent="0" bottom="0">
      <formula>AND(M238&gt;=5,M238&lt;10)</formula>
    </cfRule>
    <cfRule type="expression" rank="0" priority="954" equalAverage="0" aboveAverage="0" dxfId="3" text="" percent="0" bottom="0">
      <formula>AND(M238&gt;=1,M238&lt;5)</formula>
    </cfRule>
  </conditionalFormatting>
  <conditionalFormatting sqref="M239">
    <cfRule type="expression" rank="0" priority="955" equalAverage="0" aboveAverage="0" dxfId="0" text="" percent="0" bottom="0">
      <formula>M239&gt;=20</formula>
    </cfRule>
    <cfRule type="expression" rank="0" priority="956" equalAverage="0" aboveAverage="0" dxfId="1" text="" percent="0" bottom="0">
      <formula>AND(M239&gt;=10,M239&lt;20)</formula>
    </cfRule>
    <cfRule type="expression" rank="0" priority="957" equalAverage="0" aboveAverage="0" dxfId="2" text="" percent="0" bottom="0">
      <formula>AND(M239&gt;=5,M239&lt;10)</formula>
    </cfRule>
    <cfRule type="expression" rank="0" priority="958" equalAverage="0" aboveAverage="0" dxfId="3" text="" percent="0" bottom="0">
      <formula>AND(M239&gt;=1,M239&lt;5)</formula>
    </cfRule>
  </conditionalFormatting>
  <conditionalFormatting sqref="M240">
    <cfRule type="expression" rank="0" priority="959" equalAverage="0" aboveAverage="0" dxfId="0" text="" percent="0" bottom="0">
      <formula>M240&gt;=20</formula>
    </cfRule>
    <cfRule type="expression" rank="0" priority="960" equalAverage="0" aboveAverage="0" dxfId="1" text="" percent="0" bottom="0">
      <formula>AND(M240&gt;=10,M240&lt;20)</formula>
    </cfRule>
    <cfRule type="expression" rank="0" priority="961" equalAverage="0" aboveAverage="0" dxfId="2" text="" percent="0" bottom="0">
      <formula>AND(M240&gt;=5,M240&lt;10)</formula>
    </cfRule>
    <cfRule type="expression" rank="0" priority="962" equalAverage="0" aboveAverage="0" dxfId="3" text="" percent="0" bottom="0">
      <formula>AND(M240&gt;=1,M240&lt;5)</formula>
    </cfRule>
  </conditionalFormatting>
  <conditionalFormatting sqref="M241">
    <cfRule type="expression" rank="0" priority="963" equalAverage="0" aboveAverage="0" dxfId="0" text="" percent="0" bottom="0">
      <formula>M241&gt;=20</formula>
    </cfRule>
    <cfRule type="expression" rank="0" priority="964" equalAverage="0" aboveAverage="0" dxfId="1" text="" percent="0" bottom="0">
      <formula>AND(M241&gt;=10,M241&lt;20)</formula>
    </cfRule>
    <cfRule type="expression" rank="0" priority="965" equalAverage="0" aboveAverage="0" dxfId="2" text="" percent="0" bottom="0">
      <formula>AND(M241&gt;=5,M241&lt;10)</formula>
    </cfRule>
    <cfRule type="expression" rank="0" priority="966" equalAverage="0" aboveAverage="0" dxfId="3" text="" percent="0" bottom="0">
      <formula>AND(M241&gt;=1,M241&lt;5)</formula>
    </cfRule>
  </conditionalFormatting>
  <conditionalFormatting sqref="M242">
    <cfRule type="expression" rank="0" priority="967" equalAverage="0" aboveAverage="0" dxfId="0" text="" percent="0" bottom="0">
      <formula>M242&gt;=20</formula>
    </cfRule>
    <cfRule type="expression" rank="0" priority="968" equalAverage="0" aboveAverage="0" dxfId="1" text="" percent="0" bottom="0">
      <formula>AND(M242&gt;=10,M242&lt;20)</formula>
    </cfRule>
    <cfRule type="expression" rank="0" priority="969" equalAverage="0" aboveAverage="0" dxfId="2" text="" percent="0" bottom="0">
      <formula>AND(M242&gt;=5,M242&lt;10)</formula>
    </cfRule>
    <cfRule type="expression" rank="0" priority="970" equalAverage="0" aboveAverage="0" dxfId="3" text="" percent="0" bottom="0">
      <formula>AND(M242&gt;=1,M242&lt;5)</formula>
    </cfRule>
  </conditionalFormatting>
  <conditionalFormatting sqref="M243">
    <cfRule type="expression" rank="0" priority="971" equalAverage="0" aboveAverage="0" dxfId="0" text="" percent="0" bottom="0">
      <formula>M243&gt;=20</formula>
    </cfRule>
    <cfRule type="expression" rank="0" priority="972" equalAverage="0" aboveAverage="0" dxfId="1" text="" percent="0" bottom="0">
      <formula>AND(M243&gt;=10,M243&lt;20)</formula>
    </cfRule>
    <cfRule type="expression" rank="0" priority="973" equalAverage="0" aboveAverage="0" dxfId="2" text="" percent="0" bottom="0">
      <formula>AND(M243&gt;=5,M243&lt;10)</formula>
    </cfRule>
    <cfRule type="expression" rank="0" priority="974" equalAverage="0" aboveAverage="0" dxfId="3" text="" percent="0" bottom="0">
      <formula>AND(M243&gt;=1,M243&lt;5)</formula>
    </cfRule>
  </conditionalFormatting>
  <conditionalFormatting sqref="M244">
    <cfRule type="expression" rank="0" priority="975" equalAverage="0" aboveAverage="0" dxfId="0" text="" percent="0" bottom="0">
      <formula>M244&gt;=20</formula>
    </cfRule>
    <cfRule type="expression" rank="0" priority="976" equalAverage="0" aboveAverage="0" dxfId="1" text="" percent="0" bottom="0">
      <formula>AND(M244&gt;=10,M244&lt;20)</formula>
    </cfRule>
    <cfRule type="expression" rank="0" priority="977" equalAverage="0" aboveAverage="0" dxfId="2" text="" percent="0" bottom="0">
      <formula>AND(M244&gt;=5,M244&lt;10)</formula>
    </cfRule>
    <cfRule type="expression" rank="0" priority="978" equalAverage="0" aboveAverage="0" dxfId="3" text="" percent="0" bottom="0">
      <formula>AND(M244&gt;=1,M244&lt;5)</formula>
    </cfRule>
  </conditionalFormatting>
  <conditionalFormatting sqref="M245">
    <cfRule type="expression" rank="0" priority="979" equalAverage="0" aboveAverage="0" dxfId="0" text="" percent="0" bottom="0">
      <formula>M245&gt;=20</formula>
    </cfRule>
    <cfRule type="expression" rank="0" priority="980" equalAverage="0" aboveAverage="0" dxfId="1" text="" percent="0" bottom="0">
      <formula>AND(M245&gt;=10,M245&lt;20)</formula>
    </cfRule>
    <cfRule type="expression" rank="0" priority="981" equalAverage="0" aboveAverage="0" dxfId="2" text="" percent="0" bottom="0">
      <formula>AND(M245&gt;=5,M245&lt;10)</formula>
    </cfRule>
    <cfRule type="expression" rank="0" priority="982" equalAverage="0" aboveAverage="0" dxfId="3" text="" percent="0" bottom="0">
      <formula>AND(M245&gt;=1,M245&lt;5)</formula>
    </cfRule>
  </conditionalFormatting>
  <conditionalFormatting sqref="M246">
    <cfRule type="expression" rank="0" priority="983" equalAverage="0" aboveAverage="0" dxfId="0" text="" percent="0" bottom="0">
      <formula>M246&gt;=20</formula>
    </cfRule>
    <cfRule type="expression" rank="0" priority="984" equalAverage="0" aboveAverage="0" dxfId="1" text="" percent="0" bottom="0">
      <formula>AND(M246&gt;=10,M246&lt;20)</formula>
    </cfRule>
    <cfRule type="expression" rank="0" priority="985" equalAverage="0" aboveAverage="0" dxfId="2" text="" percent="0" bottom="0">
      <formula>AND(M246&gt;=5,M246&lt;10)</formula>
    </cfRule>
    <cfRule type="expression" rank="0" priority="986" equalAverage="0" aboveAverage="0" dxfId="3" text="" percent="0" bottom="0">
      <formula>AND(M246&gt;=1,M246&lt;5)</formula>
    </cfRule>
  </conditionalFormatting>
  <conditionalFormatting sqref="M247">
    <cfRule type="expression" rank="0" priority="987" equalAverage="0" aboveAverage="0" dxfId="0" text="" percent="0" bottom="0">
      <formula>M247&gt;=20</formula>
    </cfRule>
    <cfRule type="expression" rank="0" priority="988" equalAverage="0" aboveAverage="0" dxfId="1" text="" percent="0" bottom="0">
      <formula>AND(M247&gt;=10,M247&lt;20)</formula>
    </cfRule>
    <cfRule type="expression" rank="0" priority="989" equalAverage="0" aboveAverage="0" dxfId="2" text="" percent="0" bottom="0">
      <formula>AND(M247&gt;=5,M247&lt;10)</formula>
    </cfRule>
    <cfRule type="expression" rank="0" priority="990" equalAverage="0" aboveAverage="0" dxfId="3" text="" percent="0" bottom="0">
      <formula>AND(M247&gt;=1,M247&lt;5)</formula>
    </cfRule>
  </conditionalFormatting>
  <conditionalFormatting sqref="M248">
    <cfRule type="expression" rank="0" priority="991" equalAverage="0" aboveAverage="0" dxfId="0" text="" percent="0" bottom="0">
      <formula>M248&gt;=20</formula>
    </cfRule>
    <cfRule type="expression" rank="0" priority="992" equalAverage="0" aboveAverage="0" dxfId="1" text="" percent="0" bottom="0">
      <formula>AND(M248&gt;=10,M248&lt;20)</formula>
    </cfRule>
    <cfRule type="expression" rank="0" priority="993" equalAverage="0" aboveAverage="0" dxfId="2" text="" percent="0" bottom="0">
      <formula>AND(M248&gt;=5,M248&lt;10)</formula>
    </cfRule>
    <cfRule type="expression" rank="0" priority="994" equalAverage="0" aboveAverage="0" dxfId="3" text="" percent="0" bottom="0">
      <formula>AND(M248&gt;=1,M248&lt;5)</formula>
    </cfRule>
  </conditionalFormatting>
  <conditionalFormatting sqref="M249">
    <cfRule type="expression" rank="0" priority="995" equalAverage="0" aboveAverage="0" dxfId="0" text="" percent="0" bottom="0">
      <formula>M249&gt;=20</formula>
    </cfRule>
    <cfRule type="expression" rank="0" priority="996" equalAverage="0" aboveAverage="0" dxfId="1" text="" percent="0" bottom="0">
      <formula>AND(M249&gt;=10,M249&lt;20)</formula>
    </cfRule>
    <cfRule type="expression" rank="0" priority="997" equalAverage="0" aboveAverage="0" dxfId="2" text="" percent="0" bottom="0">
      <formula>AND(M249&gt;=5,M249&lt;10)</formula>
    </cfRule>
    <cfRule type="expression" rank="0" priority="998" equalAverage="0" aboveAverage="0" dxfId="3" text="" percent="0" bottom="0">
      <formula>AND(M249&gt;=1,M249&lt;5)</formula>
    </cfRule>
  </conditionalFormatting>
  <conditionalFormatting sqref="M250">
    <cfRule type="expression" rank="0" priority="999" equalAverage="0" aboveAverage="0" dxfId="0" text="" percent="0" bottom="0">
      <formula>M250&gt;=20</formula>
    </cfRule>
    <cfRule type="expression" rank="0" priority="1000" equalAverage="0" aboveAverage="0" dxfId="1" text="" percent="0" bottom="0">
      <formula>AND(M250&gt;=10,M250&lt;20)</formula>
    </cfRule>
    <cfRule type="expression" rank="0" priority="1001" equalAverage="0" aboveAverage="0" dxfId="2" text="" percent="0" bottom="0">
      <formula>AND(M250&gt;=5,M250&lt;10)</formula>
    </cfRule>
    <cfRule type="expression" rank="0" priority="1002" equalAverage="0" aboveAverage="0" dxfId="3" text="" percent="0" bottom="0">
      <formula>AND(M250&gt;=1,M250&lt;5)</formula>
    </cfRule>
  </conditionalFormatting>
  <conditionalFormatting sqref="M251">
    <cfRule type="expression" rank="0" priority="1003" equalAverage="0" aboveAverage="0" dxfId="0" text="" percent="0" bottom="0">
      <formula>M251&gt;=20</formula>
    </cfRule>
    <cfRule type="expression" rank="0" priority="1004" equalAverage="0" aboveAverage="0" dxfId="1" text="" percent="0" bottom="0">
      <formula>AND(M251&gt;=10,M251&lt;20)</formula>
    </cfRule>
    <cfRule type="expression" rank="0" priority="1005" equalAverage="0" aboveAverage="0" dxfId="2" text="" percent="0" bottom="0">
      <formula>AND(M251&gt;=5,M251&lt;10)</formula>
    </cfRule>
    <cfRule type="expression" rank="0" priority="1006" equalAverage="0" aboveAverage="0" dxfId="3" text="" percent="0" bottom="0">
      <formula>AND(M251&gt;=1,M251&lt;5)</formula>
    </cfRule>
  </conditionalFormatting>
  <conditionalFormatting sqref="M252">
    <cfRule type="expression" rank="0" priority="1007" equalAverage="0" aboveAverage="0" dxfId="0" text="" percent="0" bottom="0">
      <formula>M252&gt;=20</formula>
    </cfRule>
    <cfRule type="expression" rank="0" priority="1008" equalAverage="0" aboveAverage="0" dxfId="1" text="" percent="0" bottom="0">
      <formula>AND(M252&gt;=10,M252&lt;20)</formula>
    </cfRule>
    <cfRule type="expression" rank="0" priority="1009" equalAverage="0" aboveAverage="0" dxfId="2" text="" percent="0" bottom="0">
      <formula>AND(M252&gt;=5,M252&lt;10)</formula>
    </cfRule>
    <cfRule type="expression" rank="0" priority="1010" equalAverage="0" aboveAverage="0" dxfId="3" text="" percent="0" bottom="0">
      <formula>AND(M252&gt;=1,M252&lt;5)</formula>
    </cfRule>
  </conditionalFormatting>
  <conditionalFormatting sqref="M253">
    <cfRule type="expression" rank="0" priority="1011" equalAverage="0" aboveAverage="0" dxfId="0" text="" percent="0" bottom="0">
      <formula>M253&gt;=20</formula>
    </cfRule>
    <cfRule type="expression" rank="0" priority="1012" equalAverage="0" aboveAverage="0" dxfId="1" text="" percent="0" bottom="0">
      <formula>AND(M253&gt;=10,M253&lt;20)</formula>
    </cfRule>
    <cfRule type="expression" rank="0" priority="1013" equalAverage="0" aboveAverage="0" dxfId="2" text="" percent="0" bottom="0">
      <formula>AND(M253&gt;=5,M253&lt;10)</formula>
    </cfRule>
    <cfRule type="expression" rank="0" priority="1014" equalAverage="0" aboveAverage="0" dxfId="3" text="" percent="0" bottom="0">
      <formula>AND(M253&gt;=1,M253&lt;5)</formula>
    </cfRule>
  </conditionalFormatting>
  <conditionalFormatting sqref="M254">
    <cfRule type="expression" rank="0" priority="1015" equalAverage="0" aboveAverage="0" dxfId="0" text="" percent="0" bottom="0">
      <formula>M254&gt;=20</formula>
    </cfRule>
    <cfRule type="expression" rank="0" priority="1016" equalAverage="0" aboveAverage="0" dxfId="1" text="" percent="0" bottom="0">
      <formula>AND(M254&gt;=10,M254&lt;20)</formula>
    </cfRule>
    <cfRule type="expression" rank="0" priority="1017" equalAverage="0" aboveAverage="0" dxfId="2" text="" percent="0" bottom="0">
      <formula>AND(M254&gt;=5,M254&lt;10)</formula>
    </cfRule>
    <cfRule type="expression" rank="0" priority="1018" equalAverage="0" aboveAverage="0" dxfId="3" text="" percent="0" bottom="0">
      <formula>AND(M254&gt;=1,M254&lt;5)</formula>
    </cfRule>
  </conditionalFormatting>
  <conditionalFormatting sqref="M255">
    <cfRule type="expression" rank="0" priority="1019" equalAverage="0" aboveAverage="0" dxfId="0" text="" percent="0" bottom="0">
      <formula>M255&gt;=20</formula>
    </cfRule>
    <cfRule type="expression" rank="0" priority="1020" equalAverage="0" aboveAverage="0" dxfId="1" text="" percent="0" bottom="0">
      <formula>AND(M255&gt;=10,M255&lt;20)</formula>
    </cfRule>
    <cfRule type="expression" rank="0" priority="1021" equalAverage="0" aboveAverage="0" dxfId="2" text="" percent="0" bottom="0">
      <formula>AND(M255&gt;=5,M255&lt;10)</formula>
    </cfRule>
    <cfRule type="expression" rank="0" priority="1022" equalAverage="0" aboveAverage="0" dxfId="3" text="" percent="0" bottom="0">
      <formula>AND(M255&gt;=1,M255&lt;5)</formula>
    </cfRule>
  </conditionalFormatting>
  <conditionalFormatting sqref="M256">
    <cfRule type="expression" rank="0" priority="1023" equalAverage="0" aboveAverage="0" dxfId="0" text="" percent="0" bottom="0">
      <formula>M256&gt;=20</formula>
    </cfRule>
    <cfRule type="expression" rank="0" priority="1024" equalAverage="0" aboveAverage="0" dxfId="1" text="" percent="0" bottom="0">
      <formula>AND(M256&gt;=10,M256&lt;20)</formula>
    </cfRule>
    <cfRule type="expression" rank="0" priority="1025" equalAverage="0" aboveAverage="0" dxfId="2" text="" percent="0" bottom="0">
      <formula>AND(M256&gt;=5,M256&lt;10)</formula>
    </cfRule>
    <cfRule type="expression" rank="0" priority="1026" equalAverage="0" aboveAverage="0" dxfId="3" text="" percent="0" bottom="0">
      <formula>AND(M256&gt;=1,M256&lt;5)</formula>
    </cfRule>
  </conditionalFormatting>
  <conditionalFormatting sqref="M257">
    <cfRule type="expression" rank="0" priority="1027" equalAverage="0" aboveAverage="0" dxfId="0" text="" percent="0" bottom="0">
      <formula>M257&gt;=20</formula>
    </cfRule>
    <cfRule type="expression" rank="0" priority="1028" equalAverage="0" aboveAverage="0" dxfId="1" text="" percent="0" bottom="0">
      <formula>AND(M257&gt;=10,M257&lt;20)</formula>
    </cfRule>
    <cfRule type="expression" rank="0" priority="1029" equalAverage="0" aboveAverage="0" dxfId="2" text="" percent="0" bottom="0">
      <formula>AND(M257&gt;=5,M257&lt;10)</formula>
    </cfRule>
    <cfRule type="expression" rank="0" priority="1030" equalAverage="0" aboveAverage="0" dxfId="3" text="" percent="0" bottom="0">
      <formula>AND(M257&gt;=1,M257&lt;5)</formula>
    </cfRule>
  </conditionalFormatting>
  <conditionalFormatting sqref="M258">
    <cfRule type="expression" rank="0" priority="1031" equalAverage="0" aboveAverage="0" dxfId="0" text="" percent="0" bottom="0">
      <formula>M258&gt;=20</formula>
    </cfRule>
    <cfRule type="expression" rank="0" priority="1032" equalAverage="0" aboveAverage="0" dxfId="1" text="" percent="0" bottom="0">
      <formula>AND(M258&gt;=10,M258&lt;20)</formula>
    </cfRule>
    <cfRule type="expression" rank="0" priority="1033" equalAverage="0" aboveAverage="0" dxfId="2" text="" percent="0" bottom="0">
      <formula>AND(M258&gt;=5,M258&lt;10)</formula>
    </cfRule>
    <cfRule type="expression" rank="0" priority="1034" equalAverage="0" aboveAverage="0" dxfId="3" text="" percent="0" bottom="0">
      <formula>AND(M258&gt;=1,M258&lt;5)</formula>
    </cfRule>
  </conditionalFormatting>
  <conditionalFormatting sqref="M259">
    <cfRule type="expression" rank="0" priority="1035" equalAverage="0" aboveAverage="0" dxfId="0" text="" percent="0" bottom="0">
      <formula>M259&gt;=20</formula>
    </cfRule>
    <cfRule type="expression" rank="0" priority="1036" equalAverage="0" aboveAverage="0" dxfId="1" text="" percent="0" bottom="0">
      <formula>AND(M259&gt;=10,M259&lt;20)</formula>
    </cfRule>
    <cfRule type="expression" rank="0" priority="1037" equalAverage="0" aboveAverage="0" dxfId="2" text="" percent="0" bottom="0">
      <formula>AND(M259&gt;=5,M259&lt;10)</formula>
    </cfRule>
    <cfRule type="expression" rank="0" priority="1038" equalAverage="0" aboveAverage="0" dxfId="3" text="" percent="0" bottom="0">
      <formula>AND(M259&gt;=1,M259&lt;5)</formula>
    </cfRule>
  </conditionalFormatting>
  <conditionalFormatting sqref="M260">
    <cfRule type="expression" rank="0" priority="1039" equalAverage="0" aboveAverage="0" dxfId="0" text="" percent="0" bottom="0">
      <formula>M260&gt;=20</formula>
    </cfRule>
    <cfRule type="expression" rank="0" priority="1040" equalAverage="0" aboveAverage="0" dxfId="1" text="" percent="0" bottom="0">
      <formula>AND(M260&gt;=10,M260&lt;20)</formula>
    </cfRule>
    <cfRule type="expression" rank="0" priority="1041" equalAverage="0" aboveAverage="0" dxfId="2" text="" percent="0" bottom="0">
      <formula>AND(M260&gt;=5,M260&lt;10)</formula>
    </cfRule>
    <cfRule type="expression" rank="0" priority="1042" equalAverage="0" aboveAverage="0" dxfId="3" text="" percent="0" bottom="0">
      <formula>AND(M260&gt;=1,M260&lt;5)</formula>
    </cfRule>
  </conditionalFormatting>
  <conditionalFormatting sqref="M261">
    <cfRule type="expression" rank="0" priority="1043" equalAverage="0" aboveAverage="0" dxfId="0" text="" percent="0" bottom="0">
      <formula>M261&gt;=20</formula>
    </cfRule>
    <cfRule type="expression" rank="0" priority="1044" equalAverage="0" aboveAverage="0" dxfId="1" text="" percent="0" bottom="0">
      <formula>AND(M261&gt;=10,M261&lt;20)</formula>
    </cfRule>
    <cfRule type="expression" rank="0" priority="1045" equalAverage="0" aboveAverage="0" dxfId="2" text="" percent="0" bottom="0">
      <formula>AND(M261&gt;=5,M261&lt;10)</formula>
    </cfRule>
    <cfRule type="expression" rank="0" priority="1046" equalAverage="0" aboveAverage="0" dxfId="3" text="" percent="0" bottom="0">
      <formula>AND(M261&gt;=1,M261&lt;5)</formula>
    </cfRule>
  </conditionalFormatting>
  <conditionalFormatting sqref="M262">
    <cfRule type="expression" rank="0" priority="1047" equalAverage="0" aboveAverage="0" dxfId="0" text="" percent="0" bottom="0">
      <formula>M262&gt;=20</formula>
    </cfRule>
    <cfRule type="expression" rank="0" priority="1048" equalAverage="0" aboveAverage="0" dxfId="1" text="" percent="0" bottom="0">
      <formula>AND(M262&gt;=10,M262&lt;20)</formula>
    </cfRule>
    <cfRule type="expression" rank="0" priority="1049" equalAverage="0" aboveAverage="0" dxfId="2" text="" percent="0" bottom="0">
      <formula>AND(M262&gt;=5,M262&lt;10)</formula>
    </cfRule>
    <cfRule type="expression" rank="0" priority="1050" equalAverage="0" aboveAverage="0" dxfId="3" text="" percent="0" bottom="0">
      <formula>AND(M262&gt;=1,M262&lt;5)</formula>
    </cfRule>
  </conditionalFormatting>
  <conditionalFormatting sqref="M263">
    <cfRule type="expression" rank="0" priority="1051" equalAverage="0" aboveAverage="0" dxfId="0" text="" percent="0" bottom="0">
      <formula>M263&gt;=20</formula>
    </cfRule>
    <cfRule type="expression" rank="0" priority="1052" equalAverage="0" aboveAverage="0" dxfId="1" text="" percent="0" bottom="0">
      <formula>AND(M263&gt;=10,M263&lt;20)</formula>
    </cfRule>
    <cfRule type="expression" rank="0" priority="1053" equalAverage="0" aboveAverage="0" dxfId="2" text="" percent="0" bottom="0">
      <formula>AND(M263&gt;=5,M263&lt;10)</formula>
    </cfRule>
    <cfRule type="expression" rank="0" priority="1054" equalAverage="0" aboveAverage="0" dxfId="3" text="" percent="0" bottom="0">
      <formula>AND(M263&gt;=1,M263&lt;5)</formula>
    </cfRule>
  </conditionalFormatting>
  <conditionalFormatting sqref="M264">
    <cfRule type="expression" rank="0" priority="1055" equalAverage="0" aboveAverage="0" dxfId="0" text="" percent="0" bottom="0">
      <formula>M264&gt;=20</formula>
    </cfRule>
    <cfRule type="expression" rank="0" priority="1056" equalAverage="0" aboveAverage="0" dxfId="1" text="" percent="0" bottom="0">
      <formula>AND(M264&gt;=10,M264&lt;20)</formula>
    </cfRule>
    <cfRule type="expression" rank="0" priority="1057" equalAverage="0" aboveAverage="0" dxfId="2" text="" percent="0" bottom="0">
      <formula>AND(M264&gt;=5,M264&lt;10)</formula>
    </cfRule>
    <cfRule type="expression" rank="0" priority="1058" equalAverage="0" aboveAverage="0" dxfId="3" text="" percent="0" bottom="0">
      <formula>AND(M264&gt;=1,M264&lt;5)</formula>
    </cfRule>
  </conditionalFormatting>
  <conditionalFormatting sqref="M265">
    <cfRule type="expression" rank="0" priority="1059" equalAverage="0" aboveAverage="0" dxfId="0" text="" percent="0" bottom="0">
      <formula>M265&gt;=20</formula>
    </cfRule>
    <cfRule type="expression" rank="0" priority="1060" equalAverage="0" aboveAverage="0" dxfId="1" text="" percent="0" bottom="0">
      <formula>AND(M265&gt;=10,M265&lt;20)</formula>
    </cfRule>
    <cfRule type="expression" rank="0" priority="1061" equalAverage="0" aboveAverage="0" dxfId="2" text="" percent="0" bottom="0">
      <formula>AND(M265&gt;=5,M265&lt;10)</formula>
    </cfRule>
    <cfRule type="expression" rank="0" priority="1062" equalAverage="0" aboveAverage="0" dxfId="3" text="" percent="0" bottom="0">
      <formula>AND(M265&gt;=1,M265&lt;5)</formula>
    </cfRule>
  </conditionalFormatting>
  <conditionalFormatting sqref="M266">
    <cfRule type="expression" rank="0" priority="1063" equalAverage="0" aboveAverage="0" dxfId="0" text="" percent="0" bottom="0">
      <formula>M266&gt;=20</formula>
    </cfRule>
    <cfRule type="expression" rank="0" priority="1064" equalAverage="0" aboveAverage="0" dxfId="1" text="" percent="0" bottom="0">
      <formula>AND(M266&gt;=10,M266&lt;20)</formula>
    </cfRule>
    <cfRule type="expression" rank="0" priority="1065" equalAverage="0" aboveAverage="0" dxfId="2" text="" percent="0" bottom="0">
      <formula>AND(M266&gt;=5,M266&lt;10)</formula>
    </cfRule>
    <cfRule type="expression" rank="0" priority="1066" equalAverage="0" aboveAverage="0" dxfId="3" text="" percent="0" bottom="0">
      <formula>AND(M266&gt;=1,M266&lt;5)</formula>
    </cfRule>
  </conditionalFormatting>
  <conditionalFormatting sqref="M267">
    <cfRule type="expression" rank="0" priority="1067" equalAverage="0" aboveAverage="0" dxfId="0" text="" percent="0" bottom="0">
      <formula>M267&gt;=20</formula>
    </cfRule>
    <cfRule type="expression" rank="0" priority="1068" equalAverage="0" aboveAverage="0" dxfId="1" text="" percent="0" bottom="0">
      <formula>AND(M267&gt;=10,M267&lt;20)</formula>
    </cfRule>
    <cfRule type="expression" rank="0" priority="1069" equalAverage="0" aboveAverage="0" dxfId="2" text="" percent="0" bottom="0">
      <formula>AND(M267&gt;=5,M267&lt;10)</formula>
    </cfRule>
    <cfRule type="expression" rank="0" priority="1070" equalAverage="0" aboveAverage="0" dxfId="3" text="" percent="0" bottom="0">
      <formula>AND(M267&gt;=1,M267&lt;5)</formula>
    </cfRule>
  </conditionalFormatting>
  <conditionalFormatting sqref="M268">
    <cfRule type="expression" rank="0" priority="1071" equalAverage="0" aboveAverage="0" dxfId="0" text="" percent="0" bottom="0">
      <formula>M268&gt;=20</formula>
    </cfRule>
    <cfRule type="expression" rank="0" priority="1072" equalAverage="0" aboveAverage="0" dxfId="1" text="" percent="0" bottom="0">
      <formula>AND(M268&gt;=10,M268&lt;20)</formula>
    </cfRule>
    <cfRule type="expression" rank="0" priority="1073" equalAverage="0" aboveAverage="0" dxfId="2" text="" percent="0" bottom="0">
      <formula>AND(M268&gt;=5,M268&lt;10)</formula>
    </cfRule>
    <cfRule type="expression" rank="0" priority="1074" equalAverage="0" aboveAverage="0" dxfId="3" text="" percent="0" bottom="0">
      <formula>AND(M268&gt;=1,M268&lt;5)</formula>
    </cfRule>
  </conditionalFormatting>
  <conditionalFormatting sqref="M269">
    <cfRule type="expression" rank="0" priority="1075" equalAverage="0" aboveAverage="0" dxfId="0" text="" percent="0" bottom="0">
      <formula>M269&gt;=20</formula>
    </cfRule>
    <cfRule type="expression" rank="0" priority="1076" equalAverage="0" aboveAverage="0" dxfId="1" text="" percent="0" bottom="0">
      <formula>AND(M269&gt;=10,M269&lt;20)</formula>
    </cfRule>
    <cfRule type="expression" rank="0" priority="1077" equalAverage="0" aboveAverage="0" dxfId="2" text="" percent="0" bottom="0">
      <formula>AND(M269&gt;=5,M269&lt;10)</formula>
    </cfRule>
    <cfRule type="expression" rank="0" priority="1078" equalAverage="0" aboveAverage="0" dxfId="3" text="" percent="0" bottom="0">
      <formula>AND(M269&gt;=1,M269&lt;5)</formula>
    </cfRule>
  </conditionalFormatting>
  <conditionalFormatting sqref="M270">
    <cfRule type="expression" rank="0" priority="1079" equalAverage="0" aboveAverage="0" dxfId="0" text="" percent="0" bottom="0">
      <formula>M270&gt;=20</formula>
    </cfRule>
    <cfRule type="expression" rank="0" priority="1080" equalAverage="0" aboveAverage="0" dxfId="1" text="" percent="0" bottom="0">
      <formula>AND(M270&gt;=10,M270&lt;20)</formula>
    </cfRule>
    <cfRule type="expression" rank="0" priority="1081" equalAverage="0" aboveAverage="0" dxfId="2" text="" percent="0" bottom="0">
      <formula>AND(M270&gt;=5,M270&lt;10)</formula>
    </cfRule>
    <cfRule type="expression" rank="0" priority="1082" equalAverage="0" aboveAverage="0" dxfId="3" text="" percent="0" bottom="0">
      <formula>AND(M270&gt;=1,M270&lt;5)</formula>
    </cfRule>
  </conditionalFormatting>
  <conditionalFormatting sqref="M271">
    <cfRule type="expression" rank="0" priority="1083" equalAverage="0" aboveAverage="0" dxfId="0" text="" percent="0" bottom="0">
      <formula>M271&gt;=20</formula>
    </cfRule>
    <cfRule type="expression" rank="0" priority="1084" equalAverage="0" aboveAverage="0" dxfId="1" text="" percent="0" bottom="0">
      <formula>AND(M271&gt;=10,M271&lt;20)</formula>
    </cfRule>
    <cfRule type="expression" rank="0" priority="1085" equalAverage="0" aboveAverage="0" dxfId="2" text="" percent="0" bottom="0">
      <formula>AND(M271&gt;=5,M271&lt;10)</formula>
    </cfRule>
    <cfRule type="expression" rank="0" priority="1086" equalAverage="0" aboveAverage="0" dxfId="3" text="" percent="0" bottom="0">
      <formula>AND(M271&gt;=1,M271&lt;5)</formula>
    </cfRule>
  </conditionalFormatting>
  <conditionalFormatting sqref="M272">
    <cfRule type="expression" rank="0" priority="1087" equalAverage="0" aboveAverage="0" dxfId="0" text="" percent="0" bottom="0">
      <formula>M272&gt;=20</formula>
    </cfRule>
    <cfRule type="expression" rank="0" priority="1088" equalAverage="0" aboveAverage="0" dxfId="1" text="" percent="0" bottom="0">
      <formula>AND(M272&gt;=10,M272&lt;20)</formula>
    </cfRule>
    <cfRule type="expression" rank="0" priority="1089" equalAverage="0" aboveAverage="0" dxfId="2" text="" percent="0" bottom="0">
      <formula>AND(M272&gt;=5,M272&lt;10)</formula>
    </cfRule>
    <cfRule type="expression" rank="0" priority="1090" equalAverage="0" aboveAverage="0" dxfId="3" text="" percent="0" bottom="0">
      <formula>AND(M272&gt;=1,M272&lt;5)</formula>
    </cfRule>
  </conditionalFormatting>
  <conditionalFormatting sqref="M273">
    <cfRule type="expression" rank="0" priority="1091" equalAverage="0" aboveAverage="0" dxfId="0" text="" percent="0" bottom="0">
      <formula>M273&gt;=20</formula>
    </cfRule>
    <cfRule type="expression" rank="0" priority="1092" equalAverage="0" aboveAverage="0" dxfId="1" text="" percent="0" bottom="0">
      <formula>AND(M273&gt;=10,M273&lt;20)</formula>
    </cfRule>
    <cfRule type="expression" rank="0" priority="1093" equalAverage="0" aboveAverage="0" dxfId="2" text="" percent="0" bottom="0">
      <formula>AND(M273&gt;=5,M273&lt;10)</formula>
    </cfRule>
    <cfRule type="expression" rank="0" priority="1094" equalAverage="0" aboveAverage="0" dxfId="3" text="" percent="0" bottom="0">
      <formula>AND(M273&gt;=1,M273&lt;5)</formula>
    </cfRule>
  </conditionalFormatting>
  <conditionalFormatting sqref="M274">
    <cfRule type="expression" rank="0" priority="1095" equalAverage="0" aboveAverage="0" dxfId="0" text="" percent="0" bottom="0">
      <formula>M274&gt;=20</formula>
    </cfRule>
    <cfRule type="expression" rank="0" priority="1096" equalAverage="0" aboveAverage="0" dxfId="1" text="" percent="0" bottom="0">
      <formula>AND(M274&gt;=10,M274&lt;20)</formula>
    </cfRule>
    <cfRule type="expression" rank="0" priority="1097" equalAverage="0" aboveAverage="0" dxfId="2" text="" percent="0" bottom="0">
      <formula>AND(M274&gt;=5,M274&lt;10)</formula>
    </cfRule>
    <cfRule type="expression" rank="0" priority="1098" equalAverage="0" aboveAverage="0" dxfId="3" text="" percent="0" bottom="0">
      <formula>AND(M274&gt;=1,M274&lt;5)</formula>
    </cfRule>
  </conditionalFormatting>
  <conditionalFormatting sqref="M275">
    <cfRule type="expression" rank="0" priority="1099" equalAverage="0" aboveAverage="0" dxfId="0" text="" percent="0" bottom="0">
      <formula>M275&gt;=20</formula>
    </cfRule>
    <cfRule type="expression" rank="0" priority="1100" equalAverage="0" aboveAverage="0" dxfId="1" text="" percent="0" bottom="0">
      <formula>AND(M275&gt;=10,M275&lt;20)</formula>
    </cfRule>
    <cfRule type="expression" rank="0" priority="1101" equalAverage="0" aboveAverage="0" dxfId="2" text="" percent="0" bottom="0">
      <formula>AND(M275&gt;=5,M275&lt;10)</formula>
    </cfRule>
    <cfRule type="expression" rank="0" priority="1102" equalAverage="0" aboveAverage="0" dxfId="3" text="" percent="0" bottom="0">
      <formula>AND(M275&gt;=1,M275&lt;5)</formula>
    </cfRule>
  </conditionalFormatting>
  <conditionalFormatting sqref="M276">
    <cfRule type="expression" rank="0" priority="1103" equalAverage="0" aboveAverage="0" dxfId="0" text="" percent="0" bottom="0">
      <formula>M276&gt;=20</formula>
    </cfRule>
    <cfRule type="expression" rank="0" priority="1104" equalAverage="0" aboveAverage="0" dxfId="1" text="" percent="0" bottom="0">
      <formula>AND(M276&gt;=10,M276&lt;20)</formula>
    </cfRule>
    <cfRule type="expression" rank="0" priority="1105" equalAverage="0" aboveAverage="0" dxfId="2" text="" percent="0" bottom="0">
      <formula>AND(M276&gt;=5,M276&lt;10)</formula>
    </cfRule>
    <cfRule type="expression" rank="0" priority="1106" equalAverage="0" aboveAverage="0" dxfId="3" text="" percent="0" bottom="0">
      <formula>AND(M276&gt;=1,M276&lt;5)</formula>
    </cfRule>
  </conditionalFormatting>
  <conditionalFormatting sqref="M277">
    <cfRule type="expression" rank="0" priority="1107" equalAverage="0" aboveAverage="0" dxfId="0" text="" percent="0" bottom="0">
      <formula>M277&gt;=20</formula>
    </cfRule>
    <cfRule type="expression" rank="0" priority="1108" equalAverage="0" aboveAverage="0" dxfId="1" text="" percent="0" bottom="0">
      <formula>AND(M277&gt;=10,M277&lt;20)</formula>
    </cfRule>
    <cfRule type="expression" rank="0" priority="1109" equalAverage="0" aboveAverage="0" dxfId="2" text="" percent="0" bottom="0">
      <formula>AND(M277&gt;=5,M277&lt;10)</formula>
    </cfRule>
    <cfRule type="expression" rank="0" priority="1110" equalAverage="0" aboveAverage="0" dxfId="3" text="" percent="0" bottom="0">
      <formula>AND(M277&gt;=1,M277&lt;5)</formula>
    </cfRule>
  </conditionalFormatting>
  <conditionalFormatting sqref="M278">
    <cfRule type="expression" rank="0" priority="1111" equalAverage="0" aboveAverage="0" dxfId="0" text="" percent="0" bottom="0">
      <formula>M278&gt;=20</formula>
    </cfRule>
    <cfRule type="expression" rank="0" priority="1112" equalAverage="0" aboveAverage="0" dxfId="1" text="" percent="0" bottom="0">
      <formula>AND(M278&gt;=10,M278&lt;20)</formula>
    </cfRule>
    <cfRule type="expression" rank="0" priority="1113" equalAverage="0" aboveAverage="0" dxfId="2" text="" percent="0" bottom="0">
      <formula>AND(M278&gt;=5,M278&lt;10)</formula>
    </cfRule>
    <cfRule type="expression" rank="0" priority="1114" equalAverage="0" aboveAverage="0" dxfId="3" text="" percent="0" bottom="0">
      <formula>AND(M278&gt;=1,M278&lt;5)</formula>
    </cfRule>
  </conditionalFormatting>
  <conditionalFormatting sqref="M279">
    <cfRule type="expression" rank="0" priority="1115" equalAverage="0" aboveAverage="0" dxfId="0" text="" percent="0" bottom="0">
      <formula>M279&gt;=20</formula>
    </cfRule>
    <cfRule type="expression" rank="0" priority="1116" equalAverage="0" aboveAverage="0" dxfId="1" text="" percent="0" bottom="0">
      <formula>AND(M279&gt;=10,M279&lt;20)</formula>
    </cfRule>
    <cfRule type="expression" rank="0" priority="1117" equalAverage="0" aboveAverage="0" dxfId="2" text="" percent="0" bottom="0">
      <formula>AND(M279&gt;=5,M279&lt;10)</formula>
    </cfRule>
    <cfRule type="expression" rank="0" priority="1118" equalAverage="0" aboveAverage="0" dxfId="3" text="" percent="0" bottom="0">
      <formula>AND(M279&gt;=1,M279&lt;5)</formula>
    </cfRule>
  </conditionalFormatting>
  <conditionalFormatting sqref="M280">
    <cfRule type="expression" rank="0" priority="1119" equalAverage="0" aboveAverage="0" dxfId="0" text="" percent="0" bottom="0">
      <formula>M280&gt;=20</formula>
    </cfRule>
    <cfRule type="expression" rank="0" priority="1120" equalAverage="0" aboveAverage="0" dxfId="1" text="" percent="0" bottom="0">
      <formula>AND(M280&gt;=10,M280&lt;20)</formula>
    </cfRule>
    <cfRule type="expression" rank="0" priority="1121" equalAverage="0" aboveAverage="0" dxfId="2" text="" percent="0" bottom="0">
      <formula>AND(M280&gt;=5,M280&lt;10)</formula>
    </cfRule>
    <cfRule type="expression" rank="0" priority="1122" equalAverage="0" aboveAverage="0" dxfId="3" text="" percent="0" bottom="0">
      <formula>AND(M280&gt;=1,M280&lt;5)</formula>
    </cfRule>
  </conditionalFormatting>
  <conditionalFormatting sqref="M281">
    <cfRule type="expression" rank="0" priority="1123" equalAverage="0" aboveAverage="0" dxfId="0" text="" percent="0" bottom="0">
      <formula>M281&gt;=20</formula>
    </cfRule>
    <cfRule type="expression" rank="0" priority="1124" equalAverage="0" aboveAverage="0" dxfId="1" text="" percent="0" bottom="0">
      <formula>AND(M281&gt;=10,M281&lt;20)</formula>
    </cfRule>
    <cfRule type="expression" rank="0" priority="1125" equalAverage="0" aboveAverage="0" dxfId="2" text="" percent="0" bottom="0">
      <formula>AND(M281&gt;=5,M281&lt;10)</formula>
    </cfRule>
    <cfRule type="expression" rank="0" priority="1126" equalAverage="0" aboveAverage="0" dxfId="3" text="" percent="0" bottom="0">
      <formula>AND(M281&gt;=1,M281&lt;5)</formula>
    </cfRule>
  </conditionalFormatting>
  <conditionalFormatting sqref="M282">
    <cfRule type="expression" rank="0" priority="1127" equalAverage="0" aboveAverage="0" dxfId="0" text="" percent="0" bottom="0">
      <formula>M282&gt;=20</formula>
    </cfRule>
    <cfRule type="expression" rank="0" priority="1128" equalAverage="0" aboveAverage="0" dxfId="1" text="" percent="0" bottom="0">
      <formula>AND(M282&gt;=10,M282&lt;20)</formula>
    </cfRule>
    <cfRule type="expression" rank="0" priority="1129" equalAverage="0" aboveAverage="0" dxfId="2" text="" percent="0" bottom="0">
      <formula>AND(M282&gt;=5,M282&lt;10)</formula>
    </cfRule>
    <cfRule type="expression" rank="0" priority="1130" equalAverage="0" aboveAverage="0" dxfId="3" text="" percent="0" bottom="0">
      <formula>AND(M282&gt;=1,M282&lt;5)</formula>
    </cfRule>
  </conditionalFormatting>
  <conditionalFormatting sqref="M283">
    <cfRule type="expression" rank="0" priority="1131" equalAverage="0" aboveAverage="0" dxfId="0" text="" percent="0" bottom="0">
      <formula>M283&gt;=20</formula>
    </cfRule>
    <cfRule type="expression" rank="0" priority="1132" equalAverage="0" aboveAverage="0" dxfId="1" text="" percent="0" bottom="0">
      <formula>AND(M283&gt;=10,M283&lt;20)</formula>
    </cfRule>
    <cfRule type="expression" rank="0" priority="1133" equalAverage="0" aboveAverage="0" dxfId="2" text="" percent="0" bottom="0">
      <formula>AND(M283&gt;=5,M283&lt;10)</formula>
    </cfRule>
    <cfRule type="expression" rank="0" priority="1134" equalAverage="0" aboveAverage="0" dxfId="3" text="" percent="0" bottom="0">
      <formula>AND(M283&gt;=1,M283&lt;5)</formula>
    </cfRule>
  </conditionalFormatting>
  <conditionalFormatting sqref="M284">
    <cfRule type="expression" rank="0" priority="1135" equalAverage="0" aboveAverage="0" dxfId="0" text="" percent="0" bottom="0">
      <formula>M284&gt;=20</formula>
    </cfRule>
    <cfRule type="expression" rank="0" priority="1136" equalAverage="0" aboveAverage="0" dxfId="1" text="" percent="0" bottom="0">
      <formula>AND(M284&gt;=10,M284&lt;20)</formula>
    </cfRule>
    <cfRule type="expression" rank="0" priority="1137" equalAverage="0" aboveAverage="0" dxfId="2" text="" percent="0" bottom="0">
      <formula>AND(M284&gt;=5,M284&lt;10)</formula>
    </cfRule>
    <cfRule type="expression" rank="0" priority="1138" equalAverage="0" aboveAverage="0" dxfId="3" text="" percent="0" bottom="0">
      <formula>AND(M284&gt;=1,M284&lt;5)</formula>
    </cfRule>
  </conditionalFormatting>
  <conditionalFormatting sqref="M285">
    <cfRule type="expression" rank="0" priority="1139" equalAverage="0" aboveAverage="0" dxfId="0" text="" percent="0" bottom="0">
      <formula>M285&gt;=20</formula>
    </cfRule>
    <cfRule type="expression" rank="0" priority="1140" equalAverage="0" aboveAverage="0" dxfId="1" text="" percent="0" bottom="0">
      <formula>AND(M285&gt;=10,M285&lt;20)</formula>
    </cfRule>
    <cfRule type="expression" rank="0" priority="1141" equalAverage="0" aboveAverage="0" dxfId="2" text="" percent="0" bottom="0">
      <formula>AND(M285&gt;=5,M285&lt;10)</formula>
    </cfRule>
    <cfRule type="expression" rank="0" priority="1142" equalAverage="0" aboveAverage="0" dxfId="3" text="" percent="0" bottom="0">
      <formula>AND(M285&gt;=1,M285&lt;5)</formula>
    </cfRule>
  </conditionalFormatting>
  <conditionalFormatting sqref="M286">
    <cfRule type="expression" rank="0" priority="1143" equalAverage="0" aboveAverage="0" dxfId="0" text="" percent="0" bottom="0">
      <formula>M286&gt;=20</formula>
    </cfRule>
    <cfRule type="expression" rank="0" priority="1144" equalAverage="0" aboveAverage="0" dxfId="1" text="" percent="0" bottom="0">
      <formula>AND(M286&gt;=10,M286&lt;20)</formula>
    </cfRule>
    <cfRule type="expression" rank="0" priority="1145" equalAverage="0" aboveAverage="0" dxfId="2" text="" percent="0" bottom="0">
      <formula>AND(M286&gt;=5,M286&lt;10)</formula>
    </cfRule>
    <cfRule type="expression" rank="0" priority="1146" equalAverage="0" aboveAverage="0" dxfId="3" text="" percent="0" bottom="0">
      <formula>AND(M286&gt;=1,M286&lt;5)</formula>
    </cfRule>
  </conditionalFormatting>
  <conditionalFormatting sqref="M287">
    <cfRule type="expression" rank="0" priority="1147" equalAverage="0" aboveAverage="0" dxfId="0" text="" percent="0" bottom="0">
      <formula>M287&gt;=20</formula>
    </cfRule>
    <cfRule type="expression" rank="0" priority="1148" equalAverage="0" aboveAverage="0" dxfId="1" text="" percent="0" bottom="0">
      <formula>AND(M287&gt;=10,M287&lt;20)</formula>
    </cfRule>
    <cfRule type="expression" rank="0" priority="1149" equalAverage="0" aboveAverage="0" dxfId="2" text="" percent="0" bottom="0">
      <formula>AND(M287&gt;=5,M287&lt;10)</formula>
    </cfRule>
    <cfRule type="expression" rank="0" priority="1150" equalAverage="0" aboveAverage="0" dxfId="3" text="" percent="0" bottom="0">
      <formula>AND(M287&gt;=1,M287&lt;5)</formula>
    </cfRule>
  </conditionalFormatting>
  <conditionalFormatting sqref="M288">
    <cfRule type="expression" rank="0" priority="1151" equalAverage="0" aboveAverage="0" dxfId="0" text="" percent="0" bottom="0">
      <formula>M288&gt;=20</formula>
    </cfRule>
    <cfRule type="expression" rank="0" priority="1152" equalAverage="0" aboveAverage="0" dxfId="1" text="" percent="0" bottom="0">
      <formula>AND(M288&gt;=10,M288&lt;20)</formula>
    </cfRule>
    <cfRule type="expression" rank="0" priority="1153" equalAverage="0" aboveAverage="0" dxfId="2" text="" percent="0" bottom="0">
      <formula>AND(M288&gt;=5,M288&lt;10)</formula>
    </cfRule>
    <cfRule type="expression" rank="0" priority="1154" equalAverage="0" aboveAverage="0" dxfId="3" text="" percent="0" bottom="0">
      <formula>AND(M288&gt;=1,M288&lt;5)</formula>
    </cfRule>
  </conditionalFormatting>
  <conditionalFormatting sqref="M289">
    <cfRule type="expression" rank="0" priority="1155" equalAverage="0" aboveAverage="0" dxfId="0" text="" percent="0" bottom="0">
      <formula>M289&gt;=20</formula>
    </cfRule>
    <cfRule type="expression" rank="0" priority="1156" equalAverage="0" aboveAverage="0" dxfId="1" text="" percent="0" bottom="0">
      <formula>AND(M289&gt;=10,M289&lt;20)</formula>
    </cfRule>
    <cfRule type="expression" rank="0" priority="1157" equalAverage="0" aboveAverage="0" dxfId="2" text="" percent="0" bottom="0">
      <formula>AND(M289&gt;=5,M289&lt;10)</formula>
    </cfRule>
    <cfRule type="expression" rank="0" priority="1158" equalAverage="0" aboveAverage="0" dxfId="3" text="" percent="0" bottom="0">
      <formula>AND(M289&gt;=1,M289&lt;5)</formula>
    </cfRule>
  </conditionalFormatting>
  <conditionalFormatting sqref="M290">
    <cfRule type="expression" rank="0" priority="1159" equalAverage="0" aboveAverage="0" dxfId="0" text="" percent="0" bottom="0">
      <formula>M290&gt;=20</formula>
    </cfRule>
    <cfRule type="expression" rank="0" priority="1160" equalAverage="0" aboveAverage="0" dxfId="1" text="" percent="0" bottom="0">
      <formula>AND(M290&gt;=10,M290&lt;20)</formula>
    </cfRule>
    <cfRule type="expression" rank="0" priority="1161" equalAverage="0" aboveAverage="0" dxfId="2" text="" percent="0" bottom="0">
      <formula>AND(M290&gt;=5,M290&lt;10)</formula>
    </cfRule>
    <cfRule type="expression" rank="0" priority="1162" equalAverage="0" aboveAverage="0" dxfId="3" text="" percent="0" bottom="0">
      <formula>AND(M290&gt;=1,M290&lt;5)</formula>
    </cfRule>
  </conditionalFormatting>
  <conditionalFormatting sqref="M291">
    <cfRule type="expression" rank="0" priority="1163" equalAverage="0" aboveAverage="0" dxfId="0" text="" percent="0" bottom="0">
      <formula>M291&gt;=20</formula>
    </cfRule>
    <cfRule type="expression" rank="0" priority="1164" equalAverage="0" aboveAverage="0" dxfId="1" text="" percent="0" bottom="0">
      <formula>AND(M291&gt;=10,M291&lt;20)</formula>
    </cfRule>
    <cfRule type="expression" rank="0" priority="1165" equalAverage="0" aboveAverage="0" dxfId="2" text="" percent="0" bottom="0">
      <formula>AND(M291&gt;=5,M291&lt;10)</formula>
    </cfRule>
    <cfRule type="expression" rank="0" priority="1166" equalAverage="0" aboveAverage="0" dxfId="3" text="" percent="0" bottom="0">
      <formula>AND(M291&gt;=1,M291&lt;5)</formula>
    </cfRule>
  </conditionalFormatting>
  <conditionalFormatting sqref="M292">
    <cfRule type="expression" rank="0" priority="1167" equalAverage="0" aboveAverage="0" dxfId="0" text="" percent="0" bottom="0">
      <formula>M292&gt;=20</formula>
    </cfRule>
    <cfRule type="expression" rank="0" priority="1168" equalAverage="0" aboveAverage="0" dxfId="1" text="" percent="0" bottom="0">
      <formula>AND(M292&gt;=10,M292&lt;20)</formula>
    </cfRule>
    <cfRule type="expression" rank="0" priority="1169" equalAverage="0" aboveAverage="0" dxfId="2" text="" percent="0" bottom="0">
      <formula>AND(M292&gt;=5,M292&lt;10)</formula>
    </cfRule>
    <cfRule type="expression" rank="0" priority="1170" equalAverage="0" aboveAverage="0" dxfId="3" text="" percent="0" bottom="0">
      <formula>AND(M292&gt;=1,M292&lt;5)</formula>
    </cfRule>
  </conditionalFormatting>
  <conditionalFormatting sqref="M293">
    <cfRule type="expression" rank="0" priority="1171" equalAverage="0" aboveAverage="0" dxfId="0" text="" percent="0" bottom="0">
      <formula>M293&gt;=20</formula>
    </cfRule>
    <cfRule type="expression" rank="0" priority="1172" equalAverage="0" aboveAverage="0" dxfId="1" text="" percent="0" bottom="0">
      <formula>AND(M293&gt;=10,M293&lt;20)</formula>
    </cfRule>
    <cfRule type="expression" rank="0" priority="1173" equalAverage="0" aboveAverage="0" dxfId="2" text="" percent="0" bottom="0">
      <formula>AND(M293&gt;=5,M293&lt;10)</formula>
    </cfRule>
    <cfRule type="expression" rank="0" priority="1174" equalAverage="0" aboveAverage="0" dxfId="3" text="" percent="0" bottom="0">
      <formula>AND(M293&gt;=1,M293&lt;5)</formula>
    </cfRule>
  </conditionalFormatting>
  <conditionalFormatting sqref="M294">
    <cfRule type="expression" rank="0" priority="1175" equalAverage="0" aboveAverage="0" dxfId="0" text="" percent="0" bottom="0">
      <formula>M294&gt;=20</formula>
    </cfRule>
    <cfRule type="expression" rank="0" priority="1176" equalAverage="0" aboveAverage="0" dxfId="1" text="" percent="0" bottom="0">
      <formula>AND(M294&gt;=10,M294&lt;20)</formula>
    </cfRule>
    <cfRule type="expression" rank="0" priority="1177" equalAverage="0" aboveAverage="0" dxfId="2" text="" percent="0" bottom="0">
      <formula>AND(M294&gt;=5,M294&lt;10)</formula>
    </cfRule>
    <cfRule type="expression" rank="0" priority="1178" equalAverage="0" aboveAverage="0" dxfId="3" text="" percent="0" bottom="0">
      <formula>AND(M294&gt;=1,M294&lt;5)</formula>
    </cfRule>
  </conditionalFormatting>
  <conditionalFormatting sqref="M295">
    <cfRule type="expression" rank="0" priority="1179" equalAverage="0" aboveAverage="0" dxfId="0" text="" percent="0" bottom="0">
      <formula>M295&gt;=20</formula>
    </cfRule>
    <cfRule type="expression" rank="0" priority="1180" equalAverage="0" aboveAverage="0" dxfId="1" text="" percent="0" bottom="0">
      <formula>AND(M295&gt;=10,M295&lt;20)</formula>
    </cfRule>
    <cfRule type="expression" rank="0" priority="1181" equalAverage="0" aboveAverage="0" dxfId="2" text="" percent="0" bottom="0">
      <formula>AND(M295&gt;=5,M295&lt;10)</formula>
    </cfRule>
    <cfRule type="expression" rank="0" priority="1182" equalAverage="0" aboveAverage="0" dxfId="3" text="" percent="0" bottom="0">
      <formula>AND(M295&gt;=1,M295&lt;5)</formula>
    </cfRule>
  </conditionalFormatting>
  <conditionalFormatting sqref="M296">
    <cfRule type="expression" rank="0" priority="1183" equalAverage="0" aboveAverage="0" dxfId="0" text="" percent="0" bottom="0">
      <formula>M296&gt;=20</formula>
    </cfRule>
    <cfRule type="expression" rank="0" priority="1184" equalAverage="0" aboveAverage="0" dxfId="1" text="" percent="0" bottom="0">
      <formula>AND(M296&gt;=10,M296&lt;20)</formula>
    </cfRule>
    <cfRule type="expression" rank="0" priority="1185" equalAverage="0" aboveAverage="0" dxfId="2" text="" percent="0" bottom="0">
      <formula>AND(M296&gt;=5,M296&lt;10)</formula>
    </cfRule>
    <cfRule type="expression" rank="0" priority="1186" equalAverage="0" aboveAverage="0" dxfId="3" text="" percent="0" bottom="0">
      <formula>AND(M296&gt;=1,M296&lt;5)</formula>
    </cfRule>
  </conditionalFormatting>
  <conditionalFormatting sqref="M297">
    <cfRule type="expression" rank="0" priority="1187" equalAverage="0" aboveAverage="0" dxfId="0" text="" percent="0" bottom="0">
      <formula>M297&gt;=20</formula>
    </cfRule>
    <cfRule type="expression" rank="0" priority="1188" equalAverage="0" aboveAverage="0" dxfId="1" text="" percent="0" bottom="0">
      <formula>AND(M297&gt;=10,M297&lt;20)</formula>
    </cfRule>
    <cfRule type="expression" rank="0" priority="1189" equalAverage="0" aboveAverage="0" dxfId="2" text="" percent="0" bottom="0">
      <formula>AND(M297&gt;=5,M297&lt;10)</formula>
    </cfRule>
    <cfRule type="expression" rank="0" priority="1190" equalAverage="0" aboveAverage="0" dxfId="3" text="" percent="0" bottom="0">
      <formula>AND(M297&gt;=1,M297&lt;5)</formula>
    </cfRule>
  </conditionalFormatting>
  <conditionalFormatting sqref="M298">
    <cfRule type="expression" rank="0" priority="1191" equalAverage="0" aboveAverage="0" dxfId="0" text="" percent="0" bottom="0">
      <formula>M298&gt;=20</formula>
    </cfRule>
    <cfRule type="expression" rank="0" priority="1192" equalAverage="0" aboveAverage="0" dxfId="1" text="" percent="0" bottom="0">
      <formula>AND(M298&gt;=10,M298&lt;20)</formula>
    </cfRule>
    <cfRule type="expression" rank="0" priority="1193" equalAverage="0" aboveAverage="0" dxfId="2" text="" percent="0" bottom="0">
      <formula>AND(M298&gt;=5,M298&lt;10)</formula>
    </cfRule>
    <cfRule type="expression" rank="0" priority="1194" equalAverage="0" aboveAverage="0" dxfId="3" text="" percent="0" bottom="0">
      <formula>AND(M298&gt;=1,M298&lt;5)</formula>
    </cfRule>
  </conditionalFormatting>
  <conditionalFormatting sqref="M299">
    <cfRule type="expression" rank="0" priority="1195" equalAverage="0" aboveAverage="0" dxfId="0" text="" percent="0" bottom="0">
      <formula>M299&gt;=20</formula>
    </cfRule>
    <cfRule type="expression" rank="0" priority="1196" equalAverage="0" aboveAverage="0" dxfId="1" text="" percent="0" bottom="0">
      <formula>AND(M299&gt;=10,M299&lt;20)</formula>
    </cfRule>
    <cfRule type="expression" rank="0" priority="1197" equalAverage="0" aboveAverage="0" dxfId="2" text="" percent="0" bottom="0">
      <formula>AND(M299&gt;=5,M299&lt;10)</formula>
    </cfRule>
    <cfRule type="expression" rank="0" priority="1198" equalAverage="0" aboveAverage="0" dxfId="3" text="" percent="0" bottom="0">
      <formula>AND(M299&gt;=1,M299&lt;5)</formula>
    </cfRule>
  </conditionalFormatting>
  <conditionalFormatting sqref="M300">
    <cfRule type="expression" rank="0" priority="1199" equalAverage="0" aboveAverage="0" dxfId="0" text="" percent="0" bottom="0">
      <formula>M300&gt;=20</formula>
    </cfRule>
    <cfRule type="expression" rank="0" priority="1200" equalAverage="0" aboveAverage="0" dxfId="1" text="" percent="0" bottom="0">
      <formula>AND(M300&gt;=10,M300&lt;20)</formula>
    </cfRule>
    <cfRule type="expression" rank="0" priority="1201" equalAverage="0" aboveAverage="0" dxfId="2" text="" percent="0" bottom="0">
      <formula>AND(M300&gt;=5,M300&lt;10)</formula>
    </cfRule>
    <cfRule type="expression" rank="0" priority="1202" equalAverage="0" aboveAverage="0" dxfId="3" text="" percent="0" bottom="0">
      <formula>AND(M300&gt;=1,M300&lt;5)</formula>
    </cfRule>
  </conditionalFormatting>
  <conditionalFormatting sqref="M301">
    <cfRule type="expression" rank="0" priority="1203" equalAverage="0" aboveAverage="0" dxfId="0" text="" percent="0" bottom="0">
      <formula>M301&gt;=20</formula>
    </cfRule>
    <cfRule type="expression" rank="0" priority="1204" equalAverage="0" aboveAverage="0" dxfId="1" text="" percent="0" bottom="0">
      <formula>AND(M301&gt;=10,M301&lt;20)</formula>
    </cfRule>
    <cfRule type="expression" rank="0" priority="1205" equalAverage="0" aboveAverage="0" dxfId="2" text="" percent="0" bottom="0">
      <formula>AND(M301&gt;=5,M301&lt;10)</formula>
    </cfRule>
    <cfRule type="expression" rank="0" priority="1206" equalAverage="0" aboveAverage="0" dxfId="3" text="" percent="0" bottom="0">
      <formula>AND(M301&gt;=1,M301&lt;5)</formula>
    </cfRule>
  </conditionalFormatting>
  <conditionalFormatting sqref="M302">
    <cfRule type="expression" rank="0" priority="1207" equalAverage="0" aboveAverage="0" dxfId="0" text="" percent="0" bottom="0">
      <formula>M302&gt;=20</formula>
    </cfRule>
    <cfRule type="expression" rank="0" priority="1208" equalAverage="0" aboveAverage="0" dxfId="1" text="" percent="0" bottom="0">
      <formula>AND(M302&gt;=10,M302&lt;20)</formula>
    </cfRule>
    <cfRule type="expression" rank="0" priority="1209" equalAverage="0" aboveAverage="0" dxfId="2" text="" percent="0" bottom="0">
      <formula>AND(M302&gt;=5,M302&lt;10)</formula>
    </cfRule>
    <cfRule type="expression" rank="0" priority="1210" equalAverage="0" aboveAverage="0" dxfId="3" text="" percent="0" bottom="0">
      <formula>AND(M302&gt;=1,M302&lt;5)</formula>
    </cfRule>
  </conditionalFormatting>
  <conditionalFormatting sqref="M303">
    <cfRule type="expression" rank="0" priority="1211" equalAverage="0" aboveAverage="0" dxfId="0" text="" percent="0" bottom="0">
      <formula>M303&gt;=20</formula>
    </cfRule>
    <cfRule type="expression" rank="0" priority="1212" equalAverage="0" aboveAverage="0" dxfId="1" text="" percent="0" bottom="0">
      <formula>AND(M303&gt;=10,M303&lt;20)</formula>
    </cfRule>
    <cfRule type="expression" rank="0" priority="1213" equalAverage="0" aboveAverage="0" dxfId="2" text="" percent="0" bottom="0">
      <formula>AND(M303&gt;=5,M303&lt;10)</formula>
    </cfRule>
    <cfRule type="expression" rank="0" priority="1214" equalAverage="0" aboveAverage="0" dxfId="3" text="" percent="0" bottom="0">
      <formula>AND(M303&gt;=1,M303&lt;5)</formula>
    </cfRule>
  </conditionalFormatting>
  <conditionalFormatting sqref="M304">
    <cfRule type="expression" rank="0" priority="1215" equalAverage="0" aboveAverage="0" dxfId="0" text="" percent="0" bottom="0">
      <formula>M304&gt;=20</formula>
    </cfRule>
    <cfRule type="expression" rank="0" priority="1216" equalAverage="0" aboveAverage="0" dxfId="1" text="" percent="0" bottom="0">
      <formula>AND(M304&gt;=10,M304&lt;20)</formula>
    </cfRule>
    <cfRule type="expression" rank="0" priority="1217" equalAverage="0" aboveAverage="0" dxfId="2" text="" percent="0" bottom="0">
      <formula>AND(M304&gt;=5,M304&lt;10)</formula>
    </cfRule>
    <cfRule type="expression" rank="0" priority="1218" equalAverage="0" aboveAverage="0" dxfId="3" text="" percent="0" bottom="0">
      <formula>AND(M304&gt;=1,M304&lt;5)</formula>
    </cfRule>
  </conditionalFormatting>
  <conditionalFormatting sqref="M305">
    <cfRule type="expression" rank="0" priority="1219" equalAverage="0" aboveAverage="0" dxfId="0" text="" percent="0" bottom="0">
      <formula>M305&gt;=20</formula>
    </cfRule>
    <cfRule type="expression" rank="0" priority="1220" equalAverage="0" aboveAverage="0" dxfId="1" text="" percent="0" bottom="0">
      <formula>AND(M305&gt;=10,M305&lt;20)</formula>
    </cfRule>
    <cfRule type="expression" rank="0" priority="1221" equalAverage="0" aboveAverage="0" dxfId="2" text="" percent="0" bottom="0">
      <formula>AND(M305&gt;=5,M305&lt;10)</formula>
    </cfRule>
    <cfRule type="expression" rank="0" priority="1222" equalAverage="0" aboveAverage="0" dxfId="3" text="" percent="0" bottom="0">
      <formula>AND(M305&gt;=1,M305&lt;5)</formula>
    </cfRule>
  </conditionalFormatting>
  <conditionalFormatting sqref="M306">
    <cfRule type="expression" rank="0" priority="1223" equalAverage="0" aboveAverage="0" dxfId="0" text="" percent="0" bottom="0">
      <formula>M306&gt;=20</formula>
    </cfRule>
    <cfRule type="expression" rank="0" priority="1224" equalAverage="0" aboveAverage="0" dxfId="1" text="" percent="0" bottom="0">
      <formula>AND(M306&gt;=10,M306&lt;20)</formula>
    </cfRule>
    <cfRule type="expression" rank="0" priority="1225" equalAverage="0" aboveAverage="0" dxfId="2" text="" percent="0" bottom="0">
      <formula>AND(M306&gt;=5,M306&lt;10)</formula>
    </cfRule>
    <cfRule type="expression" rank="0" priority="1226" equalAverage="0" aboveAverage="0" dxfId="3" text="" percent="0" bottom="0">
      <formula>AND(M306&gt;=1,M306&lt;5)</formula>
    </cfRule>
  </conditionalFormatting>
  <conditionalFormatting sqref="M307">
    <cfRule type="expression" rank="0" priority="1227" equalAverage="0" aboveAverage="0" dxfId="0" text="" percent="0" bottom="0">
      <formula>M307&gt;=20</formula>
    </cfRule>
    <cfRule type="expression" rank="0" priority="1228" equalAverage="0" aboveAverage="0" dxfId="1" text="" percent="0" bottom="0">
      <formula>AND(M307&gt;=10,M307&lt;20)</formula>
    </cfRule>
    <cfRule type="expression" rank="0" priority="1229" equalAverage="0" aboveAverage="0" dxfId="2" text="" percent="0" bottom="0">
      <formula>AND(M307&gt;=5,M307&lt;10)</formula>
    </cfRule>
    <cfRule type="expression" rank="0" priority="1230" equalAverage="0" aboveAverage="0" dxfId="3" text="" percent="0" bottom="0">
      <formula>AND(M307&gt;=1,M307&lt;5)</formula>
    </cfRule>
  </conditionalFormatting>
  <conditionalFormatting sqref="M308">
    <cfRule type="expression" rank="0" priority="1231" equalAverage="0" aboveAverage="0" dxfId="0" text="" percent="0" bottom="0">
      <formula>M308&gt;=20</formula>
    </cfRule>
    <cfRule type="expression" rank="0" priority="1232" equalAverage="0" aboveAverage="0" dxfId="1" text="" percent="0" bottom="0">
      <formula>AND(M308&gt;=10,M308&lt;20)</formula>
    </cfRule>
    <cfRule type="expression" rank="0" priority="1233" equalAverage="0" aboveAverage="0" dxfId="2" text="" percent="0" bottom="0">
      <formula>AND(M308&gt;=5,M308&lt;10)</formula>
    </cfRule>
    <cfRule type="expression" rank="0" priority="1234" equalAverage="0" aboveAverage="0" dxfId="3" text="" percent="0" bottom="0">
      <formula>AND(M308&gt;=1,M308&lt;5)</formula>
    </cfRule>
  </conditionalFormatting>
  <conditionalFormatting sqref="M309">
    <cfRule type="expression" rank="0" priority="1235" equalAverage="0" aboveAverage="0" dxfId="0" text="" percent="0" bottom="0">
      <formula>M309&gt;=20</formula>
    </cfRule>
    <cfRule type="expression" rank="0" priority="1236" equalAverage="0" aboveAverage="0" dxfId="1" text="" percent="0" bottom="0">
      <formula>AND(M309&gt;=10,M309&lt;20)</formula>
    </cfRule>
    <cfRule type="expression" rank="0" priority="1237" equalAverage="0" aboveAverage="0" dxfId="2" text="" percent="0" bottom="0">
      <formula>AND(M309&gt;=5,M309&lt;10)</formula>
    </cfRule>
    <cfRule type="expression" rank="0" priority="1238" equalAverage="0" aboveAverage="0" dxfId="3" text="" percent="0" bottom="0">
      <formula>AND(M309&gt;=1,M309&lt;5)</formula>
    </cfRule>
  </conditionalFormatting>
  <conditionalFormatting sqref="M310">
    <cfRule type="expression" rank="0" priority="1239" equalAverage="0" aboveAverage="0" dxfId="0" text="" percent="0" bottom="0">
      <formula>M310&gt;=20</formula>
    </cfRule>
    <cfRule type="expression" rank="0" priority="1240" equalAverage="0" aboveAverage="0" dxfId="1" text="" percent="0" bottom="0">
      <formula>AND(M310&gt;=10,M310&lt;20)</formula>
    </cfRule>
    <cfRule type="expression" rank="0" priority="1241" equalAverage="0" aboveAverage="0" dxfId="2" text="" percent="0" bottom="0">
      <formula>AND(M310&gt;=5,M310&lt;10)</formula>
    </cfRule>
    <cfRule type="expression" rank="0" priority="1242" equalAverage="0" aboveAverage="0" dxfId="3" text="" percent="0" bottom="0">
      <formula>AND(M310&gt;=1,M310&lt;5)</formula>
    </cfRule>
  </conditionalFormatting>
  <conditionalFormatting sqref="M311">
    <cfRule type="expression" rank="0" priority="1243" equalAverage="0" aboveAverage="0" dxfId="0" text="" percent="0" bottom="0">
      <formula>M311&gt;=20</formula>
    </cfRule>
    <cfRule type="expression" rank="0" priority="1244" equalAverage="0" aboveAverage="0" dxfId="1" text="" percent="0" bottom="0">
      <formula>AND(M311&gt;=10,M311&lt;20)</formula>
    </cfRule>
    <cfRule type="expression" rank="0" priority="1245" equalAverage="0" aboveAverage="0" dxfId="2" text="" percent="0" bottom="0">
      <formula>AND(M311&gt;=5,M311&lt;10)</formula>
    </cfRule>
    <cfRule type="expression" rank="0" priority="1246" equalAverage="0" aboveAverage="0" dxfId="3" text="" percent="0" bottom="0">
      <formula>AND(M311&gt;=1,M311&lt;5)</formula>
    </cfRule>
  </conditionalFormatting>
  <conditionalFormatting sqref="M312">
    <cfRule type="expression" rank="0" priority="1247" equalAverage="0" aboveAverage="0" dxfId="0" text="" percent="0" bottom="0">
      <formula>M312&gt;=20</formula>
    </cfRule>
    <cfRule type="expression" rank="0" priority="1248" equalAverage="0" aboveAverage="0" dxfId="1" text="" percent="0" bottom="0">
      <formula>AND(M312&gt;=10,M312&lt;20)</formula>
    </cfRule>
    <cfRule type="expression" rank="0" priority="1249" equalAverage="0" aboveAverage="0" dxfId="2" text="" percent="0" bottom="0">
      <formula>AND(M312&gt;=5,M312&lt;10)</formula>
    </cfRule>
    <cfRule type="expression" rank="0" priority="1250" equalAverage="0" aboveAverage="0" dxfId="3" text="" percent="0" bottom="0">
      <formula>AND(M312&gt;=1,M312&lt;5)</formula>
    </cfRule>
  </conditionalFormatting>
  <conditionalFormatting sqref="M313">
    <cfRule type="expression" rank="0" priority="1251" equalAverage="0" aboveAverage="0" dxfId="0" text="" percent="0" bottom="0">
      <formula>M313&gt;=20</formula>
    </cfRule>
    <cfRule type="expression" rank="0" priority="1252" equalAverage="0" aboveAverage="0" dxfId="1" text="" percent="0" bottom="0">
      <formula>AND(M313&gt;=10,M313&lt;20)</formula>
    </cfRule>
    <cfRule type="expression" rank="0" priority="1253" equalAverage="0" aboveAverage="0" dxfId="2" text="" percent="0" bottom="0">
      <formula>AND(M313&gt;=5,M313&lt;10)</formula>
    </cfRule>
    <cfRule type="expression" rank="0" priority="1254" equalAverage="0" aboveAverage="0" dxfId="3" text="" percent="0" bottom="0">
      <formula>AND(M313&gt;=1,M313&lt;5)</formula>
    </cfRule>
  </conditionalFormatting>
  <conditionalFormatting sqref="M314">
    <cfRule type="expression" rank="0" priority="1255" equalAverage="0" aboveAverage="0" dxfId="0" text="" percent="0" bottom="0">
      <formula>M314&gt;=20</formula>
    </cfRule>
    <cfRule type="expression" rank="0" priority="1256" equalAverage="0" aboveAverage="0" dxfId="1" text="" percent="0" bottom="0">
      <formula>AND(M314&gt;=10,M314&lt;20)</formula>
    </cfRule>
    <cfRule type="expression" rank="0" priority="1257" equalAverage="0" aboveAverage="0" dxfId="2" text="" percent="0" bottom="0">
      <formula>AND(M314&gt;=5,M314&lt;10)</formula>
    </cfRule>
    <cfRule type="expression" rank="0" priority="1258" equalAverage="0" aboveAverage="0" dxfId="3" text="" percent="0" bottom="0">
      <formula>AND(M314&gt;=1,M314&lt;5)</formula>
    </cfRule>
  </conditionalFormatting>
  <conditionalFormatting sqref="M315">
    <cfRule type="expression" rank="0" priority="1259" equalAverage="0" aboveAverage="0" dxfId="0" text="" percent="0" bottom="0">
      <formula>M315&gt;=20</formula>
    </cfRule>
    <cfRule type="expression" rank="0" priority="1260" equalAverage="0" aboveAverage="0" dxfId="1" text="" percent="0" bottom="0">
      <formula>AND(M315&gt;=10,M315&lt;20)</formula>
    </cfRule>
    <cfRule type="expression" rank="0" priority="1261" equalAverage="0" aboveAverage="0" dxfId="2" text="" percent="0" bottom="0">
      <formula>AND(M315&gt;=5,M315&lt;10)</formula>
    </cfRule>
    <cfRule type="expression" rank="0" priority="1262" equalAverage="0" aboveAverage="0" dxfId="3" text="" percent="0" bottom="0">
      <formula>AND(M315&gt;=1,M315&lt;5)</formula>
    </cfRule>
  </conditionalFormatting>
  <conditionalFormatting sqref="M316">
    <cfRule type="expression" rank="0" priority="1263" equalAverage="0" aboveAverage="0" dxfId="0" text="" percent="0" bottom="0">
      <formula>M316&gt;=20</formula>
    </cfRule>
    <cfRule type="expression" rank="0" priority="1264" equalAverage="0" aboveAverage="0" dxfId="1" text="" percent="0" bottom="0">
      <formula>AND(M316&gt;=10,M316&lt;20)</formula>
    </cfRule>
    <cfRule type="expression" rank="0" priority="1265" equalAverage="0" aboveAverage="0" dxfId="2" text="" percent="0" bottom="0">
      <formula>AND(M316&gt;=5,M316&lt;10)</formula>
    </cfRule>
    <cfRule type="expression" rank="0" priority="1266" equalAverage="0" aboveAverage="0" dxfId="3" text="" percent="0" bottom="0">
      <formula>AND(M316&gt;=1,M316&lt;5)</formula>
    </cfRule>
  </conditionalFormatting>
  <conditionalFormatting sqref="M317">
    <cfRule type="expression" rank="0" priority="1267" equalAverage="0" aboveAverage="0" dxfId="0" text="" percent="0" bottom="0">
      <formula>M317&gt;=20</formula>
    </cfRule>
    <cfRule type="expression" rank="0" priority="1268" equalAverage="0" aboveAverage="0" dxfId="1" text="" percent="0" bottom="0">
      <formula>AND(M317&gt;=10,M317&lt;20)</formula>
    </cfRule>
    <cfRule type="expression" rank="0" priority="1269" equalAverage="0" aboveAverage="0" dxfId="2" text="" percent="0" bottom="0">
      <formula>AND(M317&gt;=5,M317&lt;10)</formula>
    </cfRule>
    <cfRule type="expression" rank="0" priority="1270" equalAverage="0" aboveAverage="0" dxfId="3" text="" percent="0" bottom="0">
      <formula>AND(M317&gt;=1,M317&lt;5)</formula>
    </cfRule>
  </conditionalFormatting>
  <conditionalFormatting sqref="M318">
    <cfRule type="expression" rank="0" priority="1271" equalAverage="0" aboveAverage="0" dxfId="0" text="" percent="0" bottom="0">
      <formula>M318&gt;=20</formula>
    </cfRule>
    <cfRule type="expression" rank="0" priority="1272" equalAverage="0" aboveAverage="0" dxfId="1" text="" percent="0" bottom="0">
      <formula>AND(M318&gt;=10,M318&lt;20)</formula>
    </cfRule>
    <cfRule type="expression" rank="0" priority="1273" equalAverage="0" aboveAverage="0" dxfId="2" text="" percent="0" bottom="0">
      <formula>AND(M318&gt;=5,M318&lt;10)</formula>
    </cfRule>
    <cfRule type="expression" rank="0" priority="1274" equalAverage="0" aboveAverage="0" dxfId="3" text="" percent="0" bottom="0">
      <formula>AND(M318&gt;=1,M318&lt;5)</formula>
    </cfRule>
  </conditionalFormatting>
  <conditionalFormatting sqref="M319">
    <cfRule type="expression" rank="0" priority="1275" equalAverage="0" aboveAverage="0" dxfId="0" text="" percent="0" bottom="0">
      <formula>M319&gt;=20</formula>
    </cfRule>
    <cfRule type="expression" rank="0" priority="1276" equalAverage="0" aboveAverage="0" dxfId="1" text="" percent="0" bottom="0">
      <formula>AND(M319&gt;=10,M319&lt;20)</formula>
    </cfRule>
    <cfRule type="expression" rank="0" priority="1277" equalAverage="0" aboveAverage="0" dxfId="2" text="" percent="0" bottom="0">
      <formula>AND(M319&gt;=5,M319&lt;10)</formula>
    </cfRule>
    <cfRule type="expression" rank="0" priority="1278" equalAverage="0" aboveAverage="0" dxfId="3" text="" percent="0" bottom="0">
      <formula>AND(M319&gt;=1,M319&lt;5)</formula>
    </cfRule>
  </conditionalFormatting>
  <conditionalFormatting sqref="M320">
    <cfRule type="expression" rank="0" priority="1279" equalAverage="0" aboveAverage="0" dxfId="0" text="" percent="0" bottom="0">
      <formula>M320&gt;=20</formula>
    </cfRule>
    <cfRule type="expression" rank="0" priority="1280" equalAverage="0" aboveAverage="0" dxfId="1" text="" percent="0" bottom="0">
      <formula>AND(M320&gt;=10,M320&lt;20)</formula>
    </cfRule>
    <cfRule type="expression" rank="0" priority="1281" equalAverage="0" aboveAverage="0" dxfId="2" text="" percent="0" bottom="0">
      <formula>AND(M320&gt;=5,M320&lt;10)</formula>
    </cfRule>
    <cfRule type="expression" rank="0" priority="1282" equalAverage="0" aboveAverage="0" dxfId="3" text="" percent="0" bottom="0">
      <formula>AND(M320&gt;=1,M320&lt;5)</formula>
    </cfRule>
  </conditionalFormatting>
  <conditionalFormatting sqref="M321">
    <cfRule type="expression" rank="0" priority="1283" equalAverage="0" aboveAverage="0" dxfId="0" text="" percent="0" bottom="0">
      <formula>M321&gt;=20</formula>
    </cfRule>
    <cfRule type="expression" rank="0" priority="1284" equalAverage="0" aboveAverage="0" dxfId="1" text="" percent="0" bottom="0">
      <formula>AND(M321&gt;=10,M321&lt;20)</formula>
    </cfRule>
    <cfRule type="expression" rank="0" priority="1285" equalAverage="0" aboveAverage="0" dxfId="2" text="" percent="0" bottom="0">
      <formula>AND(M321&gt;=5,M321&lt;10)</formula>
    </cfRule>
    <cfRule type="expression" rank="0" priority="1286" equalAverage="0" aboveAverage="0" dxfId="3" text="" percent="0" bottom="0">
      <formula>AND(M321&gt;=1,M321&lt;5)</formula>
    </cfRule>
  </conditionalFormatting>
  <conditionalFormatting sqref="M322">
    <cfRule type="expression" rank="0" priority="1287" equalAverage="0" aboveAverage="0" dxfId="0" text="" percent="0" bottom="0">
      <formula>M322&gt;=20</formula>
    </cfRule>
    <cfRule type="expression" rank="0" priority="1288" equalAverage="0" aboveAverage="0" dxfId="1" text="" percent="0" bottom="0">
      <formula>AND(M322&gt;=10,M322&lt;20)</formula>
    </cfRule>
    <cfRule type="expression" rank="0" priority="1289" equalAverage="0" aboveAverage="0" dxfId="2" text="" percent="0" bottom="0">
      <formula>AND(M322&gt;=5,M322&lt;10)</formula>
    </cfRule>
    <cfRule type="expression" rank="0" priority="1290" equalAverage="0" aboveAverage="0" dxfId="3" text="" percent="0" bottom="0">
      <formula>AND(M322&gt;=1,M322&lt;5)</formula>
    </cfRule>
  </conditionalFormatting>
  <conditionalFormatting sqref="M323">
    <cfRule type="expression" rank="0" priority="1291" equalAverage="0" aboveAverage="0" dxfId="0" text="" percent="0" bottom="0">
      <formula>M323&gt;=20</formula>
    </cfRule>
    <cfRule type="expression" rank="0" priority="1292" equalAverage="0" aboveAverage="0" dxfId="1" text="" percent="0" bottom="0">
      <formula>AND(M323&gt;=10,M323&lt;20)</formula>
    </cfRule>
    <cfRule type="expression" rank="0" priority="1293" equalAverage="0" aboveAverage="0" dxfId="2" text="" percent="0" bottom="0">
      <formula>AND(M323&gt;=5,M323&lt;10)</formula>
    </cfRule>
    <cfRule type="expression" rank="0" priority="1294" equalAverage="0" aboveAverage="0" dxfId="3" text="" percent="0" bottom="0">
      <formula>AND(M323&gt;=1,M323&lt;5)</formula>
    </cfRule>
  </conditionalFormatting>
  <conditionalFormatting sqref="M324">
    <cfRule type="expression" rank="0" priority="1295" equalAverage="0" aboveAverage="0" dxfId="0" text="" percent="0" bottom="0">
      <formula>M324&gt;=20</formula>
    </cfRule>
    <cfRule type="expression" rank="0" priority="1296" equalAverage="0" aboveAverage="0" dxfId="1" text="" percent="0" bottom="0">
      <formula>AND(M324&gt;=10,M324&lt;20)</formula>
    </cfRule>
    <cfRule type="expression" rank="0" priority="1297" equalAverage="0" aboveAverage="0" dxfId="2" text="" percent="0" bottom="0">
      <formula>AND(M324&gt;=5,M324&lt;10)</formula>
    </cfRule>
    <cfRule type="expression" rank="0" priority="1298" equalAverage="0" aboveAverage="0" dxfId="3" text="" percent="0" bottom="0">
      <formula>AND(M324&gt;=1,M324&lt;5)</formula>
    </cfRule>
  </conditionalFormatting>
  <conditionalFormatting sqref="M325">
    <cfRule type="expression" rank="0" priority="1299" equalAverage="0" aboveAverage="0" dxfId="0" text="" percent="0" bottom="0">
      <formula>M325&gt;=20</formula>
    </cfRule>
    <cfRule type="expression" rank="0" priority="1300" equalAverage="0" aboveAverage="0" dxfId="1" text="" percent="0" bottom="0">
      <formula>AND(M325&gt;=10,M325&lt;20)</formula>
    </cfRule>
    <cfRule type="expression" rank="0" priority="1301" equalAverage="0" aboveAverage="0" dxfId="2" text="" percent="0" bottom="0">
      <formula>AND(M325&gt;=5,M325&lt;10)</formula>
    </cfRule>
    <cfRule type="expression" rank="0" priority="1302" equalAverage="0" aboveAverage="0" dxfId="3" text="" percent="0" bottom="0">
      <formula>AND(M325&gt;=1,M325&lt;5)</formula>
    </cfRule>
  </conditionalFormatting>
  <conditionalFormatting sqref="M326">
    <cfRule type="expression" rank="0" priority="1303" equalAverage="0" aboveAverage="0" dxfId="0" text="" percent="0" bottom="0">
      <formula>M326&gt;=20</formula>
    </cfRule>
    <cfRule type="expression" rank="0" priority="1304" equalAverage="0" aboveAverage="0" dxfId="1" text="" percent="0" bottom="0">
      <formula>AND(M326&gt;=10,M326&lt;20)</formula>
    </cfRule>
    <cfRule type="expression" rank="0" priority="1305" equalAverage="0" aboveAverage="0" dxfId="2" text="" percent="0" bottom="0">
      <formula>AND(M326&gt;=5,M326&lt;10)</formula>
    </cfRule>
    <cfRule type="expression" rank="0" priority="1306" equalAverage="0" aboveAverage="0" dxfId="3" text="" percent="0" bottom="0">
      <formula>AND(M326&gt;=1,M326&lt;5)</formula>
    </cfRule>
  </conditionalFormatting>
  <conditionalFormatting sqref="M327">
    <cfRule type="expression" rank="0" priority="1307" equalAverage="0" aboveAverage="0" dxfId="0" text="" percent="0" bottom="0">
      <formula>M327&gt;=20</formula>
    </cfRule>
    <cfRule type="expression" rank="0" priority="1308" equalAverage="0" aboveAverage="0" dxfId="1" text="" percent="0" bottom="0">
      <formula>AND(M327&gt;=10,M327&lt;20)</formula>
    </cfRule>
    <cfRule type="expression" rank="0" priority="1309" equalAverage="0" aboveAverage="0" dxfId="2" text="" percent="0" bottom="0">
      <formula>AND(M327&gt;=5,M327&lt;10)</formula>
    </cfRule>
    <cfRule type="expression" rank="0" priority="1310" equalAverage="0" aboveAverage="0" dxfId="3" text="" percent="0" bottom="0">
      <formula>AND(M327&gt;=1,M327&lt;5)</formula>
    </cfRule>
  </conditionalFormatting>
  <conditionalFormatting sqref="M328">
    <cfRule type="expression" rank="0" priority="1311" equalAverage="0" aboveAverage="0" dxfId="0" text="" percent="0" bottom="0">
      <formula>M328&gt;=20</formula>
    </cfRule>
    <cfRule type="expression" rank="0" priority="1312" equalAverage="0" aboveAverage="0" dxfId="1" text="" percent="0" bottom="0">
      <formula>AND(M328&gt;=10,M328&lt;20)</formula>
    </cfRule>
    <cfRule type="expression" rank="0" priority="1313" equalAverage="0" aboveAverage="0" dxfId="2" text="" percent="0" bottom="0">
      <formula>AND(M328&gt;=5,M328&lt;10)</formula>
    </cfRule>
    <cfRule type="expression" rank="0" priority="1314" equalAverage="0" aboveAverage="0" dxfId="3" text="" percent="0" bottom="0">
      <formula>AND(M328&gt;=1,M328&lt;5)</formula>
    </cfRule>
  </conditionalFormatting>
  <conditionalFormatting sqref="M329">
    <cfRule type="expression" rank="0" priority="1315" equalAverage="0" aboveAverage="0" dxfId="0" text="" percent="0" bottom="0">
      <formula>M329&gt;=20</formula>
    </cfRule>
    <cfRule type="expression" rank="0" priority="1316" equalAverage="0" aboveAverage="0" dxfId="1" text="" percent="0" bottom="0">
      <formula>AND(M329&gt;=10,M329&lt;20)</formula>
    </cfRule>
    <cfRule type="expression" rank="0" priority="1317" equalAverage="0" aboveAverage="0" dxfId="2" text="" percent="0" bottom="0">
      <formula>AND(M329&gt;=5,M329&lt;10)</formula>
    </cfRule>
    <cfRule type="expression" rank="0" priority="1318" equalAverage="0" aboveAverage="0" dxfId="3" text="" percent="0" bottom="0">
      <formula>AND(M329&gt;=1,M329&lt;5)</formula>
    </cfRule>
  </conditionalFormatting>
  <conditionalFormatting sqref="M330">
    <cfRule type="expression" rank="0" priority="1319" equalAverage="0" aboveAverage="0" dxfId="0" text="" percent="0" bottom="0">
      <formula>M330&gt;=20</formula>
    </cfRule>
    <cfRule type="expression" rank="0" priority="1320" equalAverage="0" aboveAverage="0" dxfId="1" text="" percent="0" bottom="0">
      <formula>AND(M330&gt;=10,M330&lt;20)</formula>
    </cfRule>
    <cfRule type="expression" rank="0" priority="1321" equalAverage="0" aboveAverage="0" dxfId="2" text="" percent="0" bottom="0">
      <formula>AND(M330&gt;=5,M330&lt;10)</formula>
    </cfRule>
    <cfRule type="expression" rank="0" priority="1322" equalAverage="0" aboveAverage="0" dxfId="3" text="" percent="0" bottom="0">
      <formula>AND(M330&gt;=1,M330&lt;5)</formula>
    </cfRule>
  </conditionalFormatting>
  <conditionalFormatting sqref="M331">
    <cfRule type="expression" rank="0" priority="1323" equalAverage="0" aboveAverage="0" dxfId="0" text="" percent="0" bottom="0">
      <formula>M331&gt;=20</formula>
    </cfRule>
    <cfRule type="expression" rank="0" priority="1324" equalAverage="0" aboveAverage="0" dxfId="1" text="" percent="0" bottom="0">
      <formula>AND(M331&gt;=10,M331&lt;20)</formula>
    </cfRule>
    <cfRule type="expression" rank="0" priority="1325" equalAverage="0" aboveAverage="0" dxfId="2" text="" percent="0" bottom="0">
      <formula>AND(M331&gt;=5,M331&lt;10)</formula>
    </cfRule>
    <cfRule type="expression" rank="0" priority="1326" equalAverage="0" aboveAverage="0" dxfId="3" text="" percent="0" bottom="0">
      <formula>AND(M331&gt;=1,M331&lt;5)</formula>
    </cfRule>
  </conditionalFormatting>
  <conditionalFormatting sqref="M332">
    <cfRule type="expression" rank="0" priority="1327" equalAverage="0" aboveAverage="0" dxfId="0" text="" percent="0" bottom="0">
      <formula>M332&gt;=20</formula>
    </cfRule>
    <cfRule type="expression" rank="0" priority="1328" equalAverage="0" aboveAverage="0" dxfId="1" text="" percent="0" bottom="0">
      <formula>AND(M332&gt;=10,M332&lt;20)</formula>
    </cfRule>
    <cfRule type="expression" rank="0" priority="1329" equalAverage="0" aboveAverage="0" dxfId="2" text="" percent="0" bottom="0">
      <formula>AND(M332&gt;=5,M332&lt;10)</formula>
    </cfRule>
    <cfRule type="expression" rank="0" priority="1330" equalAverage="0" aboveAverage="0" dxfId="3" text="" percent="0" bottom="0">
      <formula>AND(M332&gt;=1,M332&lt;5)</formula>
    </cfRule>
  </conditionalFormatting>
  <conditionalFormatting sqref="M333">
    <cfRule type="expression" rank="0" priority="1331" equalAverage="0" aboveAverage="0" dxfId="0" text="" percent="0" bottom="0">
      <formula>M333&gt;=20</formula>
    </cfRule>
    <cfRule type="expression" rank="0" priority="1332" equalAverage="0" aboveAverage="0" dxfId="1" text="" percent="0" bottom="0">
      <formula>AND(M333&gt;=10,M333&lt;20)</formula>
    </cfRule>
    <cfRule type="expression" rank="0" priority="1333" equalAverage="0" aboveAverage="0" dxfId="2" text="" percent="0" bottom="0">
      <formula>AND(M333&gt;=5,M333&lt;10)</formula>
    </cfRule>
    <cfRule type="expression" rank="0" priority="1334" equalAverage="0" aboveAverage="0" dxfId="3" text="" percent="0" bottom="0">
      <formula>AND(M333&gt;=1,M333&lt;5)</formula>
    </cfRule>
  </conditionalFormatting>
  <conditionalFormatting sqref="M334">
    <cfRule type="expression" rank="0" priority="1335" equalAverage="0" aboveAverage="0" dxfId="0" text="" percent="0" bottom="0">
      <formula>M334&gt;=20</formula>
    </cfRule>
    <cfRule type="expression" rank="0" priority="1336" equalAverage="0" aboveAverage="0" dxfId="1" text="" percent="0" bottom="0">
      <formula>AND(M334&gt;=10,M334&lt;20)</formula>
    </cfRule>
    <cfRule type="expression" rank="0" priority="1337" equalAverage="0" aboveAverage="0" dxfId="2" text="" percent="0" bottom="0">
      <formula>AND(M334&gt;=5,M334&lt;10)</formula>
    </cfRule>
    <cfRule type="expression" rank="0" priority="1338" equalAverage="0" aboveAverage="0" dxfId="3" text="" percent="0" bottom="0">
      <formula>AND(M334&gt;=1,M334&lt;5)</formula>
    </cfRule>
  </conditionalFormatting>
  <conditionalFormatting sqref="M335">
    <cfRule type="expression" rank="0" priority="1339" equalAverage="0" aboveAverage="0" dxfId="0" text="" percent="0" bottom="0">
      <formula>M335&gt;=20</formula>
    </cfRule>
    <cfRule type="expression" rank="0" priority="1340" equalAverage="0" aboveAverage="0" dxfId="1" text="" percent="0" bottom="0">
      <formula>AND(M335&gt;=10,M335&lt;20)</formula>
    </cfRule>
    <cfRule type="expression" rank="0" priority="1341" equalAverage="0" aboveAverage="0" dxfId="2" text="" percent="0" bottom="0">
      <formula>AND(M335&gt;=5,M335&lt;10)</formula>
    </cfRule>
    <cfRule type="expression" rank="0" priority="1342" equalAverage="0" aboveAverage="0" dxfId="3" text="" percent="0" bottom="0">
      <formula>AND(M335&gt;=1,M335&lt;5)</formula>
    </cfRule>
  </conditionalFormatting>
  <conditionalFormatting sqref="M336">
    <cfRule type="expression" rank="0" priority="1343" equalAverage="0" aboveAverage="0" dxfId="0" text="" percent="0" bottom="0">
      <formula>M336&gt;=20</formula>
    </cfRule>
    <cfRule type="expression" rank="0" priority="1344" equalAverage="0" aboveAverage="0" dxfId="1" text="" percent="0" bottom="0">
      <formula>AND(M336&gt;=10,M336&lt;20)</formula>
    </cfRule>
    <cfRule type="expression" rank="0" priority="1345" equalAverage="0" aboveAverage="0" dxfId="2" text="" percent="0" bottom="0">
      <formula>AND(M336&gt;=5,M336&lt;10)</formula>
    </cfRule>
    <cfRule type="expression" rank="0" priority="1346" equalAverage="0" aboveAverage="0" dxfId="3" text="" percent="0" bottom="0">
      <formula>AND(M336&gt;=1,M336&lt;5)</formula>
    </cfRule>
  </conditionalFormatting>
  <conditionalFormatting sqref="M337">
    <cfRule type="expression" rank="0" priority="1347" equalAverage="0" aboveAverage="0" dxfId="0" text="" percent="0" bottom="0">
      <formula>M337&gt;=20</formula>
    </cfRule>
    <cfRule type="expression" rank="0" priority="1348" equalAverage="0" aboveAverage="0" dxfId="1" text="" percent="0" bottom="0">
      <formula>AND(M337&gt;=10,M337&lt;20)</formula>
    </cfRule>
    <cfRule type="expression" rank="0" priority="1349" equalAverage="0" aboveAverage="0" dxfId="2" text="" percent="0" bottom="0">
      <formula>AND(M337&gt;=5,M337&lt;10)</formula>
    </cfRule>
    <cfRule type="expression" rank="0" priority="1350" equalAverage="0" aboveAverage="0" dxfId="3" text="" percent="0" bottom="0">
      <formula>AND(M337&gt;=1,M337&lt;5)</formula>
    </cfRule>
  </conditionalFormatting>
  <conditionalFormatting sqref="M338">
    <cfRule type="expression" rank="0" priority="1351" equalAverage="0" aboveAverage="0" dxfId="0" text="" percent="0" bottom="0">
      <formula>M338&gt;=20</formula>
    </cfRule>
    <cfRule type="expression" rank="0" priority="1352" equalAverage="0" aboveAverage="0" dxfId="1" text="" percent="0" bottom="0">
      <formula>AND(M338&gt;=10,M338&lt;20)</formula>
    </cfRule>
    <cfRule type="expression" rank="0" priority="1353" equalAverage="0" aboveAverage="0" dxfId="2" text="" percent="0" bottom="0">
      <formula>AND(M338&gt;=5,M338&lt;10)</formula>
    </cfRule>
    <cfRule type="expression" rank="0" priority="1354" equalAverage="0" aboveAverage="0" dxfId="3" text="" percent="0" bottom="0">
      <formula>AND(M338&gt;=1,M338&lt;5)</formula>
    </cfRule>
  </conditionalFormatting>
  <conditionalFormatting sqref="M339">
    <cfRule type="expression" rank="0" priority="1355" equalAverage="0" aboveAverage="0" dxfId="0" text="" percent="0" bottom="0">
      <formula>M339&gt;=20</formula>
    </cfRule>
    <cfRule type="expression" rank="0" priority="1356" equalAverage="0" aboveAverage="0" dxfId="1" text="" percent="0" bottom="0">
      <formula>AND(M339&gt;=10,M339&lt;20)</formula>
    </cfRule>
    <cfRule type="expression" rank="0" priority="1357" equalAverage="0" aboveAverage="0" dxfId="2" text="" percent="0" bottom="0">
      <formula>AND(M339&gt;=5,M339&lt;10)</formula>
    </cfRule>
    <cfRule type="expression" rank="0" priority="1358" equalAverage="0" aboveAverage="0" dxfId="3" text="" percent="0" bottom="0">
      <formula>AND(M339&gt;=1,M339&lt;5)</formula>
    </cfRule>
  </conditionalFormatting>
  <conditionalFormatting sqref="M340">
    <cfRule type="expression" rank="0" priority="1359" equalAverage="0" aboveAverage="0" dxfId="0" text="" percent="0" bottom="0">
      <formula>M340&gt;=20</formula>
    </cfRule>
    <cfRule type="expression" rank="0" priority="1360" equalAverage="0" aboveAverage="0" dxfId="1" text="" percent="0" bottom="0">
      <formula>AND(M340&gt;=10,M340&lt;20)</formula>
    </cfRule>
    <cfRule type="expression" rank="0" priority="1361" equalAverage="0" aboveAverage="0" dxfId="2" text="" percent="0" bottom="0">
      <formula>AND(M340&gt;=5,M340&lt;10)</formula>
    </cfRule>
    <cfRule type="expression" rank="0" priority="1362" equalAverage="0" aboveAverage="0" dxfId="3" text="" percent="0" bottom="0">
      <formula>AND(M340&gt;=1,M340&lt;5)</formula>
    </cfRule>
  </conditionalFormatting>
  <conditionalFormatting sqref="M341">
    <cfRule type="expression" rank="0" priority="1363" equalAverage="0" aboveAverage="0" dxfId="0" text="" percent="0" bottom="0">
      <formula>M341&gt;=20</formula>
    </cfRule>
    <cfRule type="expression" rank="0" priority="1364" equalAverage="0" aboveAverage="0" dxfId="1" text="" percent="0" bottom="0">
      <formula>AND(M341&gt;=10,M341&lt;20)</formula>
    </cfRule>
    <cfRule type="expression" rank="0" priority="1365" equalAverage="0" aboveAverage="0" dxfId="2" text="" percent="0" bottom="0">
      <formula>AND(M341&gt;=5,M341&lt;10)</formula>
    </cfRule>
    <cfRule type="expression" rank="0" priority="1366" equalAverage="0" aboveAverage="0" dxfId="3" text="" percent="0" bottom="0">
      <formula>AND(M341&gt;=1,M341&lt;5)</formula>
    </cfRule>
  </conditionalFormatting>
  <conditionalFormatting sqref="M342">
    <cfRule type="expression" rank="0" priority="1367" equalAverage="0" aboveAverage="0" dxfId="0" text="" percent="0" bottom="0">
      <formula>M342&gt;=20</formula>
    </cfRule>
    <cfRule type="expression" rank="0" priority="1368" equalAverage="0" aboveAverage="0" dxfId="1" text="" percent="0" bottom="0">
      <formula>AND(M342&gt;=10,M342&lt;20)</formula>
    </cfRule>
    <cfRule type="expression" rank="0" priority="1369" equalAverage="0" aboveAverage="0" dxfId="2" text="" percent="0" bottom="0">
      <formula>AND(M342&gt;=5,M342&lt;10)</formula>
    </cfRule>
    <cfRule type="expression" rank="0" priority="1370" equalAverage="0" aboveAverage="0" dxfId="3" text="" percent="0" bottom="0">
      <formula>AND(M342&gt;=1,M342&lt;5)</formula>
    </cfRule>
  </conditionalFormatting>
  <conditionalFormatting sqref="M343">
    <cfRule type="expression" rank="0" priority="1371" equalAverage="0" aboveAverage="0" dxfId="0" text="" percent="0" bottom="0">
      <formula>M343&gt;=20</formula>
    </cfRule>
    <cfRule type="expression" rank="0" priority="1372" equalAverage="0" aboveAverage="0" dxfId="1" text="" percent="0" bottom="0">
      <formula>AND(M343&gt;=10,M343&lt;20)</formula>
    </cfRule>
    <cfRule type="expression" rank="0" priority="1373" equalAverage="0" aboveAverage="0" dxfId="2" text="" percent="0" bottom="0">
      <formula>AND(M343&gt;=5,M343&lt;10)</formula>
    </cfRule>
    <cfRule type="expression" rank="0" priority="1374" equalAverage="0" aboveAverage="0" dxfId="3" text="" percent="0" bottom="0">
      <formula>AND(M343&gt;=1,M343&lt;5)</formula>
    </cfRule>
  </conditionalFormatting>
  <conditionalFormatting sqref="M344">
    <cfRule type="expression" rank="0" priority="1375" equalAverage="0" aboveAverage="0" dxfId="0" text="" percent="0" bottom="0">
      <formula>M344&gt;=20</formula>
    </cfRule>
    <cfRule type="expression" rank="0" priority="1376" equalAverage="0" aboveAverage="0" dxfId="1" text="" percent="0" bottom="0">
      <formula>AND(M344&gt;=10,M344&lt;20)</formula>
    </cfRule>
    <cfRule type="expression" rank="0" priority="1377" equalAverage="0" aboveAverage="0" dxfId="2" text="" percent="0" bottom="0">
      <formula>AND(M344&gt;=5,M344&lt;10)</formula>
    </cfRule>
    <cfRule type="expression" rank="0" priority="1378" equalAverage="0" aboveAverage="0" dxfId="3" text="" percent="0" bottom="0">
      <formula>AND(M344&gt;=1,M344&lt;5)</formula>
    </cfRule>
  </conditionalFormatting>
  <conditionalFormatting sqref="M345">
    <cfRule type="expression" rank="0" priority="1379" equalAverage="0" aboveAverage="0" dxfId="0" text="" percent="0" bottom="0">
      <formula>M345&gt;=20</formula>
    </cfRule>
    <cfRule type="expression" rank="0" priority="1380" equalAverage="0" aboveAverage="0" dxfId="1" text="" percent="0" bottom="0">
      <formula>AND(M345&gt;=10,M345&lt;20)</formula>
    </cfRule>
    <cfRule type="expression" rank="0" priority="1381" equalAverage="0" aboveAverage="0" dxfId="2" text="" percent="0" bottom="0">
      <formula>AND(M345&gt;=5,M345&lt;10)</formula>
    </cfRule>
    <cfRule type="expression" rank="0" priority="1382" equalAverage="0" aboveAverage="0" dxfId="3" text="" percent="0" bottom="0">
      <formula>AND(M345&gt;=1,M345&lt;5)</formula>
    </cfRule>
  </conditionalFormatting>
  <conditionalFormatting sqref="M346">
    <cfRule type="expression" rank="0" priority="1383" equalAverage="0" aboveAverage="0" dxfId="0" text="" percent="0" bottom="0">
      <formula>M346&gt;=20</formula>
    </cfRule>
    <cfRule type="expression" rank="0" priority="1384" equalAverage="0" aboveAverage="0" dxfId="1" text="" percent="0" bottom="0">
      <formula>AND(M346&gt;=10,M346&lt;20)</formula>
    </cfRule>
    <cfRule type="expression" rank="0" priority="1385" equalAverage="0" aboveAverage="0" dxfId="2" text="" percent="0" bottom="0">
      <formula>AND(M346&gt;=5,M346&lt;10)</formula>
    </cfRule>
    <cfRule type="expression" rank="0" priority="1386" equalAverage="0" aboveAverage="0" dxfId="3" text="" percent="0" bottom="0">
      <formula>AND(M346&gt;=1,M346&lt;5)</formula>
    </cfRule>
  </conditionalFormatting>
  <conditionalFormatting sqref="M347">
    <cfRule type="expression" rank="0" priority="1387" equalAverage="0" aboveAverage="0" dxfId="0" text="" percent="0" bottom="0">
      <formula>M347&gt;=20</formula>
    </cfRule>
    <cfRule type="expression" rank="0" priority="1388" equalAverage="0" aboveAverage="0" dxfId="1" text="" percent="0" bottom="0">
      <formula>AND(M347&gt;=10,M347&lt;20)</formula>
    </cfRule>
    <cfRule type="expression" rank="0" priority="1389" equalAverage="0" aboveAverage="0" dxfId="2" text="" percent="0" bottom="0">
      <formula>AND(M347&gt;=5,M347&lt;10)</formula>
    </cfRule>
    <cfRule type="expression" rank="0" priority="1390" equalAverage="0" aboveAverage="0" dxfId="3" text="" percent="0" bottom="0">
      <formula>AND(M347&gt;=1,M347&lt;5)</formula>
    </cfRule>
  </conditionalFormatting>
  <conditionalFormatting sqref="M348">
    <cfRule type="expression" rank="0" priority="1391" equalAverage="0" aboveAverage="0" dxfId="0" text="" percent="0" bottom="0">
      <formula>M348&gt;=20</formula>
    </cfRule>
    <cfRule type="expression" rank="0" priority="1392" equalAverage="0" aboveAverage="0" dxfId="1" text="" percent="0" bottom="0">
      <formula>AND(M348&gt;=10,M348&lt;20)</formula>
    </cfRule>
    <cfRule type="expression" rank="0" priority="1393" equalAverage="0" aboveAverage="0" dxfId="2" text="" percent="0" bottom="0">
      <formula>AND(M348&gt;=5,M348&lt;10)</formula>
    </cfRule>
    <cfRule type="expression" rank="0" priority="1394" equalAverage="0" aboveAverage="0" dxfId="3" text="" percent="0" bottom="0">
      <formula>AND(M348&gt;=1,M348&lt;5)</formula>
    </cfRule>
  </conditionalFormatting>
  <conditionalFormatting sqref="M349">
    <cfRule type="expression" rank="0" priority="1395" equalAverage="0" aboveAverage="0" dxfId="0" text="" percent="0" bottom="0">
      <formula>M349&gt;=20</formula>
    </cfRule>
    <cfRule type="expression" rank="0" priority="1396" equalAverage="0" aboveAverage="0" dxfId="1" text="" percent="0" bottom="0">
      <formula>AND(M349&gt;=10,M349&lt;20)</formula>
    </cfRule>
    <cfRule type="expression" rank="0" priority="1397" equalAverage="0" aboveAverage="0" dxfId="2" text="" percent="0" bottom="0">
      <formula>AND(M349&gt;=5,M349&lt;10)</formula>
    </cfRule>
    <cfRule type="expression" rank="0" priority="1398" equalAverage="0" aboveAverage="0" dxfId="3" text="" percent="0" bottom="0">
      <formula>AND(M349&gt;=1,M349&lt;5)</formula>
    </cfRule>
  </conditionalFormatting>
  <conditionalFormatting sqref="M350">
    <cfRule type="expression" rank="0" priority="1399" equalAverage="0" aboveAverage="0" dxfId="0" text="" percent="0" bottom="0">
      <formula>M350&gt;=20</formula>
    </cfRule>
    <cfRule type="expression" rank="0" priority="1400" equalAverage="0" aboveAverage="0" dxfId="1" text="" percent="0" bottom="0">
      <formula>AND(M350&gt;=10,M350&lt;20)</formula>
    </cfRule>
    <cfRule type="expression" rank="0" priority="1401" equalAverage="0" aboveAverage="0" dxfId="2" text="" percent="0" bottom="0">
      <formula>AND(M350&gt;=5,M350&lt;10)</formula>
    </cfRule>
    <cfRule type="expression" rank="0" priority="1402" equalAverage="0" aboveAverage="0" dxfId="3" text="" percent="0" bottom="0">
      <formula>AND(M350&gt;=1,M350&lt;5)</formula>
    </cfRule>
  </conditionalFormatting>
  <conditionalFormatting sqref="M351">
    <cfRule type="expression" rank="0" priority="1403" equalAverage="0" aboveAverage="0" dxfId="0" text="" percent="0" bottom="0">
      <formula>M351&gt;=20</formula>
    </cfRule>
    <cfRule type="expression" rank="0" priority="1404" equalAverage="0" aboveAverage="0" dxfId="1" text="" percent="0" bottom="0">
      <formula>AND(M351&gt;=10,M351&lt;20)</formula>
    </cfRule>
    <cfRule type="expression" rank="0" priority="1405" equalAverage="0" aboveAverage="0" dxfId="2" text="" percent="0" bottom="0">
      <formula>AND(M351&gt;=5,M351&lt;10)</formula>
    </cfRule>
    <cfRule type="expression" rank="0" priority="1406" equalAverage="0" aboveAverage="0" dxfId="3" text="" percent="0" bottom="0">
      <formula>AND(M351&gt;=1,M351&lt;5)</formula>
    </cfRule>
  </conditionalFormatting>
  <conditionalFormatting sqref="M352">
    <cfRule type="expression" rank="0" priority="1407" equalAverage="0" aboveAverage="0" dxfId="0" text="" percent="0" bottom="0">
      <formula>M352&gt;=20</formula>
    </cfRule>
    <cfRule type="expression" rank="0" priority="1408" equalAverage="0" aboveAverage="0" dxfId="1" text="" percent="0" bottom="0">
      <formula>AND(M352&gt;=10,M352&lt;20)</formula>
    </cfRule>
    <cfRule type="expression" rank="0" priority="1409" equalAverage="0" aboveAverage="0" dxfId="2" text="" percent="0" bottom="0">
      <formula>AND(M352&gt;=5,M352&lt;10)</formula>
    </cfRule>
    <cfRule type="expression" rank="0" priority="1410" equalAverage="0" aboveAverage="0" dxfId="3" text="" percent="0" bottom="0">
      <formula>AND(M352&gt;=1,M352&lt;5)</formula>
    </cfRule>
  </conditionalFormatting>
  <conditionalFormatting sqref="M353">
    <cfRule type="expression" rank="0" priority="1411" equalAverage="0" aboveAverage="0" dxfId="0" text="" percent="0" bottom="0">
      <formula>M353&gt;=20</formula>
    </cfRule>
    <cfRule type="expression" rank="0" priority="1412" equalAverage="0" aboveAverage="0" dxfId="1" text="" percent="0" bottom="0">
      <formula>AND(M353&gt;=10,M353&lt;20)</formula>
    </cfRule>
    <cfRule type="expression" rank="0" priority="1413" equalAverage="0" aboveAverage="0" dxfId="2" text="" percent="0" bottom="0">
      <formula>AND(M353&gt;=5,M353&lt;10)</formula>
    </cfRule>
    <cfRule type="expression" rank="0" priority="1414" equalAverage="0" aboveAverage="0" dxfId="3" text="" percent="0" bottom="0">
      <formula>AND(M353&gt;=1,M353&lt;5)</formula>
    </cfRule>
  </conditionalFormatting>
  <conditionalFormatting sqref="M354">
    <cfRule type="expression" rank="0" priority="1415" equalAverage="0" aboveAverage="0" dxfId="0" text="" percent="0" bottom="0">
      <formula>M354&gt;=20</formula>
    </cfRule>
    <cfRule type="expression" rank="0" priority="1416" equalAverage="0" aboveAverage="0" dxfId="1" text="" percent="0" bottom="0">
      <formula>AND(M354&gt;=10,M354&lt;20)</formula>
    </cfRule>
    <cfRule type="expression" rank="0" priority="1417" equalAverage="0" aboveAverage="0" dxfId="2" text="" percent="0" bottom="0">
      <formula>AND(M354&gt;=5,M354&lt;10)</formula>
    </cfRule>
    <cfRule type="expression" rank="0" priority="1418" equalAverage="0" aboveAverage="0" dxfId="3" text="" percent="0" bottom="0">
      <formula>AND(M354&gt;=1,M354&lt;5)</formula>
    </cfRule>
  </conditionalFormatting>
  <conditionalFormatting sqref="M355">
    <cfRule type="expression" rank="0" priority="1419" equalAverage="0" aboveAverage="0" dxfId="0" text="" percent="0" bottom="0">
      <formula>M355&gt;=20</formula>
    </cfRule>
    <cfRule type="expression" rank="0" priority="1420" equalAverage="0" aboveAverage="0" dxfId="1" text="" percent="0" bottom="0">
      <formula>AND(M355&gt;=10,M355&lt;20)</formula>
    </cfRule>
    <cfRule type="expression" rank="0" priority="1421" equalAverage="0" aboveAverage="0" dxfId="2" text="" percent="0" bottom="0">
      <formula>AND(M355&gt;=5,M355&lt;10)</formula>
    </cfRule>
    <cfRule type="expression" rank="0" priority="1422" equalAverage="0" aboveAverage="0" dxfId="3" text="" percent="0" bottom="0">
      <formula>AND(M355&gt;=1,M355&lt;5)</formula>
    </cfRule>
  </conditionalFormatting>
  <conditionalFormatting sqref="M356">
    <cfRule type="expression" rank="0" priority="1423" equalAverage="0" aboveAverage="0" dxfId="0" text="" percent="0" bottom="0">
      <formula>M356&gt;=20</formula>
    </cfRule>
    <cfRule type="expression" rank="0" priority="1424" equalAverage="0" aboveAverage="0" dxfId="1" text="" percent="0" bottom="0">
      <formula>AND(M356&gt;=10,M356&lt;20)</formula>
    </cfRule>
    <cfRule type="expression" rank="0" priority="1425" equalAverage="0" aboveAverage="0" dxfId="2" text="" percent="0" bottom="0">
      <formula>AND(M356&gt;=5,M356&lt;10)</formula>
    </cfRule>
    <cfRule type="expression" rank="0" priority="1426" equalAverage="0" aboveAverage="0" dxfId="3" text="" percent="0" bottom="0">
      <formula>AND(M356&gt;=1,M356&lt;5)</formula>
    </cfRule>
  </conditionalFormatting>
  <conditionalFormatting sqref="M357">
    <cfRule type="expression" rank="0" priority="1427" equalAverage="0" aboveAverage="0" dxfId="0" text="" percent="0" bottom="0">
      <formula>M357&gt;=20</formula>
    </cfRule>
    <cfRule type="expression" rank="0" priority="1428" equalAverage="0" aboveAverage="0" dxfId="1" text="" percent="0" bottom="0">
      <formula>AND(M357&gt;=10,M357&lt;20)</formula>
    </cfRule>
    <cfRule type="expression" rank="0" priority="1429" equalAverage="0" aboveAverage="0" dxfId="2" text="" percent="0" bottom="0">
      <formula>AND(M357&gt;=5,M357&lt;10)</formula>
    </cfRule>
    <cfRule type="expression" rank="0" priority="1430" equalAverage="0" aboveAverage="0" dxfId="3" text="" percent="0" bottom="0">
      <formula>AND(M357&gt;=1,M357&lt;5)</formula>
    </cfRule>
  </conditionalFormatting>
  <conditionalFormatting sqref="M358">
    <cfRule type="expression" rank="0" priority="1431" equalAverage="0" aboveAverage="0" dxfId="0" text="" percent="0" bottom="0">
      <formula>M358&gt;=20</formula>
    </cfRule>
    <cfRule type="expression" rank="0" priority="1432" equalAverage="0" aboveAverage="0" dxfId="1" text="" percent="0" bottom="0">
      <formula>AND(M358&gt;=10,M358&lt;20)</formula>
    </cfRule>
    <cfRule type="expression" rank="0" priority="1433" equalAverage="0" aboveAverage="0" dxfId="2" text="" percent="0" bottom="0">
      <formula>AND(M358&gt;=5,M358&lt;10)</formula>
    </cfRule>
    <cfRule type="expression" rank="0" priority="1434" equalAverage="0" aboveAverage="0" dxfId="3" text="" percent="0" bottom="0">
      <formula>AND(M358&gt;=1,M358&lt;5)</formula>
    </cfRule>
  </conditionalFormatting>
  <conditionalFormatting sqref="M359">
    <cfRule type="expression" rank="0" priority="1435" equalAverage="0" aboveAverage="0" dxfId="0" text="" percent="0" bottom="0">
      <formula>M359&gt;=20</formula>
    </cfRule>
    <cfRule type="expression" rank="0" priority="1436" equalAverage="0" aboveAverage="0" dxfId="1" text="" percent="0" bottom="0">
      <formula>AND(M359&gt;=10,M359&lt;20)</formula>
    </cfRule>
    <cfRule type="expression" rank="0" priority="1437" equalAverage="0" aboveAverage="0" dxfId="2" text="" percent="0" bottom="0">
      <formula>AND(M359&gt;=5,M359&lt;10)</formula>
    </cfRule>
    <cfRule type="expression" rank="0" priority="1438" equalAverage="0" aboveAverage="0" dxfId="3" text="" percent="0" bottom="0">
      <formula>AND(M359&gt;=1,M359&lt;5)</formula>
    </cfRule>
  </conditionalFormatting>
  <conditionalFormatting sqref="M360">
    <cfRule type="expression" rank="0" priority="1439" equalAverage="0" aboveAverage="0" dxfId="0" text="" percent="0" bottom="0">
      <formula>M360&gt;=20</formula>
    </cfRule>
    <cfRule type="expression" rank="0" priority="1440" equalAverage="0" aboveAverage="0" dxfId="1" text="" percent="0" bottom="0">
      <formula>AND(M360&gt;=10,M360&lt;20)</formula>
    </cfRule>
    <cfRule type="expression" rank="0" priority="1441" equalAverage="0" aboveAverage="0" dxfId="2" text="" percent="0" bottom="0">
      <formula>AND(M360&gt;=5,M360&lt;10)</formula>
    </cfRule>
    <cfRule type="expression" rank="0" priority="1442" equalAverage="0" aboveAverage="0" dxfId="3" text="" percent="0" bottom="0">
      <formula>AND(M360&gt;=1,M360&lt;5)</formula>
    </cfRule>
  </conditionalFormatting>
  <conditionalFormatting sqref="M361">
    <cfRule type="expression" rank="0" priority="1443" equalAverage="0" aboveAverage="0" dxfId="0" text="" percent="0" bottom="0">
      <formula>M361&gt;=20</formula>
    </cfRule>
    <cfRule type="expression" rank="0" priority="1444" equalAverage="0" aboveAverage="0" dxfId="1" text="" percent="0" bottom="0">
      <formula>AND(M361&gt;=10,M361&lt;20)</formula>
    </cfRule>
    <cfRule type="expression" rank="0" priority="1445" equalAverage="0" aboveAverage="0" dxfId="2" text="" percent="0" bottom="0">
      <formula>AND(M361&gt;=5,M361&lt;10)</formula>
    </cfRule>
    <cfRule type="expression" rank="0" priority="1446" equalAverage="0" aboveAverage="0" dxfId="3" text="" percent="0" bottom="0">
      <formula>AND(M361&gt;=1,M361&lt;5)</formula>
    </cfRule>
  </conditionalFormatting>
  <conditionalFormatting sqref="M362">
    <cfRule type="expression" rank="0" priority="1447" equalAverage="0" aboveAverage="0" dxfId="0" text="" percent="0" bottom="0">
      <formula>M362&gt;=20</formula>
    </cfRule>
    <cfRule type="expression" rank="0" priority="1448" equalAverage="0" aboveAverage="0" dxfId="1" text="" percent="0" bottom="0">
      <formula>AND(M362&gt;=10,M362&lt;20)</formula>
    </cfRule>
    <cfRule type="expression" rank="0" priority="1449" equalAverage="0" aboveAverage="0" dxfId="2" text="" percent="0" bottom="0">
      <formula>AND(M362&gt;=5,M362&lt;10)</formula>
    </cfRule>
    <cfRule type="expression" rank="0" priority="1450" equalAverage="0" aboveAverage="0" dxfId="3" text="" percent="0" bottom="0">
      <formula>AND(M362&gt;=1,M362&lt;5)</formula>
    </cfRule>
  </conditionalFormatting>
  <conditionalFormatting sqref="M363">
    <cfRule type="expression" rank="0" priority="1451" equalAverage="0" aboveAverage="0" dxfId="0" text="" percent="0" bottom="0">
      <formula>M363&gt;=20</formula>
    </cfRule>
    <cfRule type="expression" rank="0" priority="1452" equalAverage="0" aboveAverage="0" dxfId="1" text="" percent="0" bottom="0">
      <formula>AND(M363&gt;=10,M363&lt;20)</formula>
    </cfRule>
    <cfRule type="expression" rank="0" priority="1453" equalAverage="0" aboveAverage="0" dxfId="2" text="" percent="0" bottom="0">
      <formula>AND(M363&gt;=5,M363&lt;10)</formula>
    </cfRule>
    <cfRule type="expression" rank="0" priority="1454" equalAverage="0" aboveAverage="0" dxfId="3" text="" percent="0" bottom="0">
      <formula>AND(M363&gt;=1,M363&lt;5)</formula>
    </cfRule>
  </conditionalFormatting>
  <conditionalFormatting sqref="M364">
    <cfRule type="expression" rank="0" priority="1455" equalAverage="0" aboveAverage="0" dxfId="0" text="" percent="0" bottom="0">
      <formula>M364&gt;=20</formula>
    </cfRule>
    <cfRule type="expression" rank="0" priority="1456" equalAverage="0" aboveAverage="0" dxfId="1" text="" percent="0" bottom="0">
      <formula>AND(M364&gt;=10,M364&lt;20)</formula>
    </cfRule>
    <cfRule type="expression" rank="0" priority="1457" equalAverage="0" aboveAverage="0" dxfId="2" text="" percent="0" bottom="0">
      <formula>AND(M364&gt;=5,M364&lt;10)</formula>
    </cfRule>
    <cfRule type="expression" rank="0" priority="1458" equalAverage="0" aboveAverage="0" dxfId="3" text="" percent="0" bottom="0">
      <formula>AND(M364&gt;=1,M364&lt;5)</formula>
    </cfRule>
  </conditionalFormatting>
  <conditionalFormatting sqref="M365">
    <cfRule type="expression" rank="0" priority="1459" equalAverage="0" aboveAverage="0" dxfId="0" text="" percent="0" bottom="0">
      <formula>M365&gt;=20</formula>
    </cfRule>
    <cfRule type="expression" rank="0" priority="1460" equalAverage="0" aboveAverage="0" dxfId="1" text="" percent="0" bottom="0">
      <formula>AND(M365&gt;=10,M365&lt;20)</formula>
    </cfRule>
    <cfRule type="expression" rank="0" priority="1461" equalAverage="0" aboveAverage="0" dxfId="2" text="" percent="0" bottom="0">
      <formula>AND(M365&gt;=5,M365&lt;10)</formula>
    </cfRule>
    <cfRule type="expression" rank="0" priority="1462" equalAverage="0" aboveAverage="0" dxfId="3" text="" percent="0" bottom="0">
      <formula>AND(M365&gt;=1,M365&lt;5)</formula>
    </cfRule>
  </conditionalFormatting>
  <conditionalFormatting sqref="M366">
    <cfRule type="expression" rank="0" priority="1463" equalAverage="0" aboveAverage="0" dxfId="0" text="" percent="0" bottom="0">
      <formula>M366&gt;=20</formula>
    </cfRule>
    <cfRule type="expression" rank="0" priority="1464" equalAverage="0" aboveAverage="0" dxfId="1" text="" percent="0" bottom="0">
      <formula>AND(M366&gt;=10,M366&lt;20)</formula>
    </cfRule>
    <cfRule type="expression" rank="0" priority="1465" equalAverage="0" aboveAverage="0" dxfId="2" text="" percent="0" bottom="0">
      <formula>AND(M366&gt;=5,M366&lt;10)</formula>
    </cfRule>
    <cfRule type="expression" rank="0" priority="1466" equalAverage="0" aboveAverage="0" dxfId="3" text="" percent="0" bottom="0">
      <formula>AND(M366&gt;=1,M366&lt;5)</formula>
    </cfRule>
  </conditionalFormatting>
  <conditionalFormatting sqref="M367">
    <cfRule type="expression" rank="0" priority="1467" equalAverage="0" aboveAverage="0" dxfId="0" text="" percent="0" bottom="0">
      <formula>M367&gt;=20</formula>
    </cfRule>
    <cfRule type="expression" rank="0" priority="1468" equalAverage="0" aboveAverage="0" dxfId="1" text="" percent="0" bottom="0">
      <formula>AND(M367&gt;=10,M367&lt;20)</formula>
    </cfRule>
    <cfRule type="expression" rank="0" priority="1469" equalAverage="0" aboveAverage="0" dxfId="2" text="" percent="0" bottom="0">
      <formula>AND(M367&gt;=5,M367&lt;10)</formula>
    </cfRule>
    <cfRule type="expression" rank="0" priority="1470" equalAverage="0" aboveAverage="0" dxfId="3" text="" percent="0" bottom="0">
      <formula>AND(M367&gt;=1,M367&lt;5)</formula>
    </cfRule>
  </conditionalFormatting>
  <conditionalFormatting sqref="M368">
    <cfRule type="expression" rank="0" priority="1471" equalAverage="0" aboveAverage="0" dxfId="0" text="" percent="0" bottom="0">
      <formula>M368&gt;=20</formula>
    </cfRule>
    <cfRule type="expression" rank="0" priority="1472" equalAverage="0" aboveAverage="0" dxfId="1" text="" percent="0" bottom="0">
      <formula>AND(M368&gt;=10,M368&lt;20)</formula>
    </cfRule>
    <cfRule type="expression" rank="0" priority="1473" equalAverage="0" aboveAverage="0" dxfId="2" text="" percent="0" bottom="0">
      <formula>AND(M368&gt;=5,M368&lt;10)</formula>
    </cfRule>
    <cfRule type="expression" rank="0" priority="1474" equalAverage="0" aboveAverage="0" dxfId="3" text="" percent="0" bottom="0">
      <formula>AND(M368&gt;=1,M368&lt;5)</formula>
    </cfRule>
  </conditionalFormatting>
  <conditionalFormatting sqref="M369">
    <cfRule type="expression" rank="0" priority="1475" equalAverage="0" aboveAverage="0" dxfId="0" text="" percent="0" bottom="0">
      <formula>M369&gt;=20</formula>
    </cfRule>
    <cfRule type="expression" rank="0" priority="1476" equalAverage="0" aboveAverage="0" dxfId="1" text="" percent="0" bottom="0">
      <formula>AND(M369&gt;=10,M369&lt;20)</formula>
    </cfRule>
    <cfRule type="expression" rank="0" priority="1477" equalAverage="0" aboveAverage="0" dxfId="2" text="" percent="0" bottom="0">
      <formula>AND(M369&gt;=5,M369&lt;10)</formula>
    </cfRule>
    <cfRule type="expression" rank="0" priority="1478" equalAverage="0" aboveAverage="0" dxfId="3" text="" percent="0" bottom="0">
      <formula>AND(M369&gt;=1,M369&lt;5)</formula>
    </cfRule>
  </conditionalFormatting>
  <conditionalFormatting sqref="M370">
    <cfRule type="expression" rank="0" priority="1479" equalAverage="0" aboveAverage="0" dxfId="0" text="" percent="0" bottom="0">
      <formula>M370&gt;=20</formula>
    </cfRule>
    <cfRule type="expression" rank="0" priority="1480" equalAverage="0" aboveAverage="0" dxfId="1" text="" percent="0" bottom="0">
      <formula>AND(M370&gt;=10,M370&lt;20)</formula>
    </cfRule>
    <cfRule type="expression" rank="0" priority="1481" equalAverage="0" aboveAverage="0" dxfId="2" text="" percent="0" bottom="0">
      <formula>AND(M370&gt;=5,M370&lt;10)</formula>
    </cfRule>
    <cfRule type="expression" rank="0" priority="1482" equalAverage="0" aboveAverage="0" dxfId="3" text="" percent="0" bottom="0">
      <formula>AND(M370&gt;=1,M370&lt;5)</formula>
    </cfRule>
  </conditionalFormatting>
  <conditionalFormatting sqref="M371">
    <cfRule type="expression" rank="0" priority="1483" equalAverage="0" aboveAverage="0" dxfId="0" text="" percent="0" bottom="0">
      <formula>M371&gt;=20</formula>
    </cfRule>
    <cfRule type="expression" rank="0" priority="1484" equalAverage="0" aboveAverage="0" dxfId="1" text="" percent="0" bottom="0">
      <formula>AND(M371&gt;=10,M371&lt;20)</formula>
    </cfRule>
    <cfRule type="expression" rank="0" priority="1485" equalAverage="0" aboveAverage="0" dxfId="2" text="" percent="0" bottom="0">
      <formula>AND(M371&gt;=5,M371&lt;10)</formula>
    </cfRule>
    <cfRule type="expression" rank="0" priority="1486" equalAverage="0" aboveAverage="0" dxfId="3" text="" percent="0" bottom="0">
      <formula>AND(M371&gt;=1,M371&lt;5)</formula>
    </cfRule>
  </conditionalFormatting>
  <conditionalFormatting sqref="M372">
    <cfRule type="expression" rank="0" priority="1487" equalAverage="0" aboveAverage="0" dxfId="0" text="" percent="0" bottom="0">
      <formula>M372&gt;=20</formula>
    </cfRule>
    <cfRule type="expression" rank="0" priority="1488" equalAverage="0" aboveAverage="0" dxfId="1" text="" percent="0" bottom="0">
      <formula>AND(M372&gt;=10,M372&lt;20)</formula>
    </cfRule>
    <cfRule type="expression" rank="0" priority="1489" equalAverage="0" aboveAverage="0" dxfId="2" text="" percent="0" bottom="0">
      <formula>AND(M372&gt;=5,M372&lt;10)</formula>
    </cfRule>
    <cfRule type="expression" rank="0" priority="1490" equalAverage="0" aboveAverage="0" dxfId="3" text="" percent="0" bottom="0">
      <formula>AND(M372&gt;=1,M372&lt;5)</formula>
    </cfRule>
  </conditionalFormatting>
  <conditionalFormatting sqref="M373">
    <cfRule type="expression" rank="0" priority="1491" equalAverage="0" aboveAverage="0" dxfId="0" text="" percent="0" bottom="0">
      <formula>M373&gt;=20</formula>
    </cfRule>
    <cfRule type="expression" rank="0" priority="1492" equalAverage="0" aboveAverage="0" dxfId="1" text="" percent="0" bottom="0">
      <formula>AND(M373&gt;=10,M373&lt;20)</formula>
    </cfRule>
    <cfRule type="expression" rank="0" priority="1493" equalAverage="0" aboveAverage="0" dxfId="2" text="" percent="0" bottom="0">
      <formula>AND(M373&gt;=5,M373&lt;10)</formula>
    </cfRule>
    <cfRule type="expression" rank="0" priority="1494" equalAverage="0" aboveAverage="0" dxfId="3" text="" percent="0" bottom="0">
      <formula>AND(M373&gt;=1,M373&lt;5)</formula>
    </cfRule>
  </conditionalFormatting>
  <conditionalFormatting sqref="M374">
    <cfRule type="expression" rank="0" priority="1495" equalAverage="0" aboveAverage="0" dxfId="0" text="" percent="0" bottom="0">
      <formula>M374&gt;=20</formula>
    </cfRule>
    <cfRule type="expression" rank="0" priority="1496" equalAverage="0" aboveAverage="0" dxfId="1" text="" percent="0" bottom="0">
      <formula>AND(M374&gt;=10,M374&lt;20)</formula>
    </cfRule>
    <cfRule type="expression" rank="0" priority="1497" equalAverage="0" aboveAverage="0" dxfId="2" text="" percent="0" bottom="0">
      <formula>AND(M374&gt;=5,M374&lt;10)</formula>
    </cfRule>
    <cfRule type="expression" rank="0" priority="1498" equalAverage="0" aboveAverage="0" dxfId="3" text="" percent="0" bottom="0">
      <formula>AND(M374&gt;=1,M374&lt;5)</formula>
    </cfRule>
  </conditionalFormatting>
  <conditionalFormatting sqref="M375">
    <cfRule type="expression" rank="0" priority="1499" equalAverage="0" aboveAverage="0" dxfId="0" text="" percent="0" bottom="0">
      <formula>M375&gt;=20</formula>
    </cfRule>
    <cfRule type="expression" rank="0" priority="1500" equalAverage="0" aboveAverage="0" dxfId="1" text="" percent="0" bottom="0">
      <formula>AND(M375&gt;=10,M375&lt;20)</formula>
    </cfRule>
    <cfRule type="expression" rank="0" priority="1501" equalAverage="0" aboveAverage="0" dxfId="2" text="" percent="0" bottom="0">
      <formula>AND(M375&gt;=5,M375&lt;10)</formula>
    </cfRule>
    <cfRule type="expression" rank="0" priority="1502" equalAverage="0" aboveAverage="0" dxfId="3" text="" percent="0" bottom="0">
      <formula>AND(M375&gt;=1,M375&lt;5)</formula>
    </cfRule>
  </conditionalFormatting>
  <conditionalFormatting sqref="M376">
    <cfRule type="expression" rank="0" priority="1503" equalAverage="0" aboveAverage="0" dxfId="0" text="" percent="0" bottom="0">
      <formula>M376&gt;=20</formula>
    </cfRule>
    <cfRule type="expression" rank="0" priority="1504" equalAverage="0" aboveAverage="0" dxfId="1" text="" percent="0" bottom="0">
      <formula>AND(M376&gt;=10,M376&lt;20)</formula>
    </cfRule>
    <cfRule type="expression" rank="0" priority="1505" equalAverage="0" aboveAverage="0" dxfId="2" text="" percent="0" bottom="0">
      <formula>AND(M376&gt;=5,M376&lt;10)</formula>
    </cfRule>
    <cfRule type="expression" rank="0" priority="1506" equalAverage="0" aboveAverage="0" dxfId="3" text="" percent="0" bottom="0">
      <formula>AND(M376&gt;=1,M376&lt;5)</formula>
    </cfRule>
  </conditionalFormatting>
  <conditionalFormatting sqref="M377">
    <cfRule type="expression" rank="0" priority="1507" equalAverage="0" aboveAverage="0" dxfId="0" text="" percent="0" bottom="0">
      <formula>M377&gt;=20</formula>
    </cfRule>
    <cfRule type="expression" rank="0" priority="1508" equalAverage="0" aboveAverage="0" dxfId="1" text="" percent="0" bottom="0">
      <formula>AND(M377&gt;=10,M377&lt;20)</formula>
    </cfRule>
    <cfRule type="expression" rank="0" priority="1509" equalAverage="0" aboveAverage="0" dxfId="2" text="" percent="0" bottom="0">
      <formula>AND(M377&gt;=5,M377&lt;10)</formula>
    </cfRule>
    <cfRule type="expression" rank="0" priority="1510" equalAverage="0" aboveAverage="0" dxfId="3" text="" percent="0" bottom="0">
      <formula>AND(M377&gt;=1,M377&lt;5)</formula>
    </cfRule>
  </conditionalFormatting>
  <conditionalFormatting sqref="M378">
    <cfRule type="expression" rank="0" priority="1511" equalAverage="0" aboveAverage="0" dxfId="0" text="" percent="0" bottom="0">
      <formula>M378&gt;=20</formula>
    </cfRule>
    <cfRule type="expression" rank="0" priority="1512" equalAverage="0" aboveAverage="0" dxfId="1" text="" percent="0" bottom="0">
      <formula>AND(M378&gt;=10,M378&lt;20)</formula>
    </cfRule>
    <cfRule type="expression" rank="0" priority="1513" equalAverage="0" aboveAverage="0" dxfId="2" text="" percent="0" bottom="0">
      <formula>AND(M378&gt;=5,M378&lt;10)</formula>
    </cfRule>
    <cfRule type="expression" rank="0" priority="1514" equalAverage="0" aboveAverage="0" dxfId="3" text="" percent="0" bottom="0">
      <formula>AND(M378&gt;=1,M378&lt;5)</formula>
    </cfRule>
  </conditionalFormatting>
  <conditionalFormatting sqref="M379">
    <cfRule type="expression" rank="0" priority="1515" equalAverage="0" aboveAverage="0" dxfId="0" text="" percent="0" bottom="0">
      <formula>M379&gt;=20</formula>
    </cfRule>
    <cfRule type="expression" rank="0" priority="1516" equalAverage="0" aboveAverage="0" dxfId="1" text="" percent="0" bottom="0">
      <formula>AND(M379&gt;=10,M379&lt;20)</formula>
    </cfRule>
    <cfRule type="expression" rank="0" priority="1517" equalAverage="0" aboveAverage="0" dxfId="2" text="" percent="0" bottom="0">
      <formula>AND(M379&gt;=5,M379&lt;10)</formula>
    </cfRule>
    <cfRule type="expression" rank="0" priority="1518" equalAverage="0" aboveAverage="0" dxfId="3" text="" percent="0" bottom="0">
      <formula>AND(M379&gt;=1,M379&lt;5)</formula>
    </cfRule>
  </conditionalFormatting>
  <conditionalFormatting sqref="M380">
    <cfRule type="expression" rank="0" priority="1519" equalAverage="0" aboveAverage="0" dxfId="0" text="" percent="0" bottom="0">
      <formula>M380&gt;=20</formula>
    </cfRule>
    <cfRule type="expression" rank="0" priority="1520" equalAverage="0" aboveAverage="0" dxfId="1" text="" percent="0" bottom="0">
      <formula>AND(M380&gt;=10,M380&lt;20)</formula>
    </cfRule>
    <cfRule type="expression" rank="0" priority="1521" equalAverage="0" aboveAverage="0" dxfId="2" text="" percent="0" bottom="0">
      <formula>AND(M380&gt;=5,M380&lt;10)</formula>
    </cfRule>
    <cfRule type="expression" rank="0" priority="1522" equalAverage="0" aboveAverage="0" dxfId="3" text="" percent="0" bottom="0">
      <formula>AND(M380&gt;=1,M380&lt;5)</formula>
    </cfRule>
  </conditionalFormatting>
  <conditionalFormatting sqref="M381">
    <cfRule type="expression" rank="0" priority="1523" equalAverage="0" aboveAverage="0" dxfId="0" text="" percent="0" bottom="0">
      <formula>M381&gt;=20</formula>
    </cfRule>
    <cfRule type="expression" rank="0" priority="1524" equalAverage="0" aboveAverage="0" dxfId="1" text="" percent="0" bottom="0">
      <formula>AND(M381&gt;=10,M381&lt;20)</formula>
    </cfRule>
    <cfRule type="expression" rank="0" priority="1525" equalAverage="0" aboveAverage="0" dxfId="2" text="" percent="0" bottom="0">
      <formula>AND(M381&gt;=5,M381&lt;10)</formula>
    </cfRule>
    <cfRule type="expression" rank="0" priority="1526" equalAverage="0" aboveAverage="0" dxfId="3" text="" percent="0" bottom="0">
      <formula>AND(M381&gt;=1,M381&lt;5)</formula>
    </cfRule>
  </conditionalFormatting>
  <conditionalFormatting sqref="M382">
    <cfRule type="expression" rank="0" priority="1527" equalAverage="0" aboveAverage="0" dxfId="0" text="" percent="0" bottom="0">
      <formula>M382&gt;=20</formula>
    </cfRule>
    <cfRule type="expression" rank="0" priority="1528" equalAverage="0" aboveAverage="0" dxfId="1" text="" percent="0" bottom="0">
      <formula>AND(M382&gt;=10,M382&lt;20)</formula>
    </cfRule>
    <cfRule type="expression" rank="0" priority="1529" equalAverage="0" aboveAverage="0" dxfId="2" text="" percent="0" bottom="0">
      <formula>AND(M382&gt;=5,M382&lt;10)</formula>
    </cfRule>
    <cfRule type="expression" rank="0" priority="1530" equalAverage="0" aboveAverage="0" dxfId="3" text="" percent="0" bottom="0">
      <formula>AND(M382&gt;=1,M382&lt;5)</formula>
    </cfRule>
  </conditionalFormatting>
  <conditionalFormatting sqref="M383">
    <cfRule type="expression" rank="0" priority="1531" equalAverage="0" aboveAverage="0" dxfId="0" text="" percent="0" bottom="0">
      <formula>M383&gt;=20</formula>
    </cfRule>
    <cfRule type="expression" rank="0" priority="1532" equalAverage="0" aboveAverage="0" dxfId="1" text="" percent="0" bottom="0">
      <formula>AND(M383&gt;=10,M383&lt;20)</formula>
    </cfRule>
    <cfRule type="expression" rank="0" priority="1533" equalAverage="0" aboveAverage="0" dxfId="2" text="" percent="0" bottom="0">
      <formula>AND(M383&gt;=5,M383&lt;10)</formula>
    </cfRule>
    <cfRule type="expression" rank="0" priority="1534" equalAverage="0" aboveAverage="0" dxfId="3" text="" percent="0" bottom="0">
      <formula>AND(M383&gt;=1,M383&lt;5)</formula>
    </cfRule>
  </conditionalFormatting>
  <conditionalFormatting sqref="M384">
    <cfRule type="expression" rank="0" priority="1535" equalAverage="0" aboveAverage="0" dxfId="0" text="" percent="0" bottom="0">
      <formula>M384&gt;=20</formula>
    </cfRule>
    <cfRule type="expression" rank="0" priority="1536" equalAverage="0" aboveAverage="0" dxfId="1" text="" percent="0" bottom="0">
      <formula>AND(M384&gt;=10,M384&lt;20)</formula>
    </cfRule>
    <cfRule type="expression" rank="0" priority="1537" equalAverage="0" aboveAverage="0" dxfId="2" text="" percent="0" bottom="0">
      <formula>AND(M384&gt;=5,M384&lt;10)</formula>
    </cfRule>
    <cfRule type="expression" rank="0" priority="1538" equalAverage="0" aboveAverage="0" dxfId="3" text="" percent="0" bottom="0">
      <formula>AND(M384&gt;=1,M384&lt;5)</formula>
    </cfRule>
  </conditionalFormatting>
  <conditionalFormatting sqref="M385">
    <cfRule type="expression" rank="0" priority="1539" equalAverage="0" aboveAverage="0" dxfId="0" text="" percent="0" bottom="0">
      <formula>M385&gt;=20</formula>
    </cfRule>
    <cfRule type="expression" rank="0" priority="1540" equalAverage="0" aboveAverage="0" dxfId="1" text="" percent="0" bottom="0">
      <formula>AND(M385&gt;=10,M385&lt;20)</formula>
    </cfRule>
    <cfRule type="expression" rank="0" priority="1541" equalAverage="0" aboveAverage="0" dxfId="2" text="" percent="0" bottom="0">
      <formula>AND(M385&gt;=5,M385&lt;10)</formula>
    </cfRule>
    <cfRule type="expression" rank="0" priority="1542" equalAverage="0" aboveAverage="0" dxfId="3" text="" percent="0" bottom="0">
      <formula>AND(M385&gt;=1,M385&lt;5)</formula>
    </cfRule>
  </conditionalFormatting>
  <conditionalFormatting sqref="M386">
    <cfRule type="expression" rank="0" priority="1543" equalAverage="0" aboveAverage="0" dxfId="0" text="" percent="0" bottom="0">
      <formula>M386&gt;=20</formula>
    </cfRule>
    <cfRule type="expression" rank="0" priority="1544" equalAverage="0" aboveAverage="0" dxfId="1" text="" percent="0" bottom="0">
      <formula>AND(M386&gt;=10,M386&lt;20)</formula>
    </cfRule>
    <cfRule type="expression" rank="0" priority="1545" equalAverage="0" aboveAverage="0" dxfId="2" text="" percent="0" bottom="0">
      <formula>AND(M386&gt;=5,M386&lt;10)</formula>
    </cfRule>
    <cfRule type="expression" rank="0" priority="1546" equalAverage="0" aboveAverage="0" dxfId="3" text="" percent="0" bottom="0">
      <formula>AND(M386&gt;=1,M386&lt;5)</formula>
    </cfRule>
  </conditionalFormatting>
  <conditionalFormatting sqref="M387">
    <cfRule type="expression" rank="0" priority="1547" equalAverage="0" aboveAverage="0" dxfId="0" text="" percent="0" bottom="0">
      <formula>M387&gt;=20</formula>
    </cfRule>
    <cfRule type="expression" rank="0" priority="1548" equalAverage="0" aboveAverage="0" dxfId="1" text="" percent="0" bottom="0">
      <formula>AND(M387&gt;=10,M387&lt;20)</formula>
    </cfRule>
    <cfRule type="expression" rank="0" priority="1549" equalAverage="0" aboveAverage="0" dxfId="2" text="" percent="0" bottom="0">
      <formula>AND(M387&gt;=5,M387&lt;10)</formula>
    </cfRule>
    <cfRule type="expression" rank="0" priority="1550" equalAverage="0" aboveAverage="0" dxfId="3" text="" percent="0" bottom="0">
      <formula>AND(M387&gt;=1,M387&lt;5)</formula>
    </cfRule>
  </conditionalFormatting>
  <conditionalFormatting sqref="M388">
    <cfRule type="expression" rank="0" priority="1551" equalAverage="0" aboveAverage="0" dxfId="0" text="" percent="0" bottom="0">
      <formula>M388&gt;=20</formula>
    </cfRule>
    <cfRule type="expression" rank="0" priority="1552" equalAverage="0" aboveAverage="0" dxfId="1" text="" percent="0" bottom="0">
      <formula>AND(M388&gt;=10,M388&lt;20)</formula>
    </cfRule>
    <cfRule type="expression" rank="0" priority="1553" equalAverage="0" aboveAverage="0" dxfId="2" text="" percent="0" bottom="0">
      <formula>AND(M388&gt;=5,M388&lt;10)</formula>
    </cfRule>
    <cfRule type="expression" rank="0" priority="1554" equalAverage="0" aboveAverage="0" dxfId="3" text="" percent="0" bottom="0">
      <formula>AND(M388&gt;=1,M388&lt;5)</formula>
    </cfRule>
  </conditionalFormatting>
  <conditionalFormatting sqref="M389">
    <cfRule type="expression" rank="0" priority="1555" equalAverage="0" aboveAverage="0" dxfId="0" text="" percent="0" bottom="0">
      <formula>M389&gt;=20</formula>
    </cfRule>
    <cfRule type="expression" rank="0" priority="1556" equalAverage="0" aboveAverage="0" dxfId="1" text="" percent="0" bottom="0">
      <formula>AND(M389&gt;=10,M389&lt;20)</formula>
    </cfRule>
    <cfRule type="expression" rank="0" priority="1557" equalAverage="0" aboveAverage="0" dxfId="2" text="" percent="0" bottom="0">
      <formula>AND(M389&gt;=5,M389&lt;10)</formula>
    </cfRule>
    <cfRule type="expression" rank="0" priority="1558" equalAverage="0" aboveAverage="0" dxfId="3" text="" percent="0" bottom="0">
      <formula>AND(M389&gt;=1,M389&lt;5)</formula>
    </cfRule>
  </conditionalFormatting>
  <conditionalFormatting sqref="M390">
    <cfRule type="expression" rank="0" priority="1559" equalAverage="0" aboveAverage="0" dxfId="0" text="" percent="0" bottom="0">
      <formula>M390&gt;=20</formula>
    </cfRule>
    <cfRule type="expression" rank="0" priority="1560" equalAverage="0" aboveAverage="0" dxfId="1" text="" percent="0" bottom="0">
      <formula>AND(M390&gt;=10,M390&lt;20)</formula>
    </cfRule>
    <cfRule type="expression" rank="0" priority="1561" equalAverage="0" aboveAverage="0" dxfId="2" text="" percent="0" bottom="0">
      <formula>AND(M390&gt;=5,M390&lt;10)</formula>
    </cfRule>
    <cfRule type="expression" rank="0" priority="1562" equalAverage="0" aboveAverage="0" dxfId="3" text="" percent="0" bottom="0">
      <formula>AND(M390&gt;=1,M390&lt;5)</formula>
    </cfRule>
  </conditionalFormatting>
  <conditionalFormatting sqref="M391">
    <cfRule type="expression" rank="0" priority="1563" equalAverage="0" aboveAverage="0" dxfId="0" text="" percent="0" bottom="0">
      <formula>M391&gt;=20</formula>
    </cfRule>
    <cfRule type="expression" rank="0" priority="1564" equalAverage="0" aboveAverage="0" dxfId="1" text="" percent="0" bottom="0">
      <formula>AND(M391&gt;=10,M391&lt;20)</formula>
    </cfRule>
    <cfRule type="expression" rank="0" priority="1565" equalAverage="0" aboveAverage="0" dxfId="2" text="" percent="0" bottom="0">
      <formula>AND(M391&gt;=5,M391&lt;10)</formula>
    </cfRule>
    <cfRule type="expression" rank="0" priority="1566" equalAverage="0" aboveAverage="0" dxfId="3" text="" percent="0" bottom="0">
      <formula>AND(M391&gt;=1,M391&lt;5)</formula>
    </cfRule>
  </conditionalFormatting>
  <conditionalFormatting sqref="M392">
    <cfRule type="expression" rank="0" priority="1567" equalAverage="0" aboveAverage="0" dxfId="0" text="" percent="0" bottom="0">
      <formula>M392&gt;=20</formula>
    </cfRule>
    <cfRule type="expression" rank="0" priority="1568" equalAverage="0" aboveAverage="0" dxfId="1" text="" percent="0" bottom="0">
      <formula>AND(M392&gt;=10,M392&lt;20)</formula>
    </cfRule>
    <cfRule type="expression" rank="0" priority="1569" equalAverage="0" aboveAverage="0" dxfId="2" text="" percent="0" bottom="0">
      <formula>AND(M392&gt;=5,M392&lt;10)</formula>
    </cfRule>
    <cfRule type="expression" rank="0" priority="1570" equalAverage="0" aboveAverage="0" dxfId="3" text="" percent="0" bottom="0">
      <formula>AND(M392&gt;=1,M392&lt;5)</formula>
    </cfRule>
  </conditionalFormatting>
  <conditionalFormatting sqref="M393">
    <cfRule type="expression" rank="0" priority="1571" equalAverage="0" aboveAverage="0" dxfId="0" text="" percent="0" bottom="0">
      <formula>M393&gt;=20</formula>
    </cfRule>
    <cfRule type="expression" rank="0" priority="1572" equalAverage="0" aboveAverage="0" dxfId="1" text="" percent="0" bottom="0">
      <formula>AND(M393&gt;=10,M393&lt;20)</formula>
    </cfRule>
    <cfRule type="expression" rank="0" priority="1573" equalAverage="0" aboveAverage="0" dxfId="2" text="" percent="0" bottom="0">
      <formula>AND(M393&gt;=5,M393&lt;10)</formula>
    </cfRule>
    <cfRule type="expression" rank="0" priority="1574" equalAverage="0" aboveAverage="0" dxfId="3" text="" percent="0" bottom="0">
      <formula>AND(M393&gt;=1,M393&lt;5)</formula>
    </cfRule>
  </conditionalFormatting>
  <conditionalFormatting sqref="M394">
    <cfRule type="expression" rank="0" priority="1575" equalAverage="0" aboveAverage="0" dxfId="0" text="" percent="0" bottom="0">
      <formula>M394&gt;=20</formula>
    </cfRule>
    <cfRule type="expression" rank="0" priority="1576" equalAverage="0" aboveAverage="0" dxfId="1" text="" percent="0" bottom="0">
      <formula>AND(M394&gt;=10,M394&lt;20)</formula>
    </cfRule>
    <cfRule type="expression" rank="0" priority="1577" equalAverage="0" aboveAverage="0" dxfId="2" text="" percent="0" bottom="0">
      <formula>AND(M394&gt;=5,M394&lt;10)</formula>
    </cfRule>
    <cfRule type="expression" rank="0" priority="1578" equalAverage="0" aboveAverage="0" dxfId="3" text="" percent="0" bottom="0">
      <formula>AND(M394&gt;=1,M394&lt;5)</formula>
    </cfRule>
  </conditionalFormatting>
  <conditionalFormatting sqref="M395">
    <cfRule type="expression" rank="0" priority="1579" equalAverage="0" aboveAverage="0" dxfId="0" text="" percent="0" bottom="0">
      <formula>M395&gt;=20</formula>
    </cfRule>
    <cfRule type="expression" rank="0" priority="1580" equalAverage="0" aboveAverage="0" dxfId="1" text="" percent="0" bottom="0">
      <formula>AND(M395&gt;=10,M395&lt;20)</formula>
    </cfRule>
    <cfRule type="expression" rank="0" priority="1581" equalAverage="0" aboveAverage="0" dxfId="2" text="" percent="0" bottom="0">
      <formula>AND(M395&gt;=5,M395&lt;10)</formula>
    </cfRule>
    <cfRule type="expression" rank="0" priority="1582" equalAverage="0" aboveAverage="0" dxfId="3" text="" percent="0" bottom="0">
      <formula>AND(M395&gt;=1,M395&lt;5)</formula>
    </cfRule>
  </conditionalFormatting>
  <conditionalFormatting sqref="M396">
    <cfRule type="expression" rank="0" priority="1583" equalAverage="0" aboveAverage="0" dxfId="0" text="" percent="0" bottom="0">
      <formula>M396&gt;=20</formula>
    </cfRule>
    <cfRule type="expression" rank="0" priority="1584" equalAverage="0" aboveAverage="0" dxfId="1" text="" percent="0" bottom="0">
      <formula>AND(M396&gt;=10,M396&lt;20)</formula>
    </cfRule>
    <cfRule type="expression" rank="0" priority="1585" equalAverage="0" aboveAverage="0" dxfId="2" text="" percent="0" bottom="0">
      <formula>AND(M396&gt;=5,M396&lt;10)</formula>
    </cfRule>
    <cfRule type="expression" rank="0" priority="1586" equalAverage="0" aboveAverage="0" dxfId="3" text="" percent="0" bottom="0">
      <formula>AND(M396&gt;=1,M396&lt;5)</formula>
    </cfRule>
  </conditionalFormatting>
  <conditionalFormatting sqref="M397">
    <cfRule type="expression" rank="0" priority="1587" equalAverage="0" aboveAverage="0" dxfId="0" text="" percent="0" bottom="0">
      <formula>M397&gt;=20</formula>
    </cfRule>
    <cfRule type="expression" rank="0" priority="1588" equalAverage="0" aboveAverage="0" dxfId="1" text="" percent="0" bottom="0">
      <formula>AND(M397&gt;=10,M397&lt;20)</formula>
    </cfRule>
    <cfRule type="expression" rank="0" priority="1589" equalAverage="0" aboveAverage="0" dxfId="2" text="" percent="0" bottom="0">
      <formula>AND(M397&gt;=5,M397&lt;10)</formula>
    </cfRule>
    <cfRule type="expression" rank="0" priority="1590" equalAverage="0" aboveAverage="0" dxfId="3" text="" percent="0" bottom="0">
      <formula>AND(M397&gt;=1,M397&lt;5)</formula>
    </cfRule>
  </conditionalFormatting>
  <conditionalFormatting sqref="M398">
    <cfRule type="expression" rank="0" priority="1591" equalAverage="0" aboveAverage="0" dxfId="0" text="" percent="0" bottom="0">
      <formula>M398&gt;=20</formula>
    </cfRule>
    <cfRule type="expression" rank="0" priority="1592" equalAverage="0" aboveAverage="0" dxfId="1" text="" percent="0" bottom="0">
      <formula>AND(M398&gt;=10,M398&lt;20)</formula>
    </cfRule>
    <cfRule type="expression" rank="0" priority="1593" equalAverage="0" aboveAverage="0" dxfId="2" text="" percent="0" bottom="0">
      <formula>AND(M398&gt;=5,M398&lt;10)</formula>
    </cfRule>
    <cfRule type="expression" rank="0" priority="1594" equalAverage="0" aboveAverage="0" dxfId="3" text="" percent="0" bottom="0">
      <formula>AND(M398&gt;=1,M398&lt;5)</formula>
    </cfRule>
  </conditionalFormatting>
  <conditionalFormatting sqref="M399">
    <cfRule type="expression" rank="0" priority="1595" equalAverage="0" aboveAverage="0" dxfId="0" text="" percent="0" bottom="0">
      <formula>M399&gt;=20</formula>
    </cfRule>
    <cfRule type="expression" rank="0" priority="1596" equalAverage="0" aboveAverage="0" dxfId="1" text="" percent="0" bottom="0">
      <formula>AND(M399&gt;=10,M399&lt;20)</formula>
    </cfRule>
    <cfRule type="expression" rank="0" priority="1597" equalAverage="0" aboveAverage="0" dxfId="2" text="" percent="0" bottom="0">
      <formula>AND(M399&gt;=5,M399&lt;10)</formula>
    </cfRule>
    <cfRule type="expression" rank="0" priority="1598" equalAverage="0" aboveAverage="0" dxfId="3" text="" percent="0" bottom="0">
      <formula>AND(M399&gt;=1,M399&lt;5)</formula>
    </cfRule>
  </conditionalFormatting>
  <conditionalFormatting sqref="M400">
    <cfRule type="expression" rank="0" priority="1599" equalAverage="0" aboveAverage="0" dxfId="0" text="" percent="0" bottom="0">
      <formula>M400&gt;=20</formula>
    </cfRule>
    <cfRule type="expression" rank="0" priority="1600" equalAverage="0" aboveAverage="0" dxfId="1" text="" percent="0" bottom="0">
      <formula>AND(M400&gt;=10,M400&lt;20)</formula>
    </cfRule>
    <cfRule type="expression" rank="0" priority="1601" equalAverage="0" aboveAverage="0" dxfId="2" text="" percent="0" bottom="0">
      <formula>AND(M400&gt;=5,M400&lt;10)</formula>
    </cfRule>
    <cfRule type="expression" rank="0" priority="1602" equalAverage="0" aboveAverage="0" dxfId="3" text="" percent="0" bottom="0">
      <formula>AND(M400&gt;=1,M400&lt;5)</formula>
    </cfRule>
  </conditionalFormatting>
  <conditionalFormatting sqref="M401">
    <cfRule type="expression" rank="0" priority="1603" equalAverage="0" aboveAverage="0" dxfId="0" text="" percent="0" bottom="0">
      <formula>M401&gt;=20</formula>
    </cfRule>
    <cfRule type="expression" rank="0" priority="1604" equalAverage="0" aboveAverage="0" dxfId="1" text="" percent="0" bottom="0">
      <formula>AND(M401&gt;=10,M401&lt;20)</formula>
    </cfRule>
    <cfRule type="expression" rank="0" priority="1605" equalAverage="0" aboveAverage="0" dxfId="2" text="" percent="0" bottom="0">
      <formula>AND(M401&gt;=5,M401&lt;10)</formula>
    </cfRule>
    <cfRule type="expression" rank="0" priority="1606" equalAverage="0" aboveAverage="0" dxfId="3" text="" percent="0" bottom="0">
      <formula>AND(M401&gt;=1,M401&lt;5)</formula>
    </cfRule>
  </conditionalFormatting>
  <conditionalFormatting sqref="M402">
    <cfRule type="expression" rank="0" priority="1607" equalAverage="0" aboveAverage="0" dxfId="0" text="" percent="0" bottom="0">
      <formula>M402&gt;=20</formula>
    </cfRule>
    <cfRule type="expression" rank="0" priority="1608" equalAverage="0" aboveAverage="0" dxfId="1" text="" percent="0" bottom="0">
      <formula>AND(M402&gt;=10,M402&lt;20)</formula>
    </cfRule>
    <cfRule type="expression" rank="0" priority="1609" equalAverage="0" aboveAverage="0" dxfId="2" text="" percent="0" bottom="0">
      <formula>AND(M402&gt;=5,M402&lt;10)</formula>
    </cfRule>
    <cfRule type="expression" rank="0" priority="1610" equalAverage="0" aboveAverage="0" dxfId="3" text="" percent="0" bottom="0">
      <formula>AND(M402&gt;=1,M402&lt;5)</formula>
    </cfRule>
  </conditionalFormatting>
  <conditionalFormatting sqref="M403">
    <cfRule type="expression" rank="0" priority="1611" equalAverage="0" aboveAverage="0" dxfId="0" text="" percent="0" bottom="0">
      <formula>M403&gt;=20</formula>
    </cfRule>
    <cfRule type="expression" rank="0" priority="1612" equalAverage="0" aboveAverage="0" dxfId="1" text="" percent="0" bottom="0">
      <formula>AND(M403&gt;=10,M403&lt;20)</formula>
    </cfRule>
    <cfRule type="expression" rank="0" priority="1613" equalAverage="0" aboveAverage="0" dxfId="2" text="" percent="0" bottom="0">
      <formula>AND(M403&gt;=5,M403&lt;10)</formula>
    </cfRule>
    <cfRule type="expression" rank="0" priority="1614" equalAverage="0" aboveAverage="0" dxfId="3" text="" percent="0" bottom="0">
      <formula>AND(M403&gt;=1,M403&lt;5)</formula>
    </cfRule>
  </conditionalFormatting>
  <conditionalFormatting sqref="M404">
    <cfRule type="expression" rank="0" priority="1615" equalAverage="0" aboveAverage="0" dxfId="0" text="" percent="0" bottom="0">
      <formula>M404&gt;=20</formula>
    </cfRule>
    <cfRule type="expression" rank="0" priority="1616" equalAverage="0" aboveAverage="0" dxfId="1" text="" percent="0" bottom="0">
      <formula>AND(M404&gt;=10,M404&lt;20)</formula>
    </cfRule>
    <cfRule type="expression" rank="0" priority="1617" equalAverage="0" aboveAverage="0" dxfId="2" text="" percent="0" bottom="0">
      <formula>AND(M404&gt;=5,M404&lt;10)</formula>
    </cfRule>
    <cfRule type="expression" rank="0" priority="1618" equalAverage="0" aboveAverage="0" dxfId="3" text="" percent="0" bottom="0">
      <formula>AND(M404&gt;=1,M404&lt;5)</formula>
    </cfRule>
  </conditionalFormatting>
  <conditionalFormatting sqref="M405">
    <cfRule type="expression" rank="0" priority="1619" equalAverage="0" aboveAverage="0" dxfId="0" text="" percent="0" bottom="0">
      <formula>M405&gt;=20</formula>
    </cfRule>
    <cfRule type="expression" rank="0" priority="1620" equalAverage="0" aboveAverage="0" dxfId="1" text="" percent="0" bottom="0">
      <formula>AND(M405&gt;=10,M405&lt;20)</formula>
    </cfRule>
    <cfRule type="expression" rank="0" priority="1621" equalAverage="0" aboveAverage="0" dxfId="2" text="" percent="0" bottom="0">
      <formula>AND(M405&gt;=5,M405&lt;10)</formula>
    </cfRule>
    <cfRule type="expression" rank="0" priority="1622" equalAverage="0" aboveAverage="0" dxfId="3" text="" percent="0" bottom="0">
      <formula>AND(M405&gt;=1,M405&lt;5)</formula>
    </cfRule>
  </conditionalFormatting>
  <conditionalFormatting sqref="M406">
    <cfRule type="expression" rank="0" priority="1623" equalAverage="0" aboveAverage="0" dxfId="0" text="" percent="0" bottom="0">
      <formula>M406&gt;=20</formula>
    </cfRule>
    <cfRule type="expression" rank="0" priority="1624" equalAverage="0" aboveAverage="0" dxfId="1" text="" percent="0" bottom="0">
      <formula>AND(M406&gt;=10,M406&lt;20)</formula>
    </cfRule>
    <cfRule type="expression" rank="0" priority="1625" equalAverage="0" aboveAverage="0" dxfId="2" text="" percent="0" bottom="0">
      <formula>AND(M406&gt;=5,M406&lt;10)</formula>
    </cfRule>
    <cfRule type="expression" rank="0" priority="1626" equalAverage="0" aboveAverage="0" dxfId="3" text="" percent="0" bottom="0">
      <formula>AND(M406&gt;=1,M406&lt;5)</formula>
    </cfRule>
  </conditionalFormatting>
  <conditionalFormatting sqref="M407">
    <cfRule type="expression" rank="0" priority="1627" equalAverage="0" aboveAverage="0" dxfId="0" text="" percent="0" bottom="0">
      <formula>M407&gt;=20</formula>
    </cfRule>
    <cfRule type="expression" rank="0" priority="1628" equalAverage="0" aboveAverage="0" dxfId="1" text="" percent="0" bottom="0">
      <formula>AND(M407&gt;=10,M407&lt;20)</formula>
    </cfRule>
    <cfRule type="expression" rank="0" priority="1629" equalAverage="0" aboveAverage="0" dxfId="2" text="" percent="0" bottom="0">
      <formula>AND(M407&gt;=5,M407&lt;10)</formula>
    </cfRule>
    <cfRule type="expression" rank="0" priority="1630" equalAverage="0" aboveAverage="0" dxfId="3" text="" percent="0" bottom="0">
      <formula>AND(M407&gt;=1,M407&lt;5)</formula>
    </cfRule>
  </conditionalFormatting>
  <conditionalFormatting sqref="M408">
    <cfRule type="expression" rank="0" priority="1631" equalAverage="0" aboveAverage="0" dxfId="0" text="" percent="0" bottom="0">
      <formula>M408&gt;=20</formula>
    </cfRule>
    <cfRule type="expression" rank="0" priority="1632" equalAverage="0" aboveAverage="0" dxfId="1" text="" percent="0" bottom="0">
      <formula>AND(M408&gt;=10,M408&lt;20)</formula>
    </cfRule>
    <cfRule type="expression" rank="0" priority="1633" equalAverage="0" aboveAverage="0" dxfId="2" text="" percent="0" bottom="0">
      <formula>AND(M408&gt;=5,M408&lt;10)</formula>
    </cfRule>
    <cfRule type="expression" rank="0" priority="1634" equalAverage="0" aboveAverage="0" dxfId="3" text="" percent="0" bottom="0">
      <formula>AND(M408&gt;=1,M408&lt;5)</formula>
    </cfRule>
  </conditionalFormatting>
  <conditionalFormatting sqref="M409">
    <cfRule type="expression" rank="0" priority="1635" equalAverage="0" aboveAverage="0" dxfId="0" text="" percent="0" bottom="0">
      <formula>M409&gt;=20</formula>
    </cfRule>
    <cfRule type="expression" rank="0" priority="1636" equalAverage="0" aboveAverage="0" dxfId="1" text="" percent="0" bottom="0">
      <formula>AND(M409&gt;=10,M409&lt;20)</formula>
    </cfRule>
    <cfRule type="expression" rank="0" priority="1637" equalAverage="0" aboveAverage="0" dxfId="2" text="" percent="0" bottom="0">
      <formula>AND(M409&gt;=5,M409&lt;10)</formula>
    </cfRule>
    <cfRule type="expression" rank="0" priority="1638" equalAverage="0" aboveAverage="0" dxfId="3" text="" percent="0" bottom="0">
      <formula>AND(M409&gt;=1,M409&lt;5)</formula>
    </cfRule>
  </conditionalFormatting>
  <conditionalFormatting sqref="M410">
    <cfRule type="expression" rank="0" priority="1639" equalAverage="0" aboveAverage="0" dxfId="0" text="" percent="0" bottom="0">
      <formula>M410&gt;=20</formula>
    </cfRule>
    <cfRule type="expression" rank="0" priority="1640" equalAverage="0" aboveAverage="0" dxfId="1" text="" percent="0" bottom="0">
      <formula>AND(M410&gt;=10,M410&lt;20)</formula>
    </cfRule>
    <cfRule type="expression" rank="0" priority="1641" equalAverage="0" aboveAverage="0" dxfId="2" text="" percent="0" bottom="0">
      <formula>AND(M410&gt;=5,M410&lt;10)</formula>
    </cfRule>
    <cfRule type="expression" rank="0" priority="1642" equalAverage="0" aboveAverage="0" dxfId="3" text="" percent="0" bottom="0">
      <formula>AND(M410&gt;=1,M410&lt;5)</formula>
    </cfRule>
  </conditionalFormatting>
  <conditionalFormatting sqref="M411">
    <cfRule type="expression" rank="0" priority="1643" equalAverage="0" aboveAverage="0" dxfId="0" text="" percent="0" bottom="0">
      <formula>M411&gt;=20</formula>
    </cfRule>
    <cfRule type="expression" rank="0" priority="1644" equalAverage="0" aboveAverage="0" dxfId="1" text="" percent="0" bottom="0">
      <formula>AND(M411&gt;=10,M411&lt;20)</formula>
    </cfRule>
    <cfRule type="expression" rank="0" priority="1645" equalAverage="0" aboveAverage="0" dxfId="2" text="" percent="0" bottom="0">
      <formula>AND(M411&gt;=5,M411&lt;10)</formula>
    </cfRule>
    <cfRule type="expression" rank="0" priority="1646" equalAverage="0" aboveAverage="0" dxfId="3" text="" percent="0" bottom="0">
      <formula>AND(M411&gt;=1,M411&lt;5)</formula>
    </cfRule>
  </conditionalFormatting>
  <conditionalFormatting sqref="M412">
    <cfRule type="expression" rank="0" priority="1647" equalAverage="0" aboveAverage="0" dxfId="0" text="" percent="0" bottom="0">
      <formula>M412&gt;=20</formula>
    </cfRule>
    <cfRule type="expression" rank="0" priority="1648" equalAverage="0" aboveAverage="0" dxfId="1" text="" percent="0" bottom="0">
      <formula>AND(M412&gt;=10,M412&lt;20)</formula>
    </cfRule>
    <cfRule type="expression" rank="0" priority="1649" equalAverage="0" aboveAverage="0" dxfId="2" text="" percent="0" bottom="0">
      <formula>AND(M412&gt;=5,M412&lt;10)</formula>
    </cfRule>
    <cfRule type="expression" rank="0" priority="1650" equalAverage="0" aboveAverage="0" dxfId="3" text="" percent="0" bottom="0">
      <formula>AND(M412&gt;=1,M412&lt;5)</formula>
    </cfRule>
  </conditionalFormatting>
  <conditionalFormatting sqref="M413">
    <cfRule type="expression" rank="0" priority="1651" equalAverage="0" aboveAverage="0" dxfId="0" text="" percent="0" bottom="0">
      <formula>M413&gt;=20</formula>
    </cfRule>
    <cfRule type="expression" rank="0" priority="1652" equalAverage="0" aboveAverage="0" dxfId="1" text="" percent="0" bottom="0">
      <formula>AND(M413&gt;=10,M413&lt;20)</formula>
    </cfRule>
    <cfRule type="expression" rank="0" priority="1653" equalAverage="0" aboveAverage="0" dxfId="2" text="" percent="0" bottom="0">
      <formula>AND(M413&gt;=5,M413&lt;10)</formula>
    </cfRule>
    <cfRule type="expression" rank="0" priority="1654" equalAverage="0" aboveAverage="0" dxfId="3" text="" percent="0" bottom="0">
      <formula>AND(M413&gt;=1,M413&lt;5)</formula>
    </cfRule>
  </conditionalFormatting>
  <conditionalFormatting sqref="M414">
    <cfRule type="expression" rank="0" priority="1655" equalAverage="0" aboveAverage="0" dxfId="0" text="" percent="0" bottom="0">
      <formula>M414&gt;=20</formula>
    </cfRule>
    <cfRule type="expression" rank="0" priority="1656" equalAverage="0" aboveAverage="0" dxfId="1" text="" percent="0" bottom="0">
      <formula>AND(M414&gt;=10,M414&lt;20)</formula>
    </cfRule>
    <cfRule type="expression" rank="0" priority="1657" equalAverage="0" aboveAverage="0" dxfId="2" text="" percent="0" bottom="0">
      <formula>AND(M414&gt;=5,M414&lt;10)</formula>
    </cfRule>
    <cfRule type="expression" rank="0" priority="1658" equalAverage="0" aboveAverage="0" dxfId="3" text="" percent="0" bottom="0">
      <formula>AND(M414&gt;=1,M414&lt;5)</formula>
    </cfRule>
  </conditionalFormatting>
  <conditionalFormatting sqref="M415">
    <cfRule type="expression" rank="0" priority="1659" equalAverage="0" aboveAverage="0" dxfId="0" text="" percent="0" bottom="0">
      <formula>M415&gt;=20</formula>
    </cfRule>
    <cfRule type="expression" rank="0" priority="1660" equalAverage="0" aboveAverage="0" dxfId="1" text="" percent="0" bottom="0">
      <formula>AND(M415&gt;=10,M415&lt;20)</formula>
    </cfRule>
    <cfRule type="expression" rank="0" priority="1661" equalAverage="0" aboveAverage="0" dxfId="2" text="" percent="0" bottom="0">
      <formula>AND(M415&gt;=5,M415&lt;10)</formula>
    </cfRule>
    <cfRule type="expression" rank="0" priority="1662" equalAverage="0" aboveAverage="0" dxfId="3" text="" percent="0" bottom="0">
      <formula>AND(M415&gt;=1,M415&lt;5)</formula>
    </cfRule>
  </conditionalFormatting>
  <conditionalFormatting sqref="M416">
    <cfRule type="expression" rank="0" priority="1663" equalAverage="0" aboveAverage="0" dxfId="0" text="" percent="0" bottom="0">
      <formula>M416&gt;=20</formula>
    </cfRule>
    <cfRule type="expression" rank="0" priority="1664" equalAverage="0" aboveAverage="0" dxfId="1" text="" percent="0" bottom="0">
      <formula>AND(M416&gt;=10,M416&lt;20)</formula>
    </cfRule>
    <cfRule type="expression" rank="0" priority="1665" equalAverage="0" aboveAverage="0" dxfId="2" text="" percent="0" bottom="0">
      <formula>AND(M416&gt;=5,M416&lt;10)</formula>
    </cfRule>
    <cfRule type="expression" rank="0" priority="1666" equalAverage="0" aboveAverage="0" dxfId="3" text="" percent="0" bottom="0">
      <formula>AND(M416&gt;=1,M416&lt;5)</formula>
    </cfRule>
  </conditionalFormatting>
  <conditionalFormatting sqref="M417">
    <cfRule type="expression" rank="0" priority="1667" equalAverage="0" aboveAverage="0" dxfId="0" text="" percent="0" bottom="0">
      <formula>M417&gt;=20</formula>
    </cfRule>
    <cfRule type="expression" rank="0" priority="1668" equalAverage="0" aboveAverage="0" dxfId="1" text="" percent="0" bottom="0">
      <formula>AND(M417&gt;=10,M417&lt;20)</formula>
    </cfRule>
    <cfRule type="expression" rank="0" priority="1669" equalAverage="0" aboveAverage="0" dxfId="2" text="" percent="0" bottom="0">
      <formula>AND(M417&gt;=5,M417&lt;10)</formula>
    </cfRule>
    <cfRule type="expression" rank="0" priority="1670" equalAverage="0" aboveAverage="0" dxfId="3" text="" percent="0" bottom="0">
      <formula>AND(M417&gt;=1,M417&lt;5)</formula>
    </cfRule>
  </conditionalFormatting>
  <conditionalFormatting sqref="M418">
    <cfRule type="expression" rank="0" priority="1671" equalAverage="0" aboveAverage="0" dxfId="0" text="" percent="0" bottom="0">
      <formula>M418&gt;=20</formula>
    </cfRule>
    <cfRule type="expression" rank="0" priority="1672" equalAverage="0" aboveAverage="0" dxfId="1" text="" percent="0" bottom="0">
      <formula>AND(M418&gt;=10,M418&lt;20)</formula>
    </cfRule>
    <cfRule type="expression" rank="0" priority="1673" equalAverage="0" aboveAverage="0" dxfId="2" text="" percent="0" bottom="0">
      <formula>AND(M418&gt;=5,M418&lt;10)</formula>
    </cfRule>
    <cfRule type="expression" rank="0" priority="1674" equalAverage="0" aboveAverage="0" dxfId="3" text="" percent="0" bottom="0">
      <formula>AND(M418&gt;=1,M418&lt;5)</formula>
    </cfRule>
  </conditionalFormatting>
  <conditionalFormatting sqref="M419">
    <cfRule type="expression" rank="0" priority="1675" equalAverage="0" aboveAverage="0" dxfId="0" text="" percent="0" bottom="0">
      <formula>M419&gt;=20</formula>
    </cfRule>
    <cfRule type="expression" rank="0" priority="1676" equalAverage="0" aboveAverage="0" dxfId="1" text="" percent="0" bottom="0">
      <formula>AND(M419&gt;=10,M419&lt;20)</formula>
    </cfRule>
    <cfRule type="expression" rank="0" priority="1677" equalAverage="0" aboveAverage="0" dxfId="2" text="" percent="0" bottom="0">
      <formula>AND(M419&gt;=5,M419&lt;10)</formula>
    </cfRule>
    <cfRule type="expression" rank="0" priority="1678" equalAverage="0" aboveAverage="0" dxfId="3" text="" percent="0" bottom="0">
      <formula>AND(M419&gt;=1,M419&lt;5)</formula>
    </cfRule>
  </conditionalFormatting>
  <conditionalFormatting sqref="M420">
    <cfRule type="expression" rank="0" priority="1679" equalAverage="0" aboveAverage="0" dxfId="0" text="" percent="0" bottom="0">
      <formula>M420&gt;=20</formula>
    </cfRule>
    <cfRule type="expression" rank="0" priority="1680" equalAverage="0" aboveAverage="0" dxfId="1" text="" percent="0" bottom="0">
      <formula>AND(M420&gt;=10,M420&lt;20)</formula>
    </cfRule>
    <cfRule type="expression" rank="0" priority="1681" equalAverage="0" aboveAverage="0" dxfId="2" text="" percent="0" bottom="0">
      <formula>AND(M420&gt;=5,M420&lt;10)</formula>
    </cfRule>
    <cfRule type="expression" rank="0" priority="1682" equalAverage="0" aboveAverage="0" dxfId="3" text="" percent="0" bottom="0">
      <formula>AND(M420&gt;=1,M420&lt;5)</formula>
    </cfRule>
  </conditionalFormatting>
  <conditionalFormatting sqref="M421">
    <cfRule type="expression" rank="0" priority="1683" equalAverage="0" aboveAverage="0" dxfId="0" text="" percent="0" bottom="0">
      <formula>M421&gt;=20</formula>
    </cfRule>
    <cfRule type="expression" rank="0" priority="1684" equalAverage="0" aboveAverage="0" dxfId="1" text="" percent="0" bottom="0">
      <formula>AND(M421&gt;=10,M421&lt;20)</formula>
    </cfRule>
    <cfRule type="expression" rank="0" priority="1685" equalAverage="0" aboveAverage="0" dxfId="2" text="" percent="0" bottom="0">
      <formula>AND(M421&gt;=5,M421&lt;10)</formula>
    </cfRule>
    <cfRule type="expression" rank="0" priority="1686" equalAverage="0" aboveAverage="0" dxfId="3" text="" percent="0" bottom="0">
      <formula>AND(M421&gt;=1,M421&lt;5)</formula>
    </cfRule>
  </conditionalFormatting>
  <conditionalFormatting sqref="M422">
    <cfRule type="expression" rank="0" priority="1687" equalAverage="0" aboveAverage="0" dxfId="0" text="" percent="0" bottom="0">
      <formula>M422&gt;=20</formula>
    </cfRule>
    <cfRule type="expression" rank="0" priority="1688" equalAverage="0" aboveAverage="0" dxfId="1" text="" percent="0" bottom="0">
      <formula>AND(M422&gt;=10,M422&lt;20)</formula>
    </cfRule>
    <cfRule type="expression" rank="0" priority="1689" equalAverage="0" aboveAverage="0" dxfId="2" text="" percent="0" bottom="0">
      <formula>AND(M422&gt;=5,M422&lt;10)</formula>
    </cfRule>
    <cfRule type="expression" rank="0" priority="1690" equalAverage="0" aboveAverage="0" dxfId="3" text="" percent="0" bottom="0">
      <formula>AND(M422&gt;=1,M422&lt;5)</formula>
    </cfRule>
  </conditionalFormatting>
  <conditionalFormatting sqref="M423">
    <cfRule type="expression" rank="0" priority="1691" equalAverage="0" aboveAverage="0" dxfId="0" text="" percent="0" bottom="0">
      <formula>M423&gt;=20</formula>
    </cfRule>
    <cfRule type="expression" rank="0" priority="1692" equalAverage="0" aboveAverage="0" dxfId="1" text="" percent="0" bottom="0">
      <formula>AND(M423&gt;=10,M423&lt;20)</formula>
    </cfRule>
    <cfRule type="expression" rank="0" priority="1693" equalAverage="0" aboveAverage="0" dxfId="2" text="" percent="0" bottom="0">
      <formula>AND(M423&gt;=5,M423&lt;10)</formula>
    </cfRule>
    <cfRule type="expression" rank="0" priority="1694" equalAverage="0" aboveAverage="0" dxfId="3" text="" percent="0" bottom="0">
      <formula>AND(M423&gt;=1,M423&lt;5)</formula>
    </cfRule>
  </conditionalFormatting>
  <conditionalFormatting sqref="M424">
    <cfRule type="expression" rank="0" priority="1695" equalAverage="0" aboveAverage="0" dxfId="0" text="" percent="0" bottom="0">
      <formula>M424&gt;=20</formula>
    </cfRule>
    <cfRule type="expression" rank="0" priority="1696" equalAverage="0" aboveAverage="0" dxfId="1" text="" percent="0" bottom="0">
      <formula>AND(M424&gt;=10,M424&lt;20)</formula>
    </cfRule>
    <cfRule type="expression" rank="0" priority="1697" equalAverage="0" aboveAverage="0" dxfId="2" text="" percent="0" bottom="0">
      <formula>AND(M424&gt;=5,M424&lt;10)</formula>
    </cfRule>
    <cfRule type="expression" rank="0" priority="1698" equalAverage="0" aboveAverage="0" dxfId="3" text="" percent="0" bottom="0">
      <formula>AND(M424&gt;=1,M424&lt;5)</formula>
    </cfRule>
  </conditionalFormatting>
  <conditionalFormatting sqref="M425">
    <cfRule type="expression" rank="0" priority="1699" equalAverage="0" aboveAverage="0" dxfId="0" text="" percent="0" bottom="0">
      <formula>M425&gt;=20</formula>
    </cfRule>
    <cfRule type="expression" rank="0" priority="1700" equalAverage="0" aboveAverage="0" dxfId="1" text="" percent="0" bottom="0">
      <formula>AND(M425&gt;=10,M425&lt;20)</formula>
    </cfRule>
    <cfRule type="expression" rank="0" priority="1701" equalAverage="0" aboveAverage="0" dxfId="2" text="" percent="0" bottom="0">
      <formula>AND(M425&gt;=5,M425&lt;10)</formula>
    </cfRule>
    <cfRule type="expression" rank="0" priority="1702" equalAverage="0" aboveAverage="0" dxfId="3" text="" percent="0" bottom="0">
      <formula>AND(M425&gt;=1,M425&lt;5)</formula>
    </cfRule>
  </conditionalFormatting>
  <conditionalFormatting sqref="M426">
    <cfRule type="expression" rank="0" priority="1703" equalAverage="0" aboveAverage="0" dxfId="0" text="" percent="0" bottom="0">
      <formula>M426&gt;=20</formula>
    </cfRule>
    <cfRule type="expression" rank="0" priority="1704" equalAverage="0" aboveAverage="0" dxfId="1" text="" percent="0" bottom="0">
      <formula>AND(M426&gt;=10,M426&lt;20)</formula>
    </cfRule>
    <cfRule type="expression" rank="0" priority="1705" equalAverage="0" aboveAverage="0" dxfId="2" text="" percent="0" bottom="0">
      <formula>AND(M426&gt;=5,M426&lt;10)</formula>
    </cfRule>
    <cfRule type="expression" rank="0" priority="1706" equalAverage="0" aboveAverage="0" dxfId="3" text="" percent="0" bottom="0">
      <formula>AND(M426&gt;=1,M426&lt;5)</formula>
    </cfRule>
  </conditionalFormatting>
  <conditionalFormatting sqref="M427">
    <cfRule type="expression" rank="0" priority="1707" equalAverage="0" aboveAverage="0" dxfId="0" text="" percent="0" bottom="0">
      <formula>M427&gt;=20</formula>
    </cfRule>
    <cfRule type="expression" rank="0" priority="1708" equalAverage="0" aboveAverage="0" dxfId="1" text="" percent="0" bottom="0">
      <formula>AND(M427&gt;=10,M427&lt;20)</formula>
    </cfRule>
    <cfRule type="expression" rank="0" priority="1709" equalAverage="0" aboveAverage="0" dxfId="2" text="" percent="0" bottom="0">
      <formula>AND(M427&gt;=5,M427&lt;10)</formula>
    </cfRule>
    <cfRule type="expression" rank="0" priority="1710" equalAverage="0" aboveAverage="0" dxfId="3" text="" percent="0" bottom="0">
      <formula>AND(M427&gt;=1,M427&lt;5)</formula>
    </cfRule>
  </conditionalFormatting>
  <conditionalFormatting sqref="M428">
    <cfRule type="expression" rank="0" priority="1711" equalAverage="0" aboveAverage="0" dxfId="0" text="" percent="0" bottom="0">
      <formula>M428&gt;=20</formula>
    </cfRule>
    <cfRule type="expression" rank="0" priority="1712" equalAverage="0" aboveAverage="0" dxfId="1" text="" percent="0" bottom="0">
      <formula>AND(M428&gt;=10,M428&lt;20)</formula>
    </cfRule>
    <cfRule type="expression" rank="0" priority="1713" equalAverage="0" aboveAverage="0" dxfId="2" text="" percent="0" bottom="0">
      <formula>AND(M428&gt;=5,M428&lt;10)</formula>
    </cfRule>
    <cfRule type="expression" rank="0" priority="1714" equalAverage="0" aboveAverage="0" dxfId="3" text="" percent="0" bottom="0">
      <formula>AND(M428&gt;=1,M428&lt;5)</formula>
    </cfRule>
  </conditionalFormatting>
  <conditionalFormatting sqref="M429">
    <cfRule type="expression" rank="0" priority="1715" equalAverage="0" aboveAverage="0" dxfId="0" text="" percent="0" bottom="0">
      <formula>M429&gt;=20</formula>
    </cfRule>
    <cfRule type="expression" rank="0" priority="1716" equalAverage="0" aboveAverage="0" dxfId="1" text="" percent="0" bottom="0">
      <formula>AND(M429&gt;=10,M429&lt;20)</formula>
    </cfRule>
    <cfRule type="expression" rank="0" priority="1717" equalAverage="0" aboveAverage="0" dxfId="2" text="" percent="0" bottom="0">
      <formula>AND(M429&gt;=5,M429&lt;10)</formula>
    </cfRule>
    <cfRule type="expression" rank="0" priority="1718" equalAverage="0" aboveAverage="0" dxfId="3" text="" percent="0" bottom="0">
      <formula>AND(M429&gt;=1,M429&lt;5)</formula>
    </cfRule>
  </conditionalFormatting>
  <conditionalFormatting sqref="M430">
    <cfRule type="expression" rank="0" priority="1719" equalAverage="0" aboveAverage="0" dxfId="0" text="" percent="0" bottom="0">
      <formula>M430&gt;=20</formula>
    </cfRule>
    <cfRule type="expression" rank="0" priority="1720" equalAverage="0" aboveAverage="0" dxfId="1" text="" percent="0" bottom="0">
      <formula>AND(M430&gt;=10,M430&lt;20)</formula>
    </cfRule>
    <cfRule type="expression" rank="0" priority="1721" equalAverage="0" aboveAverage="0" dxfId="2" text="" percent="0" bottom="0">
      <formula>AND(M430&gt;=5,M430&lt;10)</formula>
    </cfRule>
    <cfRule type="expression" rank="0" priority="1722" equalAverage="0" aboveAverage="0" dxfId="3" text="" percent="0" bottom="0">
      <formula>AND(M430&gt;=1,M430&lt;5)</formula>
    </cfRule>
  </conditionalFormatting>
  <conditionalFormatting sqref="M431">
    <cfRule type="expression" rank="0" priority="1723" equalAverage="0" aboveAverage="0" dxfId="0" text="" percent="0" bottom="0">
      <formula>M431&gt;=20</formula>
    </cfRule>
    <cfRule type="expression" rank="0" priority="1724" equalAverage="0" aboveAverage="0" dxfId="1" text="" percent="0" bottom="0">
      <formula>AND(M431&gt;=10,M431&lt;20)</formula>
    </cfRule>
    <cfRule type="expression" rank="0" priority="1725" equalAverage="0" aboveAverage="0" dxfId="2" text="" percent="0" bottom="0">
      <formula>AND(M431&gt;=5,M431&lt;10)</formula>
    </cfRule>
    <cfRule type="expression" rank="0" priority="1726" equalAverage="0" aboveAverage="0" dxfId="3" text="" percent="0" bottom="0">
      <formula>AND(M431&gt;=1,M431&lt;5)</formula>
    </cfRule>
  </conditionalFormatting>
  <conditionalFormatting sqref="M432">
    <cfRule type="expression" rank="0" priority="1727" equalAverage="0" aboveAverage="0" dxfId="0" text="" percent="0" bottom="0">
      <formula>M432&gt;=20</formula>
    </cfRule>
    <cfRule type="expression" rank="0" priority="1728" equalAverage="0" aboveAverage="0" dxfId="1" text="" percent="0" bottom="0">
      <formula>AND(M432&gt;=10,M432&lt;20)</formula>
    </cfRule>
    <cfRule type="expression" rank="0" priority="1729" equalAverage="0" aboveAverage="0" dxfId="2" text="" percent="0" bottom="0">
      <formula>AND(M432&gt;=5,M432&lt;10)</formula>
    </cfRule>
    <cfRule type="expression" rank="0" priority="1730" equalAverage="0" aboveAverage="0" dxfId="3" text="" percent="0" bottom="0">
      <formula>AND(M432&gt;=1,M432&lt;5)</formula>
    </cfRule>
  </conditionalFormatting>
  <conditionalFormatting sqref="M433">
    <cfRule type="expression" rank="0" priority="1731" equalAverage="0" aboveAverage="0" dxfId="0" text="" percent="0" bottom="0">
      <formula>M433&gt;=20</formula>
    </cfRule>
    <cfRule type="expression" rank="0" priority="1732" equalAverage="0" aboveAverage="0" dxfId="1" text="" percent="0" bottom="0">
      <formula>AND(M433&gt;=10,M433&lt;20)</formula>
    </cfRule>
    <cfRule type="expression" rank="0" priority="1733" equalAverage="0" aboveAverage="0" dxfId="2" text="" percent="0" bottom="0">
      <formula>AND(M433&gt;=5,M433&lt;10)</formula>
    </cfRule>
    <cfRule type="expression" rank="0" priority="1734" equalAverage="0" aboveAverage="0" dxfId="3" text="" percent="0" bottom="0">
      <formula>AND(M433&gt;=1,M433&lt;5)</formula>
    </cfRule>
  </conditionalFormatting>
  <conditionalFormatting sqref="M434">
    <cfRule type="expression" rank="0" priority="1735" equalAverage="0" aboveAverage="0" dxfId="0" text="" percent="0" bottom="0">
      <formula>M434&gt;=20</formula>
    </cfRule>
    <cfRule type="expression" rank="0" priority="1736" equalAverage="0" aboveAverage="0" dxfId="1" text="" percent="0" bottom="0">
      <formula>AND(M434&gt;=10,M434&lt;20)</formula>
    </cfRule>
    <cfRule type="expression" rank="0" priority="1737" equalAverage="0" aboveAverage="0" dxfId="2" text="" percent="0" bottom="0">
      <formula>AND(M434&gt;=5,M434&lt;10)</formula>
    </cfRule>
    <cfRule type="expression" rank="0" priority="1738" equalAverage="0" aboveAverage="0" dxfId="3" text="" percent="0" bottom="0">
      <formula>AND(M434&gt;=1,M434&lt;5)</formula>
    </cfRule>
  </conditionalFormatting>
  <conditionalFormatting sqref="M435">
    <cfRule type="expression" rank="0" priority="1739" equalAverage="0" aboveAverage="0" dxfId="0" text="" percent="0" bottom="0">
      <formula>M435&gt;=20</formula>
    </cfRule>
    <cfRule type="expression" rank="0" priority="1740" equalAverage="0" aboveAverage="0" dxfId="1" text="" percent="0" bottom="0">
      <formula>AND(M435&gt;=10,M435&lt;20)</formula>
    </cfRule>
    <cfRule type="expression" rank="0" priority="1741" equalAverage="0" aboveAverage="0" dxfId="2" text="" percent="0" bottom="0">
      <formula>AND(M435&gt;=5,M435&lt;10)</formula>
    </cfRule>
    <cfRule type="expression" rank="0" priority="1742" equalAverage="0" aboveAverage="0" dxfId="3" text="" percent="0" bottom="0">
      <formula>AND(M435&gt;=1,M435&lt;5)</formula>
    </cfRule>
  </conditionalFormatting>
  <conditionalFormatting sqref="M436">
    <cfRule type="expression" rank="0" priority="1743" equalAverage="0" aboveAverage="0" dxfId="0" text="" percent="0" bottom="0">
      <formula>M436&gt;=20</formula>
    </cfRule>
    <cfRule type="expression" rank="0" priority="1744" equalAverage="0" aboveAverage="0" dxfId="1" text="" percent="0" bottom="0">
      <formula>AND(M436&gt;=10,M436&lt;20)</formula>
    </cfRule>
    <cfRule type="expression" rank="0" priority="1745" equalAverage="0" aboveAverage="0" dxfId="2" text="" percent="0" bottom="0">
      <formula>AND(M436&gt;=5,M436&lt;10)</formula>
    </cfRule>
    <cfRule type="expression" rank="0" priority="1746" equalAverage="0" aboveAverage="0" dxfId="3" text="" percent="0" bottom="0">
      <formula>AND(M436&gt;=1,M436&lt;5)</formula>
    </cfRule>
  </conditionalFormatting>
  <conditionalFormatting sqref="M437">
    <cfRule type="expression" rank="0" priority="1747" equalAverage="0" aboveAverage="0" dxfId="0" text="" percent="0" bottom="0">
      <formula>M437&gt;=20</formula>
    </cfRule>
    <cfRule type="expression" rank="0" priority="1748" equalAverage="0" aboveAverage="0" dxfId="1" text="" percent="0" bottom="0">
      <formula>AND(M437&gt;=10,M437&lt;20)</formula>
    </cfRule>
    <cfRule type="expression" rank="0" priority="1749" equalAverage="0" aboveAverage="0" dxfId="2" text="" percent="0" bottom="0">
      <formula>AND(M437&gt;=5,M437&lt;10)</formula>
    </cfRule>
    <cfRule type="expression" rank="0" priority="1750" equalAverage="0" aboveAverage="0" dxfId="3" text="" percent="0" bottom="0">
      <formula>AND(M437&gt;=1,M437&lt;5)</formula>
    </cfRule>
  </conditionalFormatting>
  <conditionalFormatting sqref="M438">
    <cfRule type="expression" rank="0" priority="1751" equalAverage="0" aboveAverage="0" dxfId="0" text="" percent="0" bottom="0">
      <formula>M438&gt;=20</formula>
    </cfRule>
    <cfRule type="expression" rank="0" priority="1752" equalAverage="0" aboveAverage="0" dxfId="1" text="" percent="0" bottom="0">
      <formula>AND(M438&gt;=10,M438&lt;20)</formula>
    </cfRule>
    <cfRule type="expression" rank="0" priority="1753" equalAverage="0" aboveAverage="0" dxfId="2" text="" percent="0" bottom="0">
      <formula>AND(M438&gt;=5,M438&lt;10)</formula>
    </cfRule>
    <cfRule type="expression" rank="0" priority="1754" equalAverage="0" aboveAverage="0" dxfId="3" text="" percent="0" bottom="0">
      <formula>AND(M438&gt;=1,M438&lt;5)</formula>
    </cfRule>
  </conditionalFormatting>
  <conditionalFormatting sqref="M439">
    <cfRule type="expression" rank="0" priority="1755" equalAverage="0" aboveAverage="0" dxfId="0" text="" percent="0" bottom="0">
      <formula>M439&gt;=20</formula>
    </cfRule>
    <cfRule type="expression" rank="0" priority="1756" equalAverage="0" aboveAverage="0" dxfId="1" text="" percent="0" bottom="0">
      <formula>AND(M439&gt;=10,M439&lt;20)</formula>
    </cfRule>
    <cfRule type="expression" rank="0" priority="1757" equalAverage="0" aboveAverage="0" dxfId="2" text="" percent="0" bottom="0">
      <formula>AND(M439&gt;=5,M439&lt;10)</formula>
    </cfRule>
    <cfRule type="expression" rank="0" priority="1758" equalAverage="0" aboveAverage="0" dxfId="3" text="" percent="0" bottom="0">
      <formula>AND(M439&gt;=1,M439&lt;5)</formula>
    </cfRule>
  </conditionalFormatting>
  <conditionalFormatting sqref="M440">
    <cfRule type="expression" rank="0" priority="1759" equalAverage="0" aboveAverage="0" dxfId="0" text="" percent="0" bottom="0">
      <formula>M440&gt;=20</formula>
    </cfRule>
    <cfRule type="expression" rank="0" priority="1760" equalAverage="0" aboveAverage="0" dxfId="1" text="" percent="0" bottom="0">
      <formula>AND(M440&gt;=10,M440&lt;20)</formula>
    </cfRule>
    <cfRule type="expression" rank="0" priority="1761" equalAverage="0" aboveAverage="0" dxfId="2" text="" percent="0" bottom="0">
      <formula>AND(M440&gt;=5,M440&lt;10)</formula>
    </cfRule>
    <cfRule type="expression" rank="0" priority="1762" equalAverage="0" aboveAverage="0" dxfId="3" text="" percent="0" bottom="0">
      <formula>AND(M440&gt;=1,M440&lt;5)</formula>
    </cfRule>
  </conditionalFormatting>
  <conditionalFormatting sqref="M441">
    <cfRule type="expression" rank="0" priority="1763" equalAverage="0" aboveAverage="0" dxfId="0" text="" percent="0" bottom="0">
      <formula>M441&gt;=20</formula>
    </cfRule>
    <cfRule type="expression" rank="0" priority="1764" equalAverage="0" aboveAverage="0" dxfId="1" text="" percent="0" bottom="0">
      <formula>AND(M441&gt;=10,M441&lt;20)</formula>
    </cfRule>
    <cfRule type="expression" rank="0" priority="1765" equalAverage="0" aboveAverage="0" dxfId="2" text="" percent="0" bottom="0">
      <formula>AND(M441&gt;=5,M441&lt;10)</formula>
    </cfRule>
    <cfRule type="expression" rank="0" priority="1766" equalAverage="0" aboveAverage="0" dxfId="3" text="" percent="0" bottom="0">
      <formula>AND(M441&gt;=1,M441&lt;5)</formula>
    </cfRule>
  </conditionalFormatting>
  <conditionalFormatting sqref="M442">
    <cfRule type="expression" rank="0" priority="1767" equalAverage="0" aboveAverage="0" dxfId="0" text="" percent="0" bottom="0">
      <formula>M442&gt;=20</formula>
    </cfRule>
    <cfRule type="expression" rank="0" priority="1768" equalAverage="0" aboveAverage="0" dxfId="1" text="" percent="0" bottom="0">
      <formula>AND(M442&gt;=10,M442&lt;20)</formula>
    </cfRule>
    <cfRule type="expression" rank="0" priority="1769" equalAverage="0" aboveAverage="0" dxfId="2" text="" percent="0" bottom="0">
      <formula>AND(M442&gt;=5,M442&lt;10)</formula>
    </cfRule>
    <cfRule type="expression" rank="0" priority="1770" equalAverage="0" aboveAverage="0" dxfId="3" text="" percent="0" bottom="0">
      <formula>AND(M442&gt;=1,M442&lt;5)</formula>
    </cfRule>
  </conditionalFormatting>
  <conditionalFormatting sqref="M443">
    <cfRule type="expression" rank="0" priority="1771" equalAverage="0" aboveAverage="0" dxfId="0" text="" percent="0" bottom="0">
      <formula>M443&gt;=20</formula>
    </cfRule>
    <cfRule type="expression" rank="0" priority="1772" equalAverage="0" aboveAverage="0" dxfId="1" text="" percent="0" bottom="0">
      <formula>AND(M443&gt;=10,M443&lt;20)</formula>
    </cfRule>
    <cfRule type="expression" rank="0" priority="1773" equalAverage="0" aboveAverage="0" dxfId="2" text="" percent="0" bottom="0">
      <formula>AND(M443&gt;=5,M443&lt;10)</formula>
    </cfRule>
    <cfRule type="expression" rank="0" priority="1774" equalAverage="0" aboveAverage="0" dxfId="3" text="" percent="0" bottom="0">
      <formula>AND(M443&gt;=1,M443&lt;5)</formula>
    </cfRule>
  </conditionalFormatting>
  <conditionalFormatting sqref="M444">
    <cfRule type="expression" rank="0" priority="1775" equalAverage="0" aboveAverage="0" dxfId="0" text="" percent="0" bottom="0">
      <formula>M444&gt;=20</formula>
    </cfRule>
    <cfRule type="expression" rank="0" priority="1776" equalAverage="0" aboveAverage="0" dxfId="1" text="" percent="0" bottom="0">
      <formula>AND(M444&gt;=10,M444&lt;20)</formula>
    </cfRule>
    <cfRule type="expression" rank="0" priority="1777" equalAverage="0" aboveAverage="0" dxfId="2" text="" percent="0" bottom="0">
      <formula>AND(M444&gt;=5,M444&lt;10)</formula>
    </cfRule>
    <cfRule type="expression" rank="0" priority="1778" equalAverage="0" aboveAverage="0" dxfId="3" text="" percent="0" bottom="0">
      <formula>AND(M444&gt;=1,M444&lt;5)</formula>
    </cfRule>
  </conditionalFormatting>
  <conditionalFormatting sqref="M445">
    <cfRule type="expression" rank="0" priority="1779" equalAverage="0" aboveAverage="0" dxfId="0" text="" percent="0" bottom="0">
      <formula>M445&gt;=20</formula>
    </cfRule>
    <cfRule type="expression" rank="0" priority="1780" equalAverage="0" aboveAverage="0" dxfId="1" text="" percent="0" bottom="0">
      <formula>AND(M445&gt;=10,M445&lt;20)</formula>
    </cfRule>
    <cfRule type="expression" rank="0" priority="1781" equalAverage="0" aboveAverage="0" dxfId="2" text="" percent="0" bottom="0">
      <formula>AND(M445&gt;=5,M445&lt;10)</formula>
    </cfRule>
    <cfRule type="expression" rank="0" priority="1782" equalAverage="0" aboveAverage="0" dxfId="3" text="" percent="0" bottom="0">
      <formula>AND(M445&gt;=1,M445&lt;5)</formula>
    </cfRule>
  </conditionalFormatting>
  <conditionalFormatting sqref="M446">
    <cfRule type="expression" rank="0" priority="1783" equalAverage="0" aboveAverage="0" dxfId="0" text="" percent="0" bottom="0">
      <formula>M446&gt;=20</formula>
    </cfRule>
    <cfRule type="expression" rank="0" priority="1784" equalAverage="0" aboveAverage="0" dxfId="1" text="" percent="0" bottom="0">
      <formula>AND(M446&gt;=10,M446&lt;20)</formula>
    </cfRule>
    <cfRule type="expression" rank="0" priority="1785" equalAverage="0" aboveAverage="0" dxfId="2" text="" percent="0" bottom="0">
      <formula>AND(M446&gt;=5,M446&lt;10)</formula>
    </cfRule>
    <cfRule type="expression" rank="0" priority="1786" equalAverage="0" aboveAverage="0" dxfId="3" text="" percent="0" bottom="0">
      <formula>AND(M446&gt;=1,M446&lt;5)</formula>
    </cfRule>
  </conditionalFormatting>
  <conditionalFormatting sqref="M447">
    <cfRule type="expression" rank="0" priority="1787" equalAverage="0" aboveAverage="0" dxfId="0" text="" percent="0" bottom="0">
      <formula>M447&gt;=20</formula>
    </cfRule>
    <cfRule type="expression" rank="0" priority="1788" equalAverage="0" aboveAverage="0" dxfId="1" text="" percent="0" bottom="0">
      <formula>AND(M447&gt;=10,M447&lt;20)</formula>
    </cfRule>
    <cfRule type="expression" rank="0" priority="1789" equalAverage="0" aboveAverage="0" dxfId="2" text="" percent="0" bottom="0">
      <formula>AND(M447&gt;=5,M447&lt;10)</formula>
    </cfRule>
    <cfRule type="expression" rank="0" priority="1790" equalAverage="0" aboveAverage="0" dxfId="3" text="" percent="0" bottom="0">
      <formula>AND(M447&gt;=1,M447&lt;5)</formula>
    </cfRule>
  </conditionalFormatting>
  <conditionalFormatting sqref="M448">
    <cfRule type="expression" rank="0" priority="1791" equalAverage="0" aboveAverage="0" dxfId="0" text="" percent="0" bottom="0">
      <formula>M448&gt;=20</formula>
    </cfRule>
    <cfRule type="expression" rank="0" priority="1792" equalAverage="0" aboveAverage="0" dxfId="1" text="" percent="0" bottom="0">
      <formula>AND(M448&gt;=10,M448&lt;20)</formula>
    </cfRule>
    <cfRule type="expression" rank="0" priority="1793" equalAverage="0" aboveAverage="0" dxfId="2" text="" percent="0" bottom="0">
      <formula>AND(M448&gt;=5,M448&lt;10)</formula>
    </cfRule>
    <cfRule type="expression" rank="0" priority="1794" equalAverage="0" aboveAverage="0" dxfId="3" text="" percent="0" bottom="0">
      <formula>AND(M448&gt;=1,M448&lt;5)</formula>
    </cfRule>
  </conditionalFormatting>
  <conditionalFormatting sqref="M449">
    <cfRule type="expression" rank="0" priority="1795" equalAverage="0" aboveAverage="0" dxfId="0" text="" percent="0" bottom="0">
      <formula>M449&gt;=20</formula>
    </cfRule>
    <cfRule type="expression" rank="0" priority="1796" equalAverage="0" aboveAverage="0" dxfId="1" text="" percent="0" bottom="0">
      <formula>AND(M449&gt;=10,M449&lt;20)</formula>
    </cfRule>
    <cfRule type="expression" rank="0" priority="1797" equalAverage="0" aboveAverage="0" dxfId="2" text="" percent="0" bottom="0">
      <formula>AND(M449&gt;=5,M449&lt;10)</formula>
    </cfRule>
    <cfRule type="expression" rank="0" priority="1798" equalAverage="0" aboveAverage="0" dxfId="3" text="" percent="0" bottom="0">
      <formula>AND(M449&gt;=1,M449&lt;5)</formula>
    </cfRule>
  </conditionalFormatting>
  <conditionalFormatting sqref="M450">
    <cfRule type="expression" rank="0" priority="1799" equalAverage="0" aboveAverage="0" dxfId="0" text="" percent="0" bottom="0">
      <formula>M450&gt;=20</formula>
    </cfRule>
    <cfRule type="expression" rank="0" priority="1800" equalAverage="0" aboveAverage="0" dxfId="1" text="" percent="0" bottom="0">
      <formula>AND(M450&gt;=10,M450&lt;20)</formula>
    </cfRule>
    <cfRule type="expression" rank="0" priority="1801" equalAverage="0" aboveAverage="0" dxfId="2" text="" percent="0" bottom="0">
      <formula>AND(M450&gt;=5,M450&lt;10)</formula>
    </cfRule>
    <cfRule type="expression" rank="0" priority="1802" equalAverage="0" aboveAverage="0" dxfId="3" text="" percent="0" bottom="0">
      <formula>AND(M450&gt;=1,M450&lt;5)</formula>
    </cfRule>
  </conditionalFormatting>
  <conditionalFormatting sqref="M451">
    <cfRule type="expression" rank="0" priority="1803" equalAverage="0" aboveAverage="0" dxfId="0" text="" percent="0" bottom="0">
      <formula>M451&gt;=20</formula>
    </cfRule>
    <cfRule type="expression" rank="0" priority="1804" equalAverage="0" aboveAverage="0" dxfId="1" text="" percent="0" bottom="0">
      <formula>AND(M451&gt;=10,M451&lt;20)</formula>
    </cfRule>
    <cfRule type="expression" rank="0" priority="1805" equalAverage="0" aboveAverage="0" dxfId="2" text="" percent="0" bottom="0">
      <formula>AND(M451&gt;=5,M451&lt;10)</formula>
    </cfRule>
    <cfRule type="expression" rank="0" priority="1806" equalAverage="0" aboveAverage="0" dxfId="3" text="" percent="0" bottom="0">
      <formula>AND(M451&gt;=1,M451&lt;5)</formula>
    </cfRule>
  </conditionalFormatting>
  <conditionalFormatting sqref="M452">
    <cfRule type="expression" rank="0" priority="1807" equalAverage="0" aboveAverage="0" dxfId="0" text="" percent="0" bottom="0">
      <formula>M452&gt;=20</formula>
    </cfRule>
    <cfRule type="expression" rank="0" priority="1808" equalAverage="0" aboveAverage="0" dxfId="1" text="" percent="0" bottom="0">
      <formula>AND(M452&gt;=10,M452&lt;20)</formula>
    </cfRule>
    <cfRule type="expression" rank="0" priority="1809" equalAverage="0" aboveAverage="0" dxfId="2" text="" percent="0" bottom="0">
      <formula>AND(M452&gt;=5,M452&lt;10)</formula>
    </cfRule>
    <cfRule type="expression" rank="0" priority="1810" equalAverage="0" aboveAverage="0" dxfId="3" text="" percent="0" bottom="0">
      <formula>AND(M452&gt;=1,M452&lt;5)</formula>
    </cfRule>
  </conditionalFormatting>
  <conditionalFormatting sqref="M453">
    <cfRule type="expression" rank="0" priority="1811" equalAverage="0" aboveAverage="0" dxfId="0" text="" percent="0" bottom="0">
      <formula>M453&gt;=20</formula>
    </cfRule>
    <cfRule type="expression" rank="0" priority="1812" equalAverage="0" aboveAverage="0" dxfId="1" text="" percent="0" bottom="0">
      <formula>AND(M453&gt;=10,M453&lt;20)</formula>
    </cfRule>
    <cfRule type="expression" rank="0" priority="1813" equalAverage="0" aboveAverage="0" dxfId="2" text="" percent="0" bottom="0">
      <formula>AND(M453&gt;=5,M453&lt;10)</formula>
    </cfRule>
    <cfRule type="expression" rank="0" priority="1814" equalAverage="0" aboveAverage="0" dxfId="3" text="" percent="0" bottom="0">
      <formula>AND(M453&gt;=1,M453&lt;5)</formula>
    </cfRule>
  </conditionalFormatting>
  <conditionalFormatting sqref="M454">
    <cfRule type="expression" rank="0" priority="1815" equalAverage="0" aboveAverage="0" dxfId="0" text="" percent="0" bottom="0">
      <formula>M454&gt;=20</formula>
    </cfRule>
    <cfRule type="expression" rank="0" priority="1816" equalAverage="0" aboveAverage="0" dxfId="1" text="" percent="0" bottom="0">
      <formula>AND(M454&gt;=10,M454&lt;20)</formula>
    </cfRule>
    <cfRule type="expression" rank="0" priority="1817" equalAverage="0" aboveAverage="0" dxfId="2" text="" percent="0" bottom="0">
      <formula>AND(M454&gt;=5,M454&lt;10)</formula>
    </cfRule>
    <cfRule type="expression" rank="0" priority="1818" equalAverage="0" aboveAverage="0" dxfId="3" text="" percent="0" bottom="0">
      <formula>AND(M454&gt;=1,M454&lt;5)</formula>
    </cfRule>
  </conditionalFormatting>
  <conditionalFormatting sqref="M455">
    <cfRule type="expression" rank="0" priority="1819" equalAverage="0" aboveAverage="0" dxfId="0" text="" percent="0" bottom="0">
      <formula>M455&gt;=20</formula>
    </cfRule>
    <cfRule type="expression" rank="0" priority="1820" equalAverage="0" aboveAverage="0" dxfId="1" text="" percent="0" bottom="0">
      <formula>AND(M455&gt;=10,M455&lt;20)</formula>
    </cfRule>
    <cfRule type="expression" rank="0" priority="1821" equalAverage="0" aboveAverage="0" dxfId="2" text="" percent="0" bottom="0">
      <formula>AND(M455&gt;=5,M455&lt;10)</formula>
    </cfRule>
    <cfRule type="expression" rank="0" priority="1822" equalAverage="0" aboveAverage="0" dxfId="3" text="" percent="0" bottom="0">
      <formula>AND(M455&gt;=1,M455&lt;5)</formula>
    </cfRule>
  </conditionalFormatting>
  <conditionalFormatting sqref="M456">
    <cfRule type="expression" rank="0" priority="1823" equalAverage="0" aboveAverage="0" dxfId="0" text="" percent="0" bottom="0">
      <formula>M456&gt;=20</formula>
    </cfRule>
    <cfRule type="expression" rank="0" priority="1824" equalAverage="0" aboveAverage="0" dxfId="1" text="" percent="0" bottom="0">
      <formula>AND(M456&gt;=10,M456&lt;20)</formula>
    </cfRule>
    <cfRule type="expression" rank="0" priority="1825" equalAverage="0" aboveAverage="0" dxfId="2" text="" percent="0" bottom="0">
      <formula>AND(M456&gt;=5,M456&lt;10)</formula>
    </cfRule>
    <cfRule type="expression" rank="0" priority="1826" equalAverage="0" aboveAverage="0" dxfId="3" text="" percent="0" bottom="0">
      <formula>AND(M456&gt;=1,M456&lt;5)</formula>
    </cfRule>
  </conditionalFormatting>
  <conditionalFormatting sqref="M457">
    <cfRule type="expression" rank="0" priority="1827" equalAverage="0" aboveAverage="0" dxfId="0" text="" percent="0" bottom="0">
      <formula>M457&gt;=20</formula>
    </cfRule>
    <cfRule type="expression" rank="0" priority="1828" equalAverage="0" aboveAverage="0" dxfId="1" text="" percent="0" bottom="0">
      <formula>AND(M457&gt;=10,M457&lt;20)</formula>
    </cfRule>
    <cfRule type="expression" rank="0" priority="1829" equalAverage="0" aboveAverage="0" dxfId="2" text="" percent="0" bottom="0">
      <formula>AND(M457&gt;=5,M457&lt;10)</formula>
    </cfRule>
    <cfRule type="expression" rank="0" priority="1830" equalAverage="0" aboveAverage="0" dxfId="3" text="" percent="0" bottom="0">
      <formula>AND(M457&gt;=1,M457&lt;5)</formula>
    </cfRule>
  </conditionalFormatting>
  <conditionalFormatting sqref="M458">
    <cfRule type="expression" rank="0" priority="1831" equalAverage="0" aboveAverage="0" dxfId="0" text="" percent="0" bottom="0">
      <formula>M458&gt;=20</formula>
    </cfRule>
    <cfRule type="expression" rank="0" priority="1832" equalAverage="0" aboveAverage="0" dxfId="1" text="" percent="0" bottom="0">
      <formula>AND(M458&gt;=10,M458&lt;20)</formula>
    </cfRule>
    <cfRule type="expression" rank="0" priority="1833" equalAverage="0" aboveAverage="0" dxfId="2" text="" percent="0" bottom="0">
      <formula>AND(M458&gt;=5,M458&lt;10)</formula>
    </cfRule>
    <cfRule type="expression" rank="0" priority="1834" equalAverage="0" aboveAverage="0" dxfId="3" text="" percent="0" bottom="0">
      <formula>AND(M458&gt;=1,M458&lt;5)</formula>
    </cfRule>
  </conditionalFormatting>
  <conditionalFormatting sqref="M459">
    <cfRule type="expression" rank="0" priority="1835" equalAverage="0" aboveAverage="0" dxfId="0" text="" percent="0" bottom="0">
      <formula>M459&gt;=20</formula>
    </cfRule>
    <cfRule type="expression" rank="0" priority="1836" equalAverage="0" aboveAverage="0" dxfId="1" text="" percent="0" bottom="0">
      <formula>AND(M459&gt;=10,M459&lt;20)</formula>
    </cfRule>
    <cfRule type="expression" rank="0" priority="1837" equalAverage="0" aboveAverage="0" dxfId="2" text="" percent="0" bottom="0">
      <formula>AND(M459&gt;=5,M459&lt;10)</formula>
    </cfRule>
    <cfRule type="expression" rank="0" priority="1838" equalAverage="0" aboveAverage="0" dxfId="3" text="" percent="0" bottom="0">
      <formula>AND(M459&gt;=1,M459&lt;5)</formula>
    </cfRule>
  </conditionalFormatting>
  <conditionalFormatting sqref="M460">
    <cfRule type="expression" rank="0" priority="1839" equalAverage="0" aboveAverage="0" dxfId="0" text="" percent="0" bottom="0">
      <formula>M460&gt;=20</formula>
    </cfRule>
    <cfRule type="expression" rank="0" priority="1840" equalAverage="0" aboveAverage="0" dxfId="1" text="" percent="0" bottom="0">
      <formula>AND(M460&gt;=10,M460&lt;20)</formula>
    </cfRule>
    <cfRule type="expression" rank="0" priority="1841" equalAverage="0" aboveAverage="0" dxfId="2" text="" percent="0" bottom="0">
      <formula>AND(M460&gt;=5,M460&lt;10)</formula>
    </cfRule>
    <cfRule type="expression" rank="0" priority="1842" equalAverage="0" aboveAverage="0" dxfId="3" text="" percent="0" bottom="0">
      <formula>AND(M460&gt;=1,M460&lt;5)</formula>
    </cfRule>
  </conditionalFormatting>
  <conditionalFormatting sqref="M461">
    <cfRule type="expression" rank="0" priority="1843" equalAverage="0" aboveAverage="0" dxfId="0" text="" percent="0" bottom="0">
      <formula>M461&gt;=20</formula>
    </cfRule>
    <cfRule type="expression" rank="0" priority="1844" equalAverage="0" aboveAverage="0" dxfId="1" text="" percent="0" bottom="0">
      <formula>AND(M461&gt;=10,M461&lt;20)</formula>
    </cfRule>
    <cfRule type="expression" rank="0" priority="1845" equalAverage="0" aboveAverage="0" dxfId="2" text="" percent="0" bottom="0">
      <formula>AND(M461&gt;=5,M461&lt;10)</formula>
    </cfRule>
    <cfRule type="expression" rank="0" priority="1846" equalAverage="0" aboveAverage="0" dxfId="3" text="" percent="0" bottom="0">
      <formula>AND(M461&gt;=1,M461&lt;5)</formula>
    </cfRule>
  </conditionalFormatting>
  <conditionalFormatting sqref="M462">
    <cfRule type="expression" rank="0" priority="1847" equalAverage="0" aboveAverage="0" dxfId="0" text="" percent="0" bottom="0">
      <formula>M462&gt;=20</formula>
    </cfRule>
    <cfRule type="expression" rank="0" priority="1848" equalAverage="0" aboveAverage="0" dxfId="1" text="" percent="0" bottom="0">
      <formula>AND(M462&gt;=10,M462&lt;20)</formula>
    </cfRule>
    <cfRule type="expression" rank="0" priority="1849" equalAverage="0" aboveAverage="0" dxfId="2" text="" percent="0" bottom="0">
      <formula>AND(M462&gt;=5,M462&lt;10)</formula>
    </cfRule>
    <cfRule type="expression" rank="0" priority="1850" equalAverage="0" aboveAverage="0" dxfId="3" text="" percent="0" bottom="0">
      <formula>AND(M462&gt;=1,M462&lt;5)</formula>
    </cfRule>
  </conditionalFormatting>
  <conditionalFormatting sqref="M463">
    <cfRule type="expression" rank="0" priority="1851" equalAverage="0" aboveAverage="0" dxfId="0" text="" percent="0" bottom="0">
      <formula>M463&gt;=20</formula>
    </cfRule>
    <cfRule type="expression" rank="0" priority="1852" equalAverage="0" aboveAverage="0" dxfId="1" text="" percent="0" bottom="0">
      <formula>AND(M463&gt;=10,M463&lt;20)</formula>
    </cfRule>
    <cfRule type="expression" rank="0" priority="1853" equalAverage="0" aboveAverage="0" dxfId="2" text="" percent="0" bottom="0">
      <formula>AND(M463&gt;=5,M463&lt;10)</formula>
    </cfRule>
    <cfRule type="expression" rank="0" priority="1854" equalAverage="0" aboveAverage="0" dxfId="3" text="" percent="0" bottom="0">
      <formula>AND(M463&gt;=1,M463&lt;5)</formula>
    </cfRule>
  </conditionalFormatting>
  <conditionalFormatting sqref="M464">
    <cfRule type="expression" rank="0" priority="1855" equalAverage="0" aboveAverage="0" dxfId="0" text="" percent="0" bottom="0">
      <formula>M464&gt;=20</formula>
    </cfRule>
    <cfRule type="expression" rank="0" priority="1856" equalAverage="0" aboveAverage="0" dxfId="1" text="" percent="0" bottom="0">
      <formula>AND(M464&gt;=10,M464&lt;20)</formula>
    </cfRule>
    <cfRule type="expression" rank="0" priority="1857" equalAverage="0" aboveAverage="0" dxfId="2" text="" percent="0" bottom="0">
      <formula>AND(M464&gt;=5,M464&lt;10)</formula>
    </cfRule>
    <cfRule type="expression" rank="0" priority="1858" equalAverage="0" aboveAverage="0" dxfId="3" text="" percent="0" bottom="0">
      <formula>AND(M464&gt;=1,M464&lt;5)</formula>
    </cfRule>
  </conditionalFormatting>
  <conditionalFormatting sqref="M465">
    <cfRule type="expression" rank="0" priority="1859" equalAverage="0" aboveAverage="0" dxfId="0" text="" percent="0" bottom="0">
      <formula>M465&gt;=20</formula>
    </cfRule>
    <cfRule type="expression" rank="0" priority="1860" equalAverage="0" aboveAverage="0" dxfId="1" text="" percent="0" bottom="0">
      <formula>AND(M465&gt;=10,M465&lt;20)</formula>
    </cfRule>
    <cfRule type="expression" rank="0" priority="1861" equalAverage="0" aboveAverage="0" dxfId="2" text="" percent="0" bottom="0">
      <formula>AND(M465&gt;=5,M465&lt;10)</formula>
    </cfRule>
    <cfRule type="expression" rank="0" priority="1862" equalAverage="0" aboveAverage="0" dxfId="3" text="" percent="0" bottom="0">
      <formula>AND(M465&gt;=1,M465&lt;5)</formula>
    </cfRule>
  </conditionalFormatting>
  <conditionalFormatting sqref="M466">
    <cfRule type="expression" rank="0" priority="1863" equalAverage="0" aboveAverage="0" dxfId="0" text="" percent="0" bottom="0">
      <formula>M466&gt;=20</formula>
    </cfRule>
    <cfRule type="expression" rank="0" priority="1864" equalAverage="0" aboveAverage="0" dxfId="1" text="" percent="0" bottom="0">
      <formula>AND(M466&gt;=10,M466&lt;20)</formula>
    </cfRule>
    <cfRule type="expression" rank="0" priority="1865" equalAverage="0" aboveAverage="0" dxfId="2" text="" percent="0" bottom="0">
      <formula>AND(M466&gt;=5,M466&lt;10)</formula>
    </cfRule>
    <cfRule type="expression" rank="0" priority="1866" equalAverage="0" aboveAverage="0" dxfId="3" text="" percent="0" bottom="0">
      <formula>AND(M466&gt;=1,M466&lt;5)</formula>
    </cfRule>
  </conditionalFormatting>
  <conditionalFormatting sqref="M467">
    <cfRule type="expression" rank="0" priority="1867" equalAverage="0" aboveAverage="0" dxfId="0" text="" percent="0" bottom="0">
      <formula>M467&gt;=20</formula>
    </cfRule>
    <cfRule type="expression" rank="0" priority="1868" equalAverage="0" aboveAverage="0" dxfId="1" text="" percent="0" bottom="0">
      <formula>AND(M467&gt;=10,M467&lt;20)</formula>
    </cfRule>
    <cfRule type="expression" rank="0" priority="1869" equalAverage="0" aboveAverage="0" dxfId="2" text="" percent="0" bottom="0">
      <formula>AND(M467&gt;=5,M467&lt;10)</formula>
    </cfRule>
    <cfRule type="expression" rank="0" priority="1870" equalAverage="0" aboveAverage="0" dxfId="3" text="" percent="0" bottom="0">
      <formula>AND(M467&gt;=1,M467&lt;5)</formula>
    </cfRule>
  </conditionalFormatting>
  <conditionalFormatting sqref="M468">
    <cfRule type="expression" rank="0" priority="1871" equalAverage="0" aboveAverage="0" dxfId="0" text="" percent="0" bottom="0">
      <formula>M468&gt;=20</formula>
    </cfRule>
    <cfRule type="expression" rank="0" priority="1872" equalAverage="0" aboveAverage="0" dxfId="1" text="" percent="0" bottom="0">
      <formula>AND(M468&gt;=10,M468&lt;20)</formula>
    </cfRule>
    <cfRule type="expression" rank="0" priority="1873" equalAverage="0" aboveAverage="0" dxfId="2" text="" percent="0" bottom="0">
      <formula>AND(M468&gt;=5,M468&lt;10)</formula>
    </cfRule>
    <cfRule type="expression" rank="0" priority="1874" equalAverage="0" aboveAverage="0" dxfId="3" text="" percent="0" bottom="0">
      <formula>AND(M468&gt;=1,M468&lt;5)</formula>
    </cfRule>
  </conditionalFormatting>
  <conditionalFormatting sqref="M469">
    <cfRule type="expression" rank="0" priority="1875" equalAverage="0" aboveAverage="0" dxfId="0" text="" percent="0" bottom="0">
      <formula>M469&gt;=20</formula>
    </cfRule>
    <cfRule type="expression" rank="0" priority="1876" equalAverage="0" aboveAverage="0" dxfId="1" text="" percent="0" bottom="0">
      <formula>AND(M469&gt;=10,M469&lt;20)</formula>
    </cfRule>
    <cfRule type="expression" rank="0" priority="1877" equalAverage="0" aboveAverage="0" dxfId="2" text="" percent="0" bottom="0">
      <formula>AND(M469&gt;=5,M469&lt;10)</formula>
    </cfRule>
    <cfRule type="expression" rank="0" priority="1878" equalAverage="0" aboveAverage="0" dxfId="3" text="" percent="0" bottom="0">
      <formula>AND(M469&gt;=1,M469&lt;5)</formula>
    </cfRule>
  </conditionalFormatting>
  <conditionalFormatting sqref="M470">
    <cfRule type="expression" rank="0" priority="1879" equalAverage="0" aboveAverage="0" dxfId="0" text="" percent="0" bottom="0">
      <formula>M470&gt;=20</formula>
    </cfRule>
    <cfRule type="expression" rank="0" priority="1880" equalAverage="0" aboveAverage="0" dxfId="1" text="" percent="0" bottom="0">
      <formula>AND(M470&gt;=10,M470&lt;20)</formula>
    </cfRule>
    <cfRule type="expression" rank="0" priority="1881" equalAverage="0" aboveAverage="0" dxfId="2" text="" percent="0" bottom="0">
      <formula>AND(M470&gt;=5,M470&lt;10)</formula>
    </cfRule>
    <cfRule type="expression" rank="0" priority="1882" equalAverage="0" aboveAverage="0" dxfId="3" text="" percent="0" bottom="0">
      <formula>AND(M470&gt;=1,M470&lt;5)</formula>
    </cfRule>
  </conditionalFormatting>
  <conditionalFormatting sqref="M471">
    <cfRule type="expression" rank="0" priority="1883" equalAverage="0" aboveAverage="0" dxfId="0" text="" percent="0" bottom="0">
      <formula>M471&gt;=20</formula>
    </cfRule>
    <cfRule type="expression" rank="0" priority="1884" equalAverage="0" aboveAverage="0" dxfId="1" text="" percent="0" bottom="0">
      <formula>AND(M471&gt;=10,M471&lt;20)</formula>
    </cfRule>
    <cfRule type="expression" rank="0" priority="1885" equalAverage="0" aboveAverage="0" dxfId="2" text="" percent="0" bottom="0">
      <formula>AND(M471&gt;=5,M471&lt;10)</formula>
    </cfRule>
    <cfRule type="expression" rank="0" priority="1886" equalAverage="0" aboveAverage="0" dxfId="3" text="" percent="0" bottom="0">
      <formula>AND(M471&gt;=1,M471&lt;5)</formula>
    </cfRule>
  </conditionalFormatting>
  <conditionalFormatting sqref="M472">
    <cfRule type="expression" rank="0" priority="1887" equalAverage="0" aboveAverage="0" dxfId="0" text="" percent="0" bottom="0">
      <formula>M472&gt;=20</formula>
    </cfRule>
    <cfRule type="expression" rank="0" priority="1888" equalAverage="0" aboveAverage="0" dxfId="1" text="" percent="0" bottom="0">
      <formula>AND(M472&gt;=10,M472&lt;20)</formula>
    </cfRule>
    <cfRule type="expression" rank="0" priority="1889" equalAverage="0" aboveAverage="0" dxfId="2" text="" percent="0" bottom="0">
      <formula>AND(M472&gt;=5,M472&lt;10)</formula>
    </cfRule>
    <cfRule type="expression" rank="0" priority="1890" equalAverage="0" aboveAverage="0" dxfId="3" text="" percent="0" bottom="0">
      <formula>AND(M472&gt;=1,M472&lt;5)</formula>
    </cfRule>
  </conditionalFormatting>
  <conditionalFormatting sqref="M473">
    <cfRule type="expression" rank="0" priority="1891" equalAverage="0" aboveAverage="0" dxfId="0" text="" percent="0" bottom="0">
      <formula>M473&gt;=20</formula>
    </cfRule>
    <cfRule type="expression" rank="0" priority="1892" equalAverage="0" aboveAverage="0" dxfId="1" text="" percent="0" bottom="0">
      <formula>AND(M473&gt;=10,M473&lt;20)</formula>
    </cfRule>
    <cfRule type="expression" rank="0" priority="1893" equalAverage="0" aboveAverage="0" dxfId="2" text="" percent="0" bottom="0">
      <formula>AND(M473&gt;=5,M473&lt;10)</formula>
    </cfRule>
    <cfRule type="expression" rank="0" priority="1894" equalAverage="0" aboveAverage="0" dxfId="3" text="" percent="0" bottom="0">
      <formula>AND(M473&gt;=1,M473&lt;5)</formula>
    </cfRule>
  </conditionalFormatting>
  <conditionalFormatting sqref="M474">
    <cfRule type="expression" rank="0" priority="1895" equalAverage="0" aboveAverage="0" dxfId="0" text="" percent="0" bottom="0">
      <formula>M474&gt;=20</formula>
    </cfRule>
    <cfRule type="expression" rank="0" priority="1896" equalAverage="0" aboveAverage="0" dxfId="1" text="" percent="0" bottom="0">
      <formula>AND(M474&gt;=10,M474&lt;20)</formula>
    </cfRule>
    <cfRule type="expression" rank="0" priority="1897" equalAverage="0" aboveAverage="0" dxfId="2" text="" percent="0" bottom="0">
      <formula>AND(M474&gt;=5,M474&lt;10)</formula>
    </cfRule>
    <cfRule type="expression" rank="0" priority="1898" equalAverage="0" aboveAverage="0" dxfId="3" text="" percent="0" bottom="0">
      <formula>AND(M474&gt;=1,M474&lt;5)</formula>
    </cfRule>
  </conditionalFormatting>
  <conditionalFormatting sqref="M475">
    <cfRule type="expression" rank="0" priority="1899" equalAverage="0" aboveAverage="0" dxfId="0" text="" percent="0" bottom="0">
      <formula>M475&gt;=20</formula>
    </cfRule>
    <cfRule type="expression" rank="0" priority="1900" equalAverage="0" aboveAverage="0" dxfId="1" text="" percent="0" bottom="0">
      <formula>AND(M475&gt;=10,M475&lt;20)</formula>
    </cfRule>
    <cfRule type="expression" rank="0" priority="1901" equalAverage="0" aboveAverage="0" dxfId="2" text="" percent="0" bottom="0">
      <formula>AND(M475&gt;=5,M475&lt;10)</formula>
    </cfRule>
    <cfRule type="expression" rank="0" priority="1902" equalAverage="0" aboveAverage="0" dxfId="3" text="" percent="0" bottom="0">
      <formula>AND(M475&gt;=1,M475&lt;5)</formula>
    </cfRule>
  </conditionalFormatting>
  <conditionalFormatting sqref="M476">
    <cfRule type="expression" rank="0" priority="1903" equalAverage="0" aboveAverage="0" dxfId="0" text="" percent="0" bottom="0">
      <formula>M476&gt;=20</formula>
    </cfRule>
    <cfRule type="expression" rank="0" priority="1904" equalAverage="0" aboveAverage="0" dxfId="1" text="" percent="0" bottom="0">
      <formula>AND(M476&gt;=10,M476&lt;20)</formula>
    </cfRule>
    <cfRule type="expression" rank="0" priority="1905" equalAverage="0" aboveAverage="0" dxfId="2" text="" percent="0" bottom="0">
      <formula>AND(M476&gt;=5,M476&lt;10)</formula>
    </cfRule>
    <cfRule type="expression" rank="0" priority="1906" equalAverage="0" aboveAverage="0" dxfId="3" text="" percent="0" bottom="0">
      <formula>AND(M476&gt;=1,M476&lt;5)</formula>
    </cfRule>
  </conditionalFormatting>
  <conditionalFormatting sqref="M477">
    <cfRule type="expression" rank="0" priority="1907" equalAverage="0" aboveAverage="0" dxfId="0" text="" percent="0" bottom="0">
      <formula>M477&gt;=20</formula>
    </cfRule>
    <cfRule type="expression" rank="0" priority="1908" equalAverage="0" aboveAverage="0" dxfId="1" text="" percent="0" bottom="0">
      <formula>AND(M477&gt;=10,M477&lt;20)</formula>
    </cfRule>
    <cfRule type="expression" rank="0" priority="1909" equalAverage="0" aboveAverage="0" dxfId="2" text="" percent="0" bottom="0">
      <formula>AND(M477&gt;=5,M477&lt;10)</formula>
    </cfRule>
    <cfRule type="expression" rank="0" priority="1910" equalAverage="0" aboveAverage="0" dxfId="3" text="" percent="0" bottom="0">
      <formula>AND(M477&gt;=1,M477&lt;5)</formula>
    </cfRule>
  </conditionalFormatting>
  <conditionalFormatting sqref="M478">
    <cfRule type="expression" rank="0" priority="1911" equalAverage="0" aboveAverage="0" dxfId="0" text="" percent="0" bottom="0">
      <formula>M478&gt;=20</formula>
    </cfRule>
    <cfRule type="expression" rank="0" priority="1912" equalAverage="0" aboveAverage="0" dxfId="1" text="" percent="0" bottom="0">
      <formula>AND(M478&gt;=10,M478&lt;20)</formula>
    </cfRule>
    <cfRule type="expression" rank="0" priority="1913" equalAverage="0" aboveAverage="0" dxfId="2" text="" percent="0" bottom="0">
      <formula>AND(M478&gt;=5,M478&lt;10)</formula>
    </cfRule>
    <cfRule type="expression" rank="0" priority="1914" equalAverage="0" aboveAverage="0" dxfId="3" text="" percent="0" bottom="0">
      <formula>AND(M478&gt;=1,M478&lt;5)</formula>
    </cfRule>
  </conditionalFormatting>
  <conditionalFormatting sqref="M479">
    <cfRule type="expression" rank="0" priority="1915" equalAverage="0" aboveAverage="0" dxfId="0" text="" percent="0" bottom="0">
      <formula>M479&gt;=20</formula>
    </cfRule>
    <cfRule type="expression" rank="0" priority="1916" equalAverage="0" aboveAverage="0" dxfId="1" text="" percent="0" bottom="0">
      <formula>AND(M479&gt;=10,M479&lt;20)</formula>
    </cfRule>
    <cfRule type="expression" rank="0" priority="1917" equalAverage="0" aboveAverage="0" dxfId="2" text="" percent="0" bottom="0">
      <formula>AND(M479&gt;=5,M479&lt;10)</formula>
    </cfRule>
    <cfRule type="expression" rank="0" priority="1918" equalAverage="0" aboveAverage="0" dxfId="3" text="" percent="0" bottom="0">
      <formula>AND(M479&gt;=1,M479&lt;5)</formula>
    </cfRule>
  </conditionalFormatting>
  <conditionalFormatting sqref="M480">
    <cfRule type="expression" rank="0" priority="1919" equalAverage="0" aboveAverage="0" dxfId="0" text="" percent="0" bottom="0">
      <formula>M480&gt;=20</formula>
    </cfRule>
    <cfRule type="expression" rank="0" priority="1920" equalAverage="0" aboveAverage="0" dxfId="1" text="" percent="0" bottom="0">
      <formula>AND(M480&gt;=10,M480&lt;20)</formula>
    </cfRule>
    <cfRule type="expression" rank="0" priority="1921" equalAverage="0" aboveAverage="0" dxfId="2" text="" percent="0" bottom="0">
      <formula>AND(M480&gt;=5,M480&lt;10)</formula>
    </cfRule>
    <cfRule type="expression" rank="0" priority="1922" equalAverage="0" aboveAverage="0" dxfId="3" text="" percent="0" bottom="0">
      <formula>AND(M480&gt;=1,M480&lt;5)</formula>
    </cfRule>
  </conditionalFormatting>
  <conditionalFormatting sqref="M481">
    <cfRule type="expression" rank="0" priority="1923" equalAverage="0" aboveAverage="0" dxfId="0" text="" percent="0" bottom="0">
      <formula>M481&gt;=20</formula>
    </cfRule>
    <cfRule type="expression" rank="0" priority="1924" equalAverage="0" aboveAverage="0" dxfId="1" text="" percent="0" bottom="0">
      <formula>AND(M481&gt;=10,M481&lt;20)</formula>
    </cfRule>
    <cfRule type="expression" rank="0" priority="1925" equalAverage="0" aboveAverage="0" dxfId="2" text="" percent="0" bottom="0">
      <formula>AND(M481&gt;=5,M481&lt;10)</formula>
    </cfRule>
    <cfRule type="expression" rank="0" priority="1926" equalAverage="0" aboveAverage="0" dxfId="3" text="" percent="0" bottom="0">
      <formula>AND(M481&gt;=1,M481&lt;5)</formula>
    </cfRule>
  </conditionalFormatting>
  <conditionalFormatting sqref="M482">
    <cfRule type="expression" rank="0" priority="1927" equalAverage="0" aboveAverage="0" dxfId="0" text="" percent="0" bottom="0">
      <formula>M482&gt;=20</formula>
    </cfRule>
    <cfRule type="expression" rank="0" priority="1928" equalAverage="0" aboveAverage="0" dxfId="1" text="" percent="0" bottom="0">
      <formula>AND(M482&gt;=10,M482&lt;20)</formula>
    </cfRule>
    <cfRule type="expression" rank="0" priority="1929" equalAverage="0" aboveAverage="0" dxfId="2" text="" percent="0" bottom="0">
      <formula>AND(M482&gt;=5,M482&lt;10)</formula>
    </cfRule>
    <cfRule type="expression" rank="0" priority="1930" equalAverage="0" aboveAverage="0" dxfId="3" text="" percent="0" bottom="0">
      <formula>AND(M482&gt;=1,M482&lt;5)</formula>
    </cfRule>
  </conditionalFormatting>
  <conditionalFormatting sqref="M483">
    <cfRule type="expression" rank="0" priority="1931" equalAverage="0" aboveAverage="0" dxfId="0" text="" percent="0" bottom="0">
      <formula>M483&gt;=20</formula>
    </cfRule>
    <cfRule type="expression" rank="0" priority="1932" equalAverage="0" aboveAverage="0" dxfId="1" text="" percent="0" bottom="0">
      <formula>AND(M483&gt;=10,M483&lt;20)</formula>
    </cfRule>
    <cfRule type="expression" rank="0" priority="1933" equalAverage="0" aboveAverage="0" dxfId="2" text="" percent="0" bottom="0">
      <formula>AND(M483&gt;=5,M483&lt;10)</formula>
    </cfRule>
    <cfRule type="expression" rank="0" priority="1934" equalAverage="0" aboveAverage="0" dxfId="3" text="" percent="0" bottom="0">
      <formula>AND(M483&gt;=1,M483&lt;5)</formula>
    </cfRule>
  </conditionalFormatting>
  <conditionalFormatting sqref="M484">
    <cfRule type="expression" rank="0" priority="1935" equalAverage="0" aboveAverage="0" dxfId="0" text="" percent="0" bottom="0">
      <formula>M484&gt;=20</formula>
    </cfRule>
    <cfRule type="expression" rank="0" priority="1936" equalAverage="0" aboveAverage="0" dxfId="1" text="" percent="0" bottom="0">
      <formula>AND(M484&gt;=10,M484&lt;20)</formula>
    </cfRule>
    <cfRule type="expression" rank="0" priority="1937" equalAverage="0" aboveAverage="0" dxfId="2" text="" percent="0" bottom="0">
      <formula>AND(M484&gt;=5,M484&lt;10)</formula>
    </cfRule>
    <cfRule type="expression" rank="0" priority="1938" equalAverage="0" aboveAverage="0" dxfId="3" text="" percent="0" bottom="0">
      <formula>AND(M484&gt;=1,M484&lt;5)</formula>
    </cfRule>
  </conditionalFormatting>
  <conditionalFormatting sqref="M485">
    <cfRule type="expression" rank="0" priority="1939" equalAverage="0" aboveAverage="0" dxfId="0" text="" percent="0" bottom="0">
      <formula>M485&gt;=20</formula>
    </cfRule>
    <cfRule type="expression" rank="0" priority="1940" equalAverage="0" aboveAverage="0" dxfId="1" text="" percent="0" bottom="0">
      <formula>AND(M485&gt;=10,M485&lt;20)</formula>
    </cfRule>
    <cfRule type="expression" rank="0" priority="1941" equalAverage="0" aboveAverage="0" dxfId="2" text="" percent="0" bottom="0">
      <formula>AND(M485&gt;=5,M485&lt;10)</formula>
    </cfRule>
    <cfRule type="expression" rank="0" priority="1942" equalAverage="0" aboveAverage="0" dxfId="3" text="" percent="0" bottom="0">
      <formula>AND(M485&gt;=1,M485&lt;5)</formula>
    </cfRule>
  </conditionalFormatting>
  <conditionalFormatting sqref="M486">
    <cfRule type="expression" rank="0" priority="1943" equalAverage="0" aboveAverage="0" dxfId="0" text="" percent="0" bottom="0">
      <formula>M486&gt;=20</formula>
    </cfRule>
    <cfRule type="expression" rank="0" priority="1944" equalAverage="0" aboveAverage="0" dxfId="1" text="" percent="0" bottom="0">
      <formula>AND(M486&gt;=10,M486&lt;20)</formula>
    </cfRule>
    <cfRule type="expression" rank="0" priority="1945" equalAverage="0" aboveAverage="0" dxfId="2" text="" percent="0" bottom="0">
      <formula>AND(M486&gt;=5,M486&lt;10)</formula>
    </cfRule>
    <cfRule type="expression" rank="0" priority="1946" equalAverage="0" aboveAverage="0" dxfId="3" text="" percent="0" bottom="0">
      <formula>AND(M486&gt;=1,M486&lt;5)</formula>
    </cfRule>
  </conditionalFormatting>
  <conditionalFormatting sqref="M487">
    <cfRule type="expression" rank="0" priority="1947" equalAverage="0" aboveAverage="0" dxfId="0" text="" percent="0" bottom="0">
      <formula>M487&gt;=20</formula>
    </cfRule>
    <cfRule type="expression" rank="0" priority="1948" equalAverage="0" aboveAverage="0" dxfId="1" text="" percent="0" bottom="0">
      <formula>AND(M487&gt;=10,M487&lt;20)</formula>
    </cfRule>
    <cfRule type="expression" rank="0" priority="1949" equalAverage="0" aboveAverage="0" dxfId="2" text="" percent="0" bottom="0">
      <formula>AND(M487&gt;=5,M487&lt;10)</formula>
    </cfRule>
    <cfRule type="expression" rank="0" priority="1950" equalAverage="0" aboveAverage="0" dxfId="3" text="" percent="0" bottom="0">
      <formula>AND(M487&gt;=1,M487&lt;5)</formula>
    </cfRule>
  </conditionalFormatting>
  <conditionalFormatting sqref="M488">
    <cfRule type="expression" rank="0" priority="1951" equalAverage="0" aboveAverage="0" dxfId="0" text="" percent="0" bottom="0">
      <formula>M488&gt;=20</formula>
    </cfRule>
    <cfRule type="expression" rank="0" priority="1952" equalAverage="0" aboveAverage="0" dxfId="1" text="" percent="0" bottom="0">
      <formula>AND(M488&gt;=10,M488&lt;20)</formula>
    </cfRule>
    <cfRule type="expression" rank="0" priority="1953" equalAverage="0" aboveAverage="0" dxfId="2" text="" percent="0" bottom="0">
      <formula>AND(M488&gt;=5,M488&lt;10)</formula>
    </cfRule>
    <cfRule type="expression" rank="0" priority="1954" equalAverage="0" aboveAverage="0" dxfId="3" text="" percent="0" bottom="0">
      <formula>AND(M488&gt;=1,M488&lt;5)</formula>
    </cfRule>
  </conditionalFormatting>
  <conditionalFormatting sqref="M489">
    <cfRule type="expression" rank="0" priority="1955" equalAverage="0" aboveAverage="0" dxfId="0" text="" percent="0" bottom="0">
      <formula>M489&gt;=20</formula>
    </cfRule>
    <cfRule type="expression" rank="0" priority="1956" equalAverage="0" aboveAverage="0" dxfId="1" text="" percent="0" bottom="0">
      <formula>AND(M489&gt;=10,M489&lt;20)</formula>
    </cfRule>
    <cfRule type="expression" rank="0" priority="1957" equalAverage="0" aboveAverage="0" dxfId="2" text="" percent="0" bottom="0">
      <formula>AND(M489&gt;=5,M489&lt;10)</formula>
    </cfRule>
    <cfRule type="expression" rank="0" priority="1958" equalAverage="0" aboveAverage="0" dxfId="3" text="" percent="0" bottom="0">
      <formula>AND(M489&gt;=1,M489&lt;5)</formula>
    </cfRule>
  </conditionalFormatting>
  <conditionalFormatting sqref="M490">
    <cfRule type="expression" rank="0" priority="1959" equalAverage="0" aboveAverage="0" dxfId="0" text="" percent="0" bottom="0">
      <formula>M490&gt;=20</formula>
    </cfRule>
    <cfRule type="expression" rank="0" priority="1960" equalAverage="0" aboveAverage="0" dxfId="1" text="" percent="0" bottom="0">
      <formula>AND(M490&gt;=10,M490&lt;20)</formula>
    </cfRule>
    <cfRule type="expression" rank="0" priority="1961" equalAverage="0" aboveAverage="0" dxfId="2" text="" percent="0" bottom="0">
      <formula>AND(M490&gt;=5,M490&lt;10)</formula>
    </cfRule>
    <cfRule type="expression" rank="0" priority="1962" equalAverage="0" aboveAverage="0" dxfId="3" text="" percent="0" bottom="0">
      <formula>AND(M490&gt;=1,M490&lt;5)</formula>
    </cfRule>
  </conditionalFormatting>
  <conditionalFormatting sqref="M491">
    <cfRule type="expression" rank="0" priority="1963" equalAverage="0" aboveAverage="0" dxfId="0" text="" percent="0" bottom="0">
      <formula>M491&gt;=20</formula>
    </cfRule>
    <cfRule type="expression" rank="0" priority="1964" equalAverage="0" aboveAverage="0" dxfId="1" text="" percent="0" bottom="0">
      <formula>AND(M491&gt;=10,M491&lt;20)</formula>
    </cfRule>
    <cfRule type="expression" rank="0" priority="1965" equalAverage="0" aboveAverage="0" dxfId="2" text="" percent="0" bottom="0">
      <formula>AND(M491&gt;=5,M491&lt;10)</formula>
    </cfRule>
    <cfRule type="expression" rank="0" priority="1966" equalAverage="0" aboveAverage="0" dxfId="3" text="" percent="0" bottom="0">
      <formula>AND(M491&gt;=1,M491&lt;5)</formula>
    </cfRule>
  </conditionalFormatting>
  <conditionalFormatting sqref="M492">
    <cfRule type="expression" rank="0" priority="1967" equalAverage="0" aboveAverage="0" dxfId="0" text="" percent="0" bottom="0">
      <formula>M492&gt;=20</formula>
    </cfRule>
    <cfRule type="expression" rank="0" priority="1968" equalAverage="0" aboveAverage="0" dxfId="1" text="" percent="0" bottom="0">
      <formula>AND(M492&gt;=10,M492&lt;20)</formula>
    </cfRule>
    <cfRule type="expression" rank="0" priority="1969" equalAverage="0" aboveAverage="0" dxfId="2" text="" percent="0" bottom="0">
      <formula>AND(M492&gt;=5,M492&lt;10)</formula>
    </cfRule>
    <cfRule type="expression" rank="0" priority="1970" equalAverage="0" aboveAverage="0" dxfId="3" text="" percent="0" bottom="0">
      <formula>AND(M492&gt;=1,M492&lt;5)</formula>
    </cfRule>
  </conditionalFormatting>
  <conditionalFormatting sqref="M493">
    <cfRule type="expression" rank="0" priority="1971" equalAverage="0" aboveAverage="0" dxfId="0" text="" percent="0" bottom="0">
      <formula>M493&gt;=20</formula>
    </cfRule>
    <cfRule type="expression" rank="0" priority="1972" equalAverage="0" aboveAverage="0" dxfId="1" text="" percent="0" bottom="0">
      <formula>AND(M493&gt;=10,M493&lt;20)</formula>
    </cfRule>
    <cfRule type="expression" rank="0" priority="1973" equalAverage="0" aboveAverage="0" dxfId="2" text="" percent="0" bottom="0">
      <formula>AND(M493&gt;=5,M493&lt;10)</formula>
    </cfRule>
    <cfRule type="expression" rank="0" priority="1974" equalAverage="0" aboveAverage="0" dxfId="3" text="" percent="0" bottom="0">
      <formula>AND(M493&gt;=1,M493&lt;5)</formula>
    </cfRule>
  </conditionalFormatting>
  <conditionalFormatting sqref="M494">
    <cfRule type="expression" rank="0" priority="1975" equalAverage="0" aboveAverage="0" dxfId="0" text="" percent="0" bottom="0">
      <formula>M494&gt;=20</formula>
    </cfRule>
    <cfRule type="expression" rank="0" priority="1976" equalAverage="0" aboveAverage="0" dxfId="1" text="" percent="0" bottom="0">
      <formula>AND(M494&gt;=10,M494&lt;20)</formula>
    </cfRule>
    <cfRule type="expression" rank="0" priority="1977" equalAverage="0" aboveAverage="0" dxfId="2" text="" percent="0" bottom="0">
      <formula>AND(M494&gt;=5,M494&lt;10)</formula>
    </cfRule>
    <cfRule type="expression" rank="0" priority="1978" equalAverage="0" aboveAverage="0" dxfId="3" text="" percent="0" bottom="0">
      <formula>AND(M494&gt;=1,M494&lt;5)</formula>
    </cfRule>
  </conditionalFormatting>
  <conditionalFormatting sqref="M495">
    <cfRule type="expression" rank="0" priority="1979" equalAverage="0" aboveAverage="0" dxfId="0" text="" percent="0" bottom="0">
      <formula>M495&gt;=20</formula>
    </cfRule>
    <cfRule type="expression" rank="0" priority="1980" equalAverage="0" aboveAverage="0" dxfId="1" text="" percent="0" bottom="0">
      <formula>AND(M495&gt;=10,M495&lt;20)</formula>
    </cfRule>
    <cfRule type="expression" rank="0" priority="1981" equalAverage="0" aboveAverage="0" dxfId="2" text="" percent="0" bottom="0">
      <formula>AND(M495&gt;=5,M495&lt;10)</formula>
    </cfRule>
    <cfRule type="expression" rank="0" priority="1982" equalAverage="0" aboveAverage="0" dxfId="3" text="" percent="0" bottom="0">
      <formula>AND(M495&gt;=1,M495&lt;5)</formula>
    </cfRule>
  </conditionalFormatting>
  <conditionalFormatting sqref="M496">
    <cfRule type="expression" rank="0" priority="1983" equalAverage="0" aboveAverage="0" dxfId="0" text="" percent="0" bottom="0">
      <formula>M496&gt;=20</formula>
    </cfRule>
    <cfRule type="expression" rank="0" priority="1984" equalAverage="0" aboveAverage="0" dxfId="1" text="" percent="0" bottom="0">
      <formula>AND(M496&gt;=10,M496&lt;20)</formula>
    </cfRule>
    <cfRule type="expression" rank="0" priority="1985" equalAverage="0" aboveAverage="0" dxfId="2" text="" percent="0" bottom="0">
      <formula>AND(M496&gt;=5,M496&lt;10)</formula>
    </cfRule>
    <cfRule type="expression" rank="0" priority="1986" equalAverage="0" aboveAverage="0" dxfId="3" text="" percent="0" bottom="0">
      <formula>AND(M496&gt;=1,M496&lt;5)</formula>
    </cfRule>
  </conditionalFormatting>
  <conditionalFormatting sqref="M497">
    <cfRule type="expression" rank="0" priority="1987" equalAverage="0" aboveAverage="0" dxfId="0" text="" percent="0" bottom="0">
      <formula>M497&gt;=20</formula>
    </cfRule>
    <cfRule type="expression" rank="0" priority="1988" equalAverage="0" aboveAverage="0" dxfId="1" text="" percent="0" bottom="0">
      <formula>AND(M497&gt;=10,M497&lt;20)</formula>
    </cfRule>
    <cfRule type="expression" rank="0" priority="1989" equalAverage="0" aboveAverage="0" dxfId="2" text="" percent="0" bottom="0">
      <formula>AND(M497&gt;=5,M497&lt;10)</formula>
    </cfRule>
    <cfRule type="expression" rank="0" priority="1990" equalAverage="0" aboveAverage="0" dxfId="3" text="" percent="0" bottom="0">
      <formula>AND(M497&gt;=1,M497&lt;5)</formula>
    </cfRule>
  </conditionalFormatting>
  <conditionalFormatting sqref="M498">
    <cfRule type="expression" rank="0" priority="1991" equalAverage="0" aboveAverage="0" dxfId="0" text="" percent="0" bottom="0">
      <formula>M498&gt;=20</formula>
    </cfRule>
    <cfRule type="expression" rank="0" priority="1992" equalAverage="0" aboveAverage="0" dxfId="1" text="" percent="0" bottom="0">
      <formula>AND(M498&gt;=10,M498&lt;20)</formula>
    </cfRule>
    <cfRule type="expression" rank="0" priority="1993" equalAverage="0" aboveAverage="0" dxfId="2" text="" percent="0" bottom="0">
      <formula>AND(M498&gt;=5,M498&lt;10)</formula>
    </cfRule>
    <cfRule type="expression" rank="0" priority="1994" equalAverage="0" aboveAverage="0" dxfId="3" text="" percent="0" bottom="0">
      <formula>AND(M498&gt;=1,M498&lt;5)</formula>
    </cfRule>
  </conditionalFormatting>
  <conditionalFormatting sqref="M499">
    <cfRule type="expression" rank="0" priority="1995" equalAverage="0" aboveAverage="0" dxfId="0" text="" percent="0" bottom="0">
      <formula>M499&gt;=20</formula>
    </cfRule>
    <cfRule type="expression" rank="0" priority="1996" equalAverage="0" aboveAverage="0" dxfId="1" text="" percent="0" bottom="0">
      <formula>AND(M499&gt;=10,M499&lt;20)</formula>
    </cfRule>
    <cfRule type="expression" rank="0" priority="1997" equalAverage="0" aboveAverage="0" dxfId="2" text="" percent="0" bottom="0">
      <formula>AND(M499&gt;=5,M499&lt;10)</formula>
    </cfRule>
    <cfRule type="expression" rank="0" priority="1998" equalAverage="0" aboveAverage="0" dxfId="3" text="" percent="0" bottom="0">
      <formula>AND(M499&gt;=1,M499&lt;5)</formula>
    </cfRule>
  </conditionalFormatting>
  <dataValidations count="8">
    <dataValidation sqref="C5:C500" showDropDown="0" showInputMessage="0" showErrorMessage="0" allowBlank="1" type="list" errorStyle="stop" operator="between">
      <formula1>"CISA KEV,NIST NVD,US-CERT,AWS Security Bulletin,Azure Security Update,AI Governance Update,NIST Framework Update,ISO Update,Internal Assessment"</formula1>
      <formula2>0</formula2>
    </dataValidation>
    <dataValidation sqref="F5:F500" showDropDown="0" showInputMessage="0" showErrorMessage="0" allowBlank="1" type="list" errorStyle="stop" operator="between">
      <formula1>"IT — Network,IT — Application,IT — Endpoint,OT — Industrial,OT — SCADA,Cloud — IAM,Cloud — Storage,Cloud — Network,AI/ML — Model,AI/ML — Data,AI/ML — Governance,Physical"</formula1>
      <formula2>0</formula2>
    </dataValidation>
    <dataValidation sqref="K5:K500" showDropDown="0" showInputMessage="0" showErrorMessage="0" allowBlank="1" type="list" errorStyle="stop" operator="between">
      <formula1>"1,2,3,4,5"</formula1>
      <formula2>0</formula2>
    </dataValidation>
    <dataValidation sqref="L5:L500" showDropDown="0" showInputMessage="0" showErrorMessage="0" allowBlank="1" type="list" errorStyle="stop" operator="between">
      <formula1>"1,2,3,4,5"</formula1>
      <formula2>0</formula2>
    </dataValidation>
    <dataValidation sqref="N5:N500" showDropDown="0" showInputMessage="0" showErrorMessage="0" allowBlank="1" type="list" errorStyle="stop" operator="between">
      <formula1>"Critical,High,Medium,Low"</formula1>
      <formula2>0</formula2>
    </dataValidation>
    <dataValidation sqref="O5:O500" showDropDown="0" showInputMessage="0" showErrorMessage="0" allowBlank="1" type="list" errorStyle="stop" operator="between">
      <formula1>"Critical,High,Medium,Low"</formula1>
      <formula2>0</formula2>
    </dataValidation>
    <dataValidation sqref="Q5:Q500" showDropDown="0" showInputMessage="0" showErrorMessage="0" allowBlank="1" type="list" errorStyle="stop" operator="between">
      <formula1>"Critical,High,Medium,Low"</formula1>
      <formula2>0</formula2>
    </dataValidation>
    <dataValidation sqref="U5:U500" showDropDown="0" showInputMessage="0" showErrorMessage="0" allowBlank="1" type="list" errorStyle="stop" operator="between">
      <formula1>"Open,Mitigating,Closed,Accepted,Transferred"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1:F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41" min="1" max="1"/>
    <col width="28" customWidth="1" style="41" min="2" max="2"/>
    <col width="16" customWidth="1" style="41" min="3" max="3"/>
    <col width="3" customWidth="1" style="41" min="4" max="4"/>
    <col width="28" customWidth="1" style="41" min="5" max="5"/>
    <col width="16" customWidth="1" style="41" min="6" max="6"/>
  </cols>
  <sheetData>
    <row r="1" ht="39.75" customHeight="1" s="42">
      <c r="B1" s="43" t="inlineStr">
        <is>
          <t>GRC INTELLIGENCE DASHBOARD — BLAISE KINGKO</t>
        </is>
      </c>
    </row>
    <row r="3" ht="15" customHeight="1" s="42">
      <c r="B3" s="54" t="inlineStr">
        <is>
          <t>RISK SUMMARY</t>
        </is>
      </c>
      <c r="E3" s="55" t="inlineStr">
        <is>
          <t>RISKS BY SOURCE</t>
        </is>
      </c>
    </row>
    <row r="4" ht="21.75" customHeight="1" s="42">
      <c r="B4" s="56" t="inlineStr">
        <is>
          <t>Total Risks Identified</t>
        </is>
      </c>
      <c r="C4" s="57">
        <f>COUNTA('🛡️ Risk Register'!A5:A500)</f>
        <v/>
      </c>
      <c r="E4" s="58" t="inlineStr">
        <is>
          <t>CISA KEV</t>
        </is>
      </c>
      <c r="F4" s="59">
        <f>COUNTIF('🛡️ Risk Register'!C5:C500,"CISA KEV")</f>
        <v/>
      </c>
    </row>
    <row r="5" ht="21.75" customHeight="1" s="42">
      <c r="B5" s="60" t="inlineStr">
        <is>
          <t>Critical Risks</t>
        </is>
      </c>
      <c r="C5" s="61">
        <f>COUNTIF('🛡️ Risk Register'!N5:N500,"Critical")</f>
        <v/>
      </c>
      <c r="E5" s="62" t="inlineStr">
        <is>
          <t>NIST NVD</t>
        </is>
      </c>
      <c r="F5" s="63">
        <f>COUNTIF('🛡️ Risk Register'!C5:C500,"NIST NVD")</f>
        <v/>
      </c>
    </row>
    <row r="6" ht="21.75" customHeight="1" s="42">
      <c r="B6" s="56" t="inlineStr">
        <is>
          <t>High Risks</t>
        </is>
      </c>
      <c r="C6" s="57">
        <f>COUNTIF('🛡️ Risk Register'!N5:N500,"High")</f>
        <v/>
      </c>
      <c r="E6" s="58" t="inlineStr">
        <is>
          <t>US-CERT</t>
        </is>
      </c>
      <c r="F6" s="59">
        <f>COUNTIF('🛡️ Risk Register'!C5:C500,"US-CERT")</f>
        <v/>
      </c>
    </row>
    <row r="7" ht="21.75" customHeight="1" s="42">
      <c r="B7" s="60" t="inlineStr">
        <is>
          <t>Medium Risks</t>
        </is>
      </c>
      <c r="C7" s="61">
        <f>COUNTIF('🛡️ Risk Register'!N5:N500,"Medium")</f>
        <v/>
      </c>
      <c r="E7" s="62" t="inlineStr">
        <is>
          <t>AWS Security Bulletin</t>
        </is>
      </c>
      <c r="F7" s="63">
        <f>COUNTIF('🛡️ Risk Register'!C5:C500,"AWS Security Bulletin")</f>
        <v/>
      </c>
    </row>
    <row r="8" ht="21.75" customHeight="1" s="42">
      <c r="B8" s="56" t="inlineStr">
        <is>
          <t>Low Risks</t>
        </is>
      </c>
      <c r="C8" s="57">
        <f>COUNTIF('🛡️ Risk Register'!N5:N500,"Low")</f>
        <v/>
      </c>
      <c r="E8" s="58" t="inlineStr">
        <is>
          <t>Azure Security Update</t>
        </is>
      </c>
      <c r="F8" s="59">
        <f>COUNTIF('🛡️ Risk Register'!C5:C500,"Azure Security Update")</f>
        <v/>
      </c>
    </row>
    <row r="9" ht="21.75" customHeight="1" s="42">
      <c r="B9" s="60" t="inlineStr">
        <is>
          <t>Open Risks</t>
        </is>
      </c>
      <c r="C9" s="61">
        <f>COUNTIF('🛡️ Risk Register'!U5:U500,"Open")</f>
        <v/>
      </c>
      <c r="E9" s="62" t="inlineStr">
        <is>
          <t>AI Governance Update</t>
        </is>
      </c>
      <c r="F9" s="63">
        <f>COUNTIF('🛡️ Risk Register'!C5:C500,"AI Governance Update")</f>
        <v/>
      </c>
    </row>
    <row r="10" ht="21.75" customHeight="1" s="42">
      <c r="B10" s="56" t="inlineStr">
        <is>
          <t>Mitigating</t>
        </is>
      </c>
      <c r="C10" s="57">
        <f>COUNTIF('🛡️ Risk Register'!U5:U500,"Mitigating")</f>
        <v/>
      </c>
      <c r="E10" s="58" t="inlineStr">
        <is>
          <t>NIST Framework Update</t>
        </is>
      </c>
      <c r="F10" s="59">
        <f>COUNTIF('🛡️ Risk Register'!C5:C500,"NIST Framework Update")</f>
        <v/>
      </c>
    </row>
    <row r="11" ht="21.75" customHeight="1" s="42">
      <c r="B11" s="60" t="inlineStr">
        <is>
          <t>Closed This Period</t>
        </is>
      </c>
      <c r="C11" s="61">
        <f>COUNTIF('🛡️ Risk Register'!U5:U500,"Closed")</f>
        <v/>
      </c>
      <c r="E11" s="62" t="inlineStr">
        <is>
          <t>ISO Update</t>
        </is>
      </c>
      <c r="F11" s="63">
        <f>COUNTIF('🛡️ Risk Register'!C5:C500,"ISO Update")</f>
        <v/>
      </c>
    </row>
    <row r="12" ht="21.75" customHeight="1" s="42">
      <c r="B12" s="56" t="inlineStr">
        <is>
          <t>AI/ML Risks</t>
        </is>
      </c>
      <c r="C12" s="57">
        <f>COUNTIFS('🛡️ Risk Register'!F5:F500,"AI/ML*")</f>
        <v/>
      </c>
      <c r="E12" s="58" t="inlineStr">
        <is>
          <t>Internal Assessment</t>
        </is>
      </c>
      <c r="F12" s="59">
        <f>COUNTIF('🛡️ Risk Register'!C5:C500,"Internal Assessment")</f>
        <v/>
      </c>
    </row>
    <row r="13" ht="21.75" customHeight="1" s="42">
      <c r="B13" s="60" t="inlineStr">
        <is>
          <t>Cloud Risks</t>
        </is>
      </c>
      <c r="C13" s="61">
        <f>COUNTIFS('🛡️ Risk Register'!F5:F500,"Cloud*")</f>
        <v/>
      </c>
    </row>
    <row r="14" ht="21.75" customHeight="1" s="42">
      <c r="B14" s="56" t="inlineStr">
        <is>
          <t>OT/ICS Risks</t>
        </is>
      </c>
      <c r="C14" s="57">
        <f>COUNTIFS('🛡️ Risk Register'!F5:F500,"OT*")</f>
        <v/>
      </c>
    </row>
    <row r="15" ht="21.75" customHeight="1" s="42">
      <c r="B15" s="60" t="inlineStr">
        <is>
          <t>Past Due (Overdue)</t>
        </is>
      </c>
      <c r="C15" s="61">
        <f>COUNTIFS('🛡️ Risk Register'!V5:V500,"&lt;"&amp;TODAY(),'🛡️ Risk Register'!U5:U500,"Open")</f>
        <v/>
      </c>
    </row>
    <row r="17" ht="15" customHeight="1" s="42">
      <c r="B17" s="64" t="inlineStr">
        <is>
          <t>FRAMEWORK COVERAGE</t>
        </is>
      </c>
    </row>
    <row r="18" ht="15" customHeight="1" s="42">
      <c r="B18" s="65" t="inlineStr">
        <is>
          <t>NIST CSF 2.0</t>
        </is>
      </c>
      <c r="C18" s="66">
        <f>COUNTIF('🛡️ Risk Register'!I5:I500,"*NIST CSF*")</f>
        <v/>
      </c>
    </row>
    <row r="19" ht="15" customHeight="1" s="42">
      <c r="B19" s="62" t="inlineStr">
        <is>
          <t>NIST 800-53</t>
        </is>
      </c>
      <c r="C19" s="63">
        <f>COUNTIF('🛡️ Risk Register'!I5:I500,"*800-53*")</f>
        <v/>
      </c>
    </row>
    <row r="20" ht="15" customHeight="1" s="42">
      <c r="B20" s="65" t="inlineStr">
        <is>
          <t>ISO 27001</t>
        </is>
      </c>
      <c r="C20" s="66">
        <f>COUNTIF('🛡️ Risk Register'!I5:I500,"*ISO 27001*")</f>
        <v/>
      </c>
    </row>
    <row r="21" ht="15" customHeight="1" s="42">
      <c r="B21" s="62" t="inlineStr">
        <is>
          <t>CIS Controls</t>
        </is>
      </c>
      <c r="C21" s="63">
        <f>COUNTIF('🛡️ Risk Register'!I5:I500,"*CIS Control*")</f>
        <v/>
      </c>
    </row>
    <row r="22" ht="15" customHeight="1" s="42">
      <c r="B22" s="65" t="inlineStr">
        <is>
          <t>NIST AI RMF</t>
        </is>
      </c>
      <c r="C22" s="66">
        <f>COUNTIF('🛡️ Risk Register'!I5:I500,"*NIST AI RMF*")</f>
        <v/>
      </c>
    </row>
    <row r="23" ht="15" customHeight="1" s="42">
      <c r="B23" s="62" t="inlineStr">
        <is>
          <t>ISO 42001</t>
        </is>
      </c>
      <c r="C23" s="63">
        <f>COUNTIF('🛡️ Risk Register'!I5:I500,"*ISO 42001*")</f>
        <v/>
      </c>
    </row>
    <row r="24" ht="15" customHeight="1" s="42">
      <c r="B24" s="65" t="inlineStr">
        <is>
          <t>EU AI Act</t>
        </is>
      </c>
      <c r="C24" s="66">
        <f>COUNTIF('🛡️ Risk Register'!I5:I500,"*EU AI Act*")</f>
        <v/>
      </c>
    </row>
  </sheetData>
  <mergeCells count="4">
    <mergeCell ref="B3:C3"/>
    <mergeCell ref="E3:F3"/>
    <mergeCell ref="B1:F1"/>
    <mergeCell ref="B17:C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41" min="1" max="1"/>
    <col width="14" customWidth="1" style="41" min="2" max="6"/>
    <col width="3" customWidth="1" style="41" min="7" max="7"/>
    <col width="30" customWidth="1" style="41" min="8" max="8"/>
  </cols>
  <sheetData>
    <row r="1" ht="36" customHeight="1" s="42">
      <c r="B1" s="67" t="inlineStr">
        <is>
          <t>RISK HEAT MAP — LIKELIHOOD vs IMPACT</t>
        </is>
      </c>
    </row>
    <row r="3" ht="15" customHeight="1" s="42">
      <c r="A3" s="68" t="inlineStr">
        <is>
          <t>LIKELIHOOD ↓</t>
        </is>
      </c>
      <c r="B3" s="68" t="inlineStr">
        <is>
          <t>IMPACT →</t>
        </is>
      </c>
    </row>
    <row r="4" ht="19.5" customHeight="1" s="42">
      <c r="B4" s="69" t="inlineStr">
        <is>
          <t>1 — Minimal</t>
        </is>
      </c>
      <c r="C4" s="69" t="inlineStr">
        <is>
          <t>2 — Minor</t>
        </is>
      </c>
      <c r="D4" s="69" t="inlineStr">
        <is>
          <t>3 — Moderate</t>
        </is>
      </c>
      <c r="E4" s="69" t="inlineStr">
        <is>
          <t>4 — Major</t>
        </is>
      </c>
      <c r="F4" s="69" t="inlineStr">
        <is>
          <t>5 — Catastrophic</t>
        </is>
      </c>
      <c r="H4" s="70" t="inlineStr">
        <is>
          <t>LEGEND</t>
        </is>
      </c>
    </row>
    <row r="5" ht="39.75" customHeight="1" s="42">
      <c r="A5" s="69" t="inlineStr">
        <is>
          <t>5 — Almost Certain</t>
        </is>
      </c>
      <c r="B5" s="71" t="inlineStr">
        <is>
          <t>5
Medium</t>
        </is>
      </c>
      <c r="C5" s="72" t="inlineStr">
        <is>
          <t>10
High</t>
        </is>
      </c>
      <c r="D5" s="73" t="inlineStr">
        <is>
          <t>15
Critical</t>
        </is>
      </c>
      <c r="E5" s="73" t="inlineStr">
        <is>
          <t>20
Critical</t>
        </is>
      </c>
      <c r="F5" s="74" t="inlineStr">
        <is>
          <t>25
Critical</t>
        </is>
      </c>
      <c r="H5" s="75" t="inlineStr">
        <is>
          <t>Critical (Score 20-25)</t>
        </is>
      </c>
    </row>
    <row r="6" ht="39.75" customHeight="1" s="42">
      <c r="A6" s="69" t="inlineStr">
        <is>
          <t>4 — Likely</t>
        </is>
      </c>
      <c r="B6" s="76" t="inlineStr">
        <is>
          <t>4
Low</t>
        </is>
      </c>
      <c r="C6" s="77" t="inlineStr">
        <is>
          <t>8
Medium</t>
        </is>
      </c>
      <c r="D6" s="72" t="inlineStr">
        <is>
          <t>12
High</t>
        </is>
      </c>
      <c r="E6" s="73" t="inlineStr">
        <is>
          <t>16
Critical</t>
        </is>
      </c>
      <c r="F6" s="73" t="inlineStr">
        <is>
          <t>20
Critical</t>
        </is>
      </c>
      <c r="H6" s="78" t="inlineStr">
        <is>
          <t>High (Score 10-19)</t>
        </is>
      </c>
    </row>
    <row r="7" ht="39.75" customHeight="1" s="42">
      <c r="A7" s="69" t="inlineStr">
        <is>
          <t>3 — Possible</t>
        </is>
      </c>
      <c r="B7" s="79" t="inlineStr">
        <is>
          <t>3
Low</t>
        </is>
      </c>
      <c r="C7" s="71" t="inlineStr">
        <is>
          <t>6
Medium</t>
        </is>
      </c>
      <c r="D7" s="77" t="inlineStr">
        <is>
          <t>9
Medium</t>
        </is>
      </c>
      <c r="E7" s="72" t="inlineStr">
        <is>
          <t>12
High</t>
        </is>
      </c>
      <c r="F7" s="73" t="inlineStr">
        <is>
          <t>15
Critical</t>
        </is>
      </c>
      <c r="H7" s="80" t="inlineStr">
        <is>
          <t>Medium (Score 5-9)</t>
        </is>
      </c>
    </row>
    <row r="8" ht="39.75" customHeight="1" s="42">
      <c r="A8" s="69" t="inlineStr">
        <is>
          <t>2 — Unlikely</t>
        </is>
      </c>
      <c r="B8" s="79" t="inlineStr">
        <is>
          <t>2
Low</t>
        </is>
      </c>
      <c r="C8" s="79" t="inlineStr">
        <is>
          <t>4
Low</t>
        </is>
      </c>
      <c r="D8" s="71" t="inlineStr">
        <is>
          <t>6
Medium</t>
        </is>
      </c>
      <c r="E8" s="77" t="inlineStr">
        <is>
          <t>8
Medium</t>
        </is>
      </c>
      <c r="F8" s="72" t="inlineStr">
        <is>
          <t>10
High</t>
        </is>
      </c>
      <c r="H8" s="81" t="inlineStr">
        <is>
          <t>Low (Score 1-4)</t>
        </is>
      </c>
    </row>
    <row r="9" ht="39.75" customHeight="1" s="42">
      <c r="A9" s="69" t="inlineStr">
        <is>
          <t>1 — Rare</t>
        </is>
      </c>
      <c r="B9" s="79" t="inlineStr">
        <is>
          <t>1
Low</t>
        </is>
      </c>
      <c r="C9" s="79" t="inlineStr">
        <is>
          <t>2
Low</t>
        </is>
      </c>
      <c r="D9" s="79" t="inlineStr">
        <is>
          <t>3
Low</t>
        </is>
      </c>
      <c r="E9" s="76" t="inlineStr">
        <is>
          <t>4
Low</t>
        </is>
      </c>
      <c r="F9" s="71" t="inlineStr">
        <is>
          <t>5
Medium</t>
        </is>
      </c>
    </row>
  </sheetData>
  <mergeCells count="1">
    <mergeCell ref="B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41" min="1" max="1"/>
    <col width="24" customWidth="1" style="41" min="2" max="2"/>
    <col width="40" customWidth="1" style="41" min="3" max="3"/>
    <col width="18" customWidth="1" style="41" min="4" max="5"/>
    <col width="30" customWidth="1" style="41" min="6" max="6"/>
  </cols>
  <sheetData>
    <row r="1" ht="36" customHeight="1" s="42">
      <c r="B1" s="67" t="inlineStr">
        <is>
          <t>INTELLIGENCE MONITORING SOURCES — BLAISE KINGKO GRC PROGRAM</t>
        </is>
      </c>
    </row>
    <row r="2" ht="21.75" customHeight="1" s="42">
      <c r="B2" s="82" t="inlineStr">
        <is>
          <t>SOURCE</t>
        </is>
      </c>
      <c r="C2" s="82" t="inlineStr">
        <is>
          <t>URL / FEED</t>
        </is>
      </c>
      <c r="D2" s="82" t="inlineStr">
        <is>
          <t>CATEGORY</t>
        </is>
      </c>
      <c r="E2" s="82" t="inlineStr">
        <is>
          <t>FREQUENCY</t>
        </is>
      </c>
      <c r="F2" s="82" t="inlineStr">
        <is>
          <t>FRAMEWORK RELEVANCE</t>
        </is>
      </c>
    </row>
    <row r="3" ht="21.75" customHeight="1" s="42">
      <c r="B3" s="62" t="inlineStr">
        <is>
          <t>CISA KEV</t>
        </is>
      </c>
      <c r="C3" s="62" t="inlineStr">
        <is>
          <t>https://www.cisa.gov/known-exploited-vulnerabilities-catalog</t>
        </is>
      </c>
      <c r="D3" s="62" t="inlineStr">
        <is>
          <t>Threat Intel</t>
        </is>
      </c>
      <c r="E3" s="62" t="inlineStr">
        <is>
          <t>Daily</t>
        </is>
      </c>
      <c r="F3" s="62" t="inlineStr">
        <is>
          <t>NIST CSF: DE.CM | NIST 800-53: RA-5, SI-2</t>
        </is>
      </c>
    </row>
    <row r="4" ht="21.75" customHeight="1" s="42">
      <c r="B4" s="58" t="inlineStr">
        <is>
          <t>CISA Advisories</t>
        </is>
      </c>
      <c r="C4" s="58" t="inlineStr">
        <is>
          <t>https://www.cisa.gov/news-events/cybersecurity-advisories</t>
        </is>
      </c>
      <c r="D4" s="58" t="inlineStr">
        <is>
          <t>Threat Intel</t>
        </is>
      </c>
      <c r="E4" s="58" t="inlineStr">
        <is>
          <t>Weekly</t>
        </is>
      </c>
      <c r="F4" s="58" t="inlineStr">
        <is>
          <t>NIST CSF: DE.AE | NIST 800-53: IR-4, SI-5</t>
        </is>
      </c>
    </row>
    <row r="5" ht="21.75" customHeight="1" s="42">
      <c r="B5" s="62" t="inlineStr">
        <is>
          <t>US-CERT Alerts</t>
        </is>
      </c>
      <c r="C5" s="62" t="inlineStr">
        <is>
          <t>https://www.cisa.gov/uscert/ncas/alerts</t>
        </is>
      </c>
      <c r="D5" s="62" t="inlineStr">
        <is>
          <t>Threat Intel</t>
        </is>
      </c>
      <c r="E5" s="62" t="inlineStr">
        <is>
          <t>Weekly</t>
        </is>
      </c>
      <c r="F5" s="62" t="inlineStr">
        <is>
          <t>NIST CSF: RS.CO | NIST 800-53: IR-6</t>
        </is>
      </c>
    </row>
    <row r="6" ht="21.75" customHeight="1" s="42">
      <c r="B6" s="58" t="inlineStr">
        <is>
          <t>NIST NVD</t>
        </is>
      </c>
      <c r="C6" s="58" t="inlineStr">
        <is>
          <t>https://nvd.nist.gov/vuln/search</t>
        </is>
      </c>
      <c r="D6" s="58" t="inlineStr">
        <is>
          <t>Vulnerability</t>
        </is>
      </c>
      <c r="E6" s="58" t="inlineStr">
        <is>
          <t>Weekly</t>
        </is>
      </c>
      <c r="F6" s="58" t="inlineStr">
        <is>
          <t>NIST 800-53: RA-5 | CIS Control 7</t>
        </is>
      </c>
    </row>
    <row r="7" ht="21.75" customHeight="1" s="42">
      <c r="B7" s="62" t="inlineStr">
        <is>
          <t>NIST 800-53 Updates</t>
        </is>
      </c>
      <c r="C7" s="62" t="inlineStr">
        <is>
          <t>https://csrc.nist.gov/publications/detail/sp/800-53/rev-5/final</t>
        </is>
      </c>
      <c r="D7" s="62" t="inlineStr">
        <is>
          <t>Framework</t>
        </is>
      </c>
      <c r="E7" s="62" t="inlineStr">
        <is>
          <t>Quarterly</t>
        </is>
      </c>
      <c r="F7" s="62" t="inlineStr">
        <is>
          <t>NIST 800-53 all control families</t>
        </is>
      </c>
    </row>
    <row r="8" ht="21.75" customHeight="1" s="42">
      <c r="B8" s="58" t="inlineStr">
        <is>
          <t>NIST CSF 2.0 Updates</t>
        </is>
      </c>
      <c r="C8" s="58" t="inlineStr">
        <is>
          <t>https://www.nist.gov/cyberframework</t>
        </is>
      </c>
      <c r="D8" s="58" t="inlineStr">
        <is>
          <t>Framework</t>
        </is>
      </c>
      <c r="E8" s="58" t="inlineStr">
        <is>
          <t>Quarterly</t>
        </is>
      </c>
      <c r="F8" s="58" t="inlineStr">
        <is>
          <t>NIST CSF 2.0 all functions</t>
        </is>
      </c>
    </row>
    <row r="9" ht="21.75" customHeight="1" s="42">
      <c r="B9" s="62" t="inlineStr">
        <is>
          <t>NIST AI RMF Updates</t>
        </is>
      </c>
      <c r="C9" s="62" t="inlineStr">
        <is>
          <t>https://www.nist.gov/artificial-intelligence</t>
        </is>
      </c>
      <c r="D9" s="62" t="inlineStr">
        <is>
          <t>AI Governance</t>
        </is>
      </c>
      <c r="E9" s="62" t="inlineStr">
        <is>
          <t>Monthly</t>
        </is>
      </c>
      <c r="F9" s="62" t="inlineStr">
        <is>
          <t>NIST AI RMF: GOVERN, MAP, MEASURE, MANAGE</t>
        </is>
      </c>
    </row>
    <row r="10" ht="21.75" customHeight="1" s="42">
      <c r="B10" s="58" t="inlineStr">
        <is>
          <t>ISO 27001 Updates</t>
        </is>
      </c>
      <c r="C10" s="58" t="inlineStr">
        <is>
          <t>https://www.iso.org/standard/27001</t>
        </is>
      </c>
      <c r="D10" s="58" t="inlineStr">
        <is>
          <t>Framework</t>
        </is>
      </c>
      <c r="E10" s="58" t="inlineStr">
        <is>
          <t>Annual</t>
        </is>
      </c>
      <c r="F10" s="58" t="inlineStr">
        <is>
          <t>ISO 27001 all clauses and Annex A</t>
        </is>
      </c>
    </row>
    <row r="11" ht="21.75" customHeight="1" s="42">
      <c r="B11" s="62" t="inlineStr">
        <is>
          <t>ISO 42001 Updates</t>
        </is>
      </c>
      <c r="C11" s="62" t="inlineStr">
        <is>
          <t>https://www.iso.org/standard/81230.html</t>
        </is>
      </c>
      <c r="D11" s="62" t="inlineStr">
        <is>
          <t>AI Governance</t>
        </is>
      </c>
      <c r="E11" s="62" t="inlineStr">
        <is>
          <t>Annual</t>
        </is>
      </c>
      <c r="F11" s="62" t="inlineStr">
        <is>
          <t>ISO 42001 all clauses</t>
        </is>
      </c>
    </row>
    <row r="12" ht="21.75" customHeight="1" s="42">
      <c r="B12" s="58" t="inlineStr">
        <is>
          <t>EU AI Act</t>
        </is>
      </c>
      <c r="C12" s="58" t="inlineStr">
        <is>
          <t>https://artificialintelligenceact.eu</t>
        </is>
      </c>
      <c r="D12" s="58" t="inlineStr">
        <is>
          <t>AI Governance / Regulatory</t>
        </is>
      </c>
      <c r="E12" s="58" t="inlineStr">
        <is>
          <t>Monthly</t>
        </is>
      </c>
      <c r="F12" s="58" t="inlineStr">
        <is>
          <t>EU AI Act Articles 9, 10, 11, 13, 17</t>
        </is>
      </c>
    </row>
    <row r="13" ht="21.75" customHeight="1" s="42">
      <c r="B13" s="62" t="inlineStr">
        <is>
          <t>AWS Security Bulletins</t>
        </is>
      </c>
      <c r="C13" s="62" t="inlineStr">
        <is>
          <t>https://aws.amazon.com/security/security-bulletins/</t>
        </is>
      </c>
      <c r="D13" s="62" t="inlineStr">
        <is>
          <t>Cloud Security</t>
        </is>
      </c>
      <c r="E13" s="62" t="inlineStr">
        <is>
          <t>Weekly</t>
        </is>
      </c>
      <c r="F13" s="62" t="inlineStr">
        <is>
          <t>NIST 800-53: SI-2 | CIS Control 7 | CSF: PR.PS</t>
        </is>
      </c>
    </row>
    <row r="14" ht="21.75" customHeight="1" s="42">
      <c r="B14" s="58" t="inlineStr">
        <is>
          <t>Azure Security Updates</t>
        </is>
      </c>
      <c r="C14" s="58" t="inlineStr">
        <is>
          <t>https://msrc.microsoft.com/update-guide/</t>
        </is>
      </c>
      <c r="D14" s="58" t="inlineStr">
        <is>
          <t>Cloud Security</t>
        </is>
      </c>
      <c r="E14" s="58" t="inlineStr">
        <is>
          <t>Weekly</t>
        </is>
      </c>
      <c r="F14" s="58" t="inlineStr">
        <is>
          <t>NIST 800-53: SI-2 | CIS Control 7 | CSF: PR.PS</t>
        </is>
      </c>
    </row>
    <row r="15" ht="21.75" customHeight="1" s="42">
      <c r="B15" s="62" t="inlineStr">
        <is>
          <t>CIS Benchmarks</t>
        </is>
      </c>
      <c r="C15" s="62" t="inlineStr">
        <is>
          <t>https://www.cisecurity.org/cis-benchmarks</t>
        </is>
      </c>
      <c r="D15" s="62" t="inlineStr">
        <is>
          <t>Hardening</t>
        </is>
      </c>
      <c r="E15" s="62" t="inlineStr">
        <is>
          <t>Quarterly</t>
        </is>
      </c>
      <c r="F15" s="62" t="inlineStr">
        <is>
          <t>CIS Controls 1-18 | NIST 800-53: CM-6</t>
        </is>
      </c>
    </row>
    <row r="16" ht="21.75" customHeight="1" s="42">
      <c r="B16" s="58" t="inlineStr">
        <is>
          <t>MITRE ATT&amp;CK</t>
        </is>
      </c>
      <c r="C16" s="58" t="inlineStr">
        <is>
          <t>https://attack.mitre.org</t>
        </is>
      </c>
      <c r="D16" s="58" t="inlineStr">
        <is>
          <t>Threat Intel</t>
        </is>
      </c>
      <c r="E16" s="58" t="inlineStr">
        <is>
          <t>Monthly</t>
        </is>
      </c>
      <c r="F16" s="58" t="inlineStr">
        <is>
          <t>NIST CSF: DE.AE | NIST 800-53: RA-3</t>
        </is>
      </c>
    </row>
    <row r="17" ht="21.75" customHeight="1" s="42">
      <c r="B17" s="62" t="inlineStr">
        <is>
          <t>MITRE ATLAS (AI)</t>
        </is>
      </c>
      <c r="C17" s="62" t="inlineStr">
        <is>
          <t>https://atlas.mitre.org</t>
        </is>
      </c>
      <c r="D17" s="62" t="inlineStr">
        <is>
          <t>AI Threat Intel</t>
        </is>
      </c>
      <c r="E17" s="62" t="inlineStr">
        <is>
          <t>Monthly</t>
        </is>
      </c>
      <c r="F17" s="62" t="inlineStr">
        <is>
          <t>NIST AI RMF: MAP 5 | ISO 42001: 6.1.2</t>
        </is>
      </c>
    </row>
  </sheetData>
  <mergeCells count="1">
    <mergeCell ref="B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42" min="1" max="1"/>
    <col width="11" customWidth="1" style="42" min="2" max="2"/>
    <col width="10" customWidth="1" style="42" min="3" max="3"/>
    <col width="38" customWidth="1" style="42" min="4" max="4"/>
    <col width="30" customWidth="1" style="42" min="5" max="5"/>
    <col width="14" customWidth="1" style="42" min="6" max="6"/>
    <col width="60" customWidth="1" style="42" min="7" max="7"/>
  </cols>
  <sheetData>
    <row r="1" ht="28" customHeight="1" s="42">
      <c r="A1" s="86" t="inlineStr">
        <is>
          <t>VERSION LOG — GRC Intelligence Risk Register</t>
        </is>
      </c>
    </row>
    <row r="2" ht="28" customHeight="1" s="42">
      <c r="A2" s="87" t="inlineStr">
        <is>
          <t>Authoritative history of register versions. The LIVE file (GRC_Intelligence_Risk_Register.xlsx) always reflects the version marked LIVE below. Dated snapshot files in this folder are frozen, read-only archives of past versions — do not edit them.</t>
        </is>
      </c>
    </row>
    <row r="4">
      <c r="A4" s="88" t="inlineStr">
        <is>
          <t>Version</t>
        </is>
      </c>
      <c r="B4" s="88" t="inlineStr">
        <is>
          <t>Date</t>
        </is>
      </c>
      <c r="C4" s="88" t="inlineStr">
        <is>
          <t>Status</t>
        </is>
      </c>
      <c r="D4" s="88" t="inlineStr">
        <is>
          <t>Snapshot Filename</t>
        </is>
      </c>
      <c r="E4" s="88" t="inlineStr">
        <is>
          <t>Risk IDs Added/Changed This Version</t>
        </is>
      </c>
      <c r="F4" s="88" t="inlineStr">
        <is>
          <t>Total Open Risks</t>
        </is>
      </c>
      <c r="G4" s="88" t="inlineStr">
        <is>
          <t>Summary of Changes</t>
        </is>
      </c>
    </row>
    <row r="5" ht="60" customHeight="1" s="42">
      <c r="A5" s="89" t="inlineStr">
        <is>
          <t>v1</t>
        </is>
      </c>
      <c r="B5" s="89" t="inlineStr">
        <is>
          <t>2026-06-01</t>
        </is>
      </c>
      <c r="C5" s="89" t="inlineStr">
        <is>
          <t>ARCHIVED</t>
        </is>
      </c>
      <c r="D5" s="89" t="inlineStr">
        <is>
          <t>GRC_Intelligence_Risk_Register_2026-06-01.xlsx</t>
        </is>
      </c>
      <c r="E5" s="89" t="inlineStr">
        <is>
          <t>RR-001 – RR-005</t>
        </is>
      </c>
      <c r="F5" s="89" t="n">
        <v>5</v>
      </c>
      <c r="G5" s="89" t="inlineStr">
        <is>
          <t>Initial register established. Baseline cloud security and AI governance risks logged.</t>
        </is>
      </c>
    </row>
    <row r="6" ht="60" customHeight="1" s="42">
      <c r="A6" s="89" t="inlineStr">
        <is>
          <t>v2</t>
        </is>
      </c>
      <c r="B6" s="89" t="inlineStr">
        <is>
          <t>2026-06-08</t>
        </is>
      </c>
      <c r="C6" s="89" t="inlineStr">
        <is>
          <t>ARCHIVED</t>
        </is>
      </c>
      <c r="D6" s="89" t="inlineStr">
        <is>
          <t>GRC_Intelligence_Risk_Register_2026-06-08.xlsx</t>
        </is>
      </c>
      <c r="E6" s="89" t="inlineStr">
        <is>
          <t>RR-006 – RR-010</t>
        </is>
      </c>
      <c r="F6" s="89" t="n">
        <v>10</v>
      </c>
      <c r="G6" s="89" t="inlineStr">
        <is>
          <t>Added 5 new risks (AWS/Azure cloud platform CVEs, Magento KEV, EU AI Act draft guidance, Android KEV). NOTE: these 5 rows were entered with a 2-column data shift (Affected Asset/Affected System fields omitted), corrupting Likelihood/Impact/Risk Score/Risk Rating placement for RR-006–RR-010. Not caught at the time — corrected retroactively in v4 (see below).</t>
        </is>
      </c>
    </row>
    <row r="7" ht="60" customHeight="1" s="42">
      <c r="A7" s="89" t="inlineStr">
        <is>
          <t>v3</t>
        </is>
      </c>
      <c r="B7" s="89" t="inlineStr">
        <is>
          <t>2026-06-15</t>
        </is>
      </c>
      <c r="C7" s="89" t="inlineStr">
        <is>
          <t>ARCHIVED</t>
        </is>
      </c>
      <c r="D7" s="89" t="inlineStr">
        <is>
          <t>GRC_Intelligence_Risk_Register_2026-06-15.xlsx</t>
        </is>
      </c>
      <c r="E7" s="89" t="inlineStr">
        <is>
          <t>RR-011 – RR-016</t>
        </is>
      </c>
      <c r="F7" s="89" t="n">
        <v>16</v>
      </c>
      <c r="G7" s="89" t="inlineStr">
        <is>
          <t>Added 6 new risks. No structural issues introduced this version.</t>
        </is>
      </c>
    </row>
    <row r="8" ht="60" customHeight="1" s="42">
      <c r="A8" s="90" t="inlineStr">
        <is>
          <t>v4</t>
        </is>
      </c>
      <c r="B8" s="90" t="inlineStr">
        <is>
          <t>2026-06-22</t>
        </is>
      </c>
      <c r="C8" s="90" t="inlineStr">
        <is>
          <t>ARCHIVED</t>
        </is>
      </c>
      <c r="D8" s="90" t="inlineStr">
        <is>
          <t>GRC_Intelligence_Risk_Register_2026-06-22.xlsx (archived copy of this version)</t>
        </is>
      </c>
      <c r="E8" s="90" t="inlineStr">
        <is>
          <t>RR-017 – RR-022 (new); RR-017 escalated (-UPDATE) over prior Cisco SD-WAN entry; RR-006–RR-010 DATA QUALITY FIX (column alignment corrected, Affected Asset/Affected System reconstructed and backfilled)</t>
        </is>
      </c>
      <c r="F8" s="90" t="n">
        <v>22</v>
      </c>
      <c r="G8" s="90" t="inlineStr">
        <is>
          <t>Added 6 new risks. Fixed the v2 column-misalignment defect in RR-006–RR-010: shifted FRAMEWORK MAPPING through NOTES back into their correct columns and reconstructed the missing Affected Asset/Affected System values from each row's threat description. Verified Likelihood × Impact = Risk Score and Risk Score → Risk Rating banding for all 5 corrected rows. Introduced this version-labeling convention (LIVE vs. ARCHIVED banners + this log) so the canonical file is always unambiguous.</t>
        </is>
      </c>
    </row>
    <row r="9">
      <c r="A9" s="90" t="inlineStr">
        <is>
          <t>v5</t>
        </is>
      </c>
      <c r="B9" s="90" t="inlineStr">
        <is>
          <t>2026-06-29</t>
        </is>
      </c>
      <c r="C9" s="90" t="inlineStr">
        <is>
          <t>ARCHIVED</t>
        </is>
      </c>
      <c r="D9" s="90" t="inlineStr">
        <is>
          <t>GRC_Intelligence_Risk_Register_2026-06-29.xlsx (archived copy of this version)</t>
        </is>
      </c>
      <c r="E9" s="90" t="inlineStr">
        <is>
          <t>RR-023 – RR-027 (new); RR-004 and RR-009 REVISED in place (EU AI Act deadline-delay amendments)</t>
        </is>
      </c>
      <c r="F9" s="90" t="n">
        <v>27</v>
      </c>
      <c r="G9" s="90" t="inlineStr">
        <is>
          <t>Added 5 new risks (Lantronix EDS5000 KEV, Ubiquiti UniFi OS KEV triple-CVE chain, PTC Windchill/FlexPLM KEV, Cisco Unified CM KEV, Daktronics ICS Advisory). Revised RR-004 and RR-009 in place to reflect European Parliament's finalized EU AI Act deadline-delay amendments (approved 2026-06-16) and consultation closure (2026-06-23) — no new rows created for this regulatory update per dedup/escalation rules. Dedup check performed against all CVE/Advisory IDs on file; no duplicate rows found.</t>
        </is>
      </c>
    </row>
    <row r="10">
      <c r="A10" s="90" t="inlineStr">
        <is>
          <t>v6</t>
        </is>
      </c>
      <c r="B10" s="90" t="inlineStr">
        <is>
          <t>2026-07-13</t>
        </is>
      </c>
      <c r="C10" s="90" t="inlineStr">
        <is>
          <t>ARCHIVED</t>
        </is>
      </c>
      <c r="D10" s="90" t="inlineStr">
        <is>
          <t>GRC_Intelligence_Risk_Register_2026-07-13.xlsx (archived copy of this version)</t>
        </is>
      </c>
      <c r="E10" s="90" t="inlineStr">
        <is>
          <t>RR-028 – RR-034 (new)</t>
        </is>
      </c>
      <c r="F10" s="90" t="n">
        <v>34</v>
      </c>
      <c r="G10" s="90" t="inlineStr">
        <is>
          <t>Added 7 new risks: Langflow AI agent platform auth bypass (CVE-2026-55255, dual-category AI-Governance/Cloud-Security, first AI agent platform in CISA KEV), Adobe ColdFusion RDS path traversal RCE (CVE-2026-48282), and a 4-CVE combined Joomla extension ecosystem file-upload RCE finding (SP Page Builder, Joomlack Page Builder, iCagenda, Balbooa Forms — CVE-2026-48908/56290/48939/56291), plus a register-only entry for the joint NSA/CISA/FBI router-hygiene advisory (Russian FSB Center 16 targeting). Dedup check performed against all CVE/Advisory IDs on file; no duplicate rows found. Column-alignment spot check run and passed programmatically for all 7 new rows before save.</t>
        </is>
      </c>
    </row>
    <row r="11">
      <c r="A11" s="90" t="inlineStr">
        <is>
          <t>v7</t>
        </is>
      </c>
      <c r="B11" s="90" t="inlineStr">
        <is>
          <t>2026-07-27</t>
        </is>
      </c>
      <c r="C11" s="90" t="inlineStr">
        <is>
          <t>ARCHIVED</t>
        </is>
      </c>
      <c r="D11" s="90" t="inlineStr">
        <is>
          <t>GRC_Intelligence_Risk_Register_2026-07-27.xlsx (archived copy of this version)</t>
        </is>
      </c>
      <c r="E11" s="90" t="inlineStr">
        <is>
          <t>RR-035 – RR-039 (new)</t>
        </is>
      </c>
      <c r="F11" s="90" t="n">
        <v>39</v>
      </c>
      <c r="G11" s="90" t="inlineStr">
        <is>
          <t>Added 5 new risks from the 2026-07-20 to 2026-07-27 sweep: Langflow unauthenticated root RCE via exec_globals (CVE-2026-0770, dual-category AI-Governance/Cloud-Security — Langflow's fourth KEV entry in 14 months), WordPress Core "wp2shell" unauthenticated RCE chain (CVE-2026-63030 + CVE-2026-60137, first critical unauthenticated WordPress Core RCE in ~10 years), Check Point SmartConsole authentication bypass with full firewall-management-plane takeover (CVE-2026-16232; related CVE-2026-62144/62145 patched same cycle, not separately registered), and Microsoft SharePoint Server deserialization RCE with IIS machine-key theft (CVE-2026-50522, third of four related SharePoint CVEs exploited this month — patching alone explicitly insufficient per researcher guidance). Plus one register-only entry: DD-WRT UPnP buffer overflow (CVE-2021-27137, narrow non-default exploitation prerequisite, no full bundle per RR-021/RR-034 precedent). Dedup check performed against all CVE/Advisory IDs on file; no duplicate rows found. Risk ID sequence continued as RR-0NN per established register convention (Section 4 of the monitoring prompt specifies a GRC-YYYY-NNN format; this register has used sequential RR-0NN IDs since inception — continued for internal consistency, noted here for the operator's awareness).</t>
        </is>
      </c>
    </row>
    <row r="12">
      <c r="A12" s="90" t="inlineStr">
        <is>
          <t>v8</t>
        </is>
      </c>
      <c r="B12" s="90" t="inlineStr">
        <is>
          <t>2026-08-03</t>
        </is>
      </c>
      <c r="C12" s="90" t="inlineStr">
        <is>
          <t>ARCHIVED</t>
        </is>
      </c>
      <c r="D12" s="90" t="inlineStr">
        <is>
          <t>GRC_Intelligence_Risk_Register_2026-08-03.xlsx (archived copy of this version)</t>
        </is>
      </c>
      <c r="E12" s="90" t="inlineStr">
        <is>
          <t>RR-040 – RR-044 (new)</t>
        </is>
      </c>
      <c r="F12" s="90" t="n">
        <v>44</v>
      </c>
      <c r="G12" s="90" t="inlineStr">
        <is>
          <t>Added 5 new risks from the 2026-07-27 to 2026-08-03 sweep: Arista VeloCloud Orchestrator unauthenticated OS command injection (CVE-2026-16812, CVSS 10.0, actively exploited, 3-day CISA remediation window), Cisco Secure FMC hard-coded credential zero-day (CVE-2026-20316, actively exploited, Security Impact Rating 8.9), Azure Cosmos DB "CosmosEscape" cross-tenant sandbox-escape vulnerability (CVE-2026-66803, Wiz Research, fully remediated by Microsoft pre-disclosure — logged as a third-party/CSP risk governance item, not an active customer-side vulnerability), and the EU AI Act Article 50 transparency-obligation enforcement start (2026-08-02, fines up to €15M/3% global turnover under Art. 99, parallel to California SB 942 taking effect the same day). Plus one register-only entry: Fortinet FortiOS sensitive-information exposure (CVE-2025-68686, CVSS 5.3, narrow precondition requiring prior compromise — no full bundle per RR-021/RR-034/RR-039 precedent). Dedup check performed against all CVE/Advisory IDs on file; no duplicate rows found. Row 4 (blank spacer row between header and RR-001) intentionally left unused rather than reused for new data, because Risk Dashboard and Heat Map tab formulas reference the fixed range Risk Register!A5:X500 — writing a risk into row 4 would have silently excluded it from all dashboard/heat-map metrics. Flagged for operator awareness; row 4 remains available for a future register cleanup pass if desired.</t>
        </is>
      </c>
    </row>
    <row r="13">
      <c r="A13" s="90" t="inlineStr">
        <is>
          <t>v9</t>
        </is>
      </c>
      <c r="B13" s="90" t="inlineStr">
        <is>
          <t>2026-08-10</t>
        </is>
      </c>
      <c r="C13" s="90" t="inlineStr">
        <is>
          <t>ARCHIVED (this file)</t>
        </is>
      </c>
      <c r="D13" s="90" t="inlineStr">
        <is>
          <t>GRC_Intelligence_Risk_Register_2026-08-10.xlsx (archived copy of this version)</t>
        </is>
      </c>
      <c r="E13" s="90" t="inlineStr">
        <is>
          <t>RR-045 - RR-050 (new)</t>
        </is>
      </c>
      <c r="F13" s="90" t="n">
        <v>50</v>
      </c>
      <c r="G13" s="90" t="inlineStr">
        <is>
          <t>Added 6 new risks from the 2026-08-03 to 2026-08-10 sweep: IBM Langflow auto-login-to-exec() unauthenticated RCE (CVE-2026-9198, CVSS 9.8, third Langflow KEV entry in 90 days, dual-category AI-Governance/Cloud-Security), N-able N-central authentication bypass with an incomplete first vendor fix requiring a second CVE (CVE-2026-18556/CVE-2026-18577, MSP RMM platform, Take Control + Cloudflare Tunnel abuse observed), Apache Tomcat EncryptInterceptor bypass exploited by an AI-assisted threat actor per Unit 42 (CVE-2026-34486), Progress Kemp LoadMaster pre-auth root command injection actively exploited for 5+ weeks before KEV listing (CVE-2026-8037), and the first cross-vendor AI-agent-architecture finding logged in this register - "CoreBreak", a tool-invocation authorization bypass pattern independently found in AWS Bedrock AgentCore, Google ADK, and Vercel AI SDK, disclosed at Black Hat USA 2026 with no confirmed in-the-wild exploitation (CVE-2026-18830/CVE-2026-18236/CVE-2026-64650/CVE-2026-64651, dual-category AI-Governance/Cloud-Security). Also added Jenkins agent-to-controller deserialization filter bypass plus two companion arbitrary-file-write findings, responsibly disclosed via the EU-sponsored Jenkins Bug Bounty Program with no confirmed ITW exploitation (CVE-2026-70426/70427/70428, High rating - first CI/CD-platform finding in this register). Dedup check performed against all CVE/Advisory IDs on file; no duplicate rows found. Column-alignment spot check run and passed for all 6 new rows before save. Two ICS advisories reviewed and screened out as sub-threshold (Thermo Fisher Genetic Analyzer data-integrity issue, no remote exploit path; Acrisure KARR/DR-100 vehicle Bluetooth key reuse, consumer-automotive scope outside this program's enterprise GRC focus) - noted here per the no-padding/no-silent-drop principle rather than added as rows.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2026-05-29T00:08:36Z</dcterms:created>
  <dcterms:modified xmlns:dcterms="http://purl.org/dc/terms/" xmlns:xsi="http://www.w3.org/2001/XMLSchema-instance" xsi:type="dcterms:W3CDTF">2026-08-10T11:11:01Z</dcterms:modified>
  <cp:revision>0</cp:revision>
</cp:coreProperties>
</file>