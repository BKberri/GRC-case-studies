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🛡️ Risk Register" sheetId="1" state="visible" r:id="rId1"/>
    <sheet xmlns:r="http://schemas.openxmlformats.org/officeDocument/2006/relationships" name="📊 Risk Dashboard" sheetId="2" state="visible" r:id="rId2"/>
    <sheet xmlns:r="http://schemas.openxmlformats.org/officeDocument/2006/relationships" name="🔥 Risk Heat Map" sheetId="3" state="visible" r:id="rId3"/>
    <sheet xmlns:r="http://schemas.openxmlformats.org/officeDocument/2006/relationships" name="📡 Intel Sourc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1B4F72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D1B2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D4AC0D"/>
      <sz val="10"/>
    </font>
    <font>
      <name val="Arial"/>
      <charset val="1"/>
      <family val="0"/>
      <b val="1"/>
      <color rgb="FFE67E22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1E8449"/>
      <sz val="10"/>
    </font>
    <font>
      <name val="Arial"/>
      <charset val="1"/>
      <family val="0"/>
      <b val="1"/>
      <color rgb="FFE67E22"/>
      <sz val="9"/>
    </font>
    <font>
      <name val="Arial"/>
      <charset val="1"/>
      <family val="0"/>
      <b val="1"/>
      <color rgb="FFD4AC0D"/>
      <sz val="9"/>
    </font>
    <font>
      <name val="Arial"/>
      <charset val="1"/>
      <family val="0"/>
      <b val="1"/>
      <color rgb="FF1E8449"/>
      <sz val="9"/>
    </font>
  </fonts>
  <fills count="13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0E6655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F2F3F4"/>
        <bgColor rgb="FFFEF9E7"/>
      </patternFill>
    </fill>
    <fill>
      <patternFill patternType="solid">
        <fgColor rgb="FFD6EAF8"/>
        <bgColor rgb="FFD0ECE7"/>
      </patternFill>
    </fill>
    <fill>
      <patternFill patternType="solid">
        <fgColor rgb="FFFEF9E7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C0392B"/>
        <bgColor rgb="FF993366"/>
      </patternFill>
    </fill>
    <fill>
      <patternFill patternType="solid">
        <fgColor rgb="FFD5F5E3"/>
        <bgColor rgb="FFD0ECE7"/>
      </patternFill>
    </fill>
  </fills>
  <borders count="2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E67E22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D4AC0D"/>
        <sz val="9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6C3483"/>
        <sz val="9"/>
      </font>
      <fill>
        <patternFill>
          <bgColor rgb="FFE8DAEF"/>
        </patternFill>
      </fill>
    </dxf>
    <dxf>
      <font>
        <name val="Arial"/>
        <charset val="1"/>
        <family val="0"/>
        <b val="1"/>
        <color rgb="FF0E6655"/>
        <sz val="9"/>
      </font>
      <fill>
        <patternFill>
          <bgColor rgb="FFD0E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BFC9CA"/>
      <rgbColor rgb="FF808080"/>
      <rgbColor rgb="FF9999FF"/>
      <rgbColor rgb="FF6C3483"/>
      <rgbColor rgb="FFFEF9E7"/>
      <rgbColor rgb="FFD0ECE7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2F3F4"/>
      <rgbColor rgb="FFFF99CC"/>
      <rgbColor rgb="FFCC99FF"/>
      <rgbColor rgb="FFFADBD8"/>
      <rgbColor rgb="FF2E86C1"/>
      <rgbColor rgb="FF33CCCC"/>
      <rgbColor rgb="FF99CC00"/>
      <rgbColor rgb="FFFFCC00"/>
      <rgbColor rgb="FFD4AC0D"/>
      <rgbColor rgb="FFE67E22"/>
      <rgbColor rgb="FF666699"/>
      <rgbColor rgb="FF969696"/>
      <rgbColor rgb="FF1B4F72"/>
      <rgbColor rgb="FF1E8449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 outlineLevelCol="0"/>
  <cols>
    <col width="8" customWidth="1" style="41" min="1" max="1"/>
    <col width="14" customWidth="1" style="41" min="2" max="2"/>
    <col width="16" customWidth="1" style="41" min="3" max="4"/>
    <col width="32" customWidth="1" style="41" min="5" max="5"/>
    <col width="14" customWidth="1" style="41" min="6" max="6"/>
    <col width="20" customWidth="1" style="41" min="7" max="7"/>
    <col width="18" customWidth="1" style="41" min="8" max="8"/>
    <col width="28" customWidth="1" style="41" min="9" max="9"/>
    <col width="20" customWidth="1" style="41" min="10" max="10"/>
    <col width="14" customWidth="1" style="41" min="11" max="11"/>
    <col width="12" customWidth="1" style="41" min="12" max="15"/>
    <col width="28" customWidth="1" style="41" min="16" max="16"/>
    <col width="12" customWidth="1" style="41" min="17" max="17"/>
    <col width="32" customWidth="1" style="41" min="18" max="18"/>
    <col width="16" customWidth="1" style="41" min="19" max="19"/>
    <col width="18" customWidth="1" style="41" min="20" max="20"/>
    <col width="14" customWidth="1" style="41" min="21" max="21"/>
    <col width="12" customWidth="1" style="41" min="22" max="22"/>
    <col width="14" customWidth="1" style="41" min="23" max="23"/>
    <col width="30" customWidth="1" style="41" min="24" max="24"/>
  </cols>
  <sheetData>
    <row r="1" ht="39.75" customHeight="1" s="42">
      <c r="A1" s="43" t="inlineStr">
        <is>
          <t>BLAISE KINGKO — GRC INTELLIGENCE &amp; RISK REGISTER</t>
        </is>
      </c>
    </row>
    <row r="2" ht="18" customHeight="1" s="42">
      <c r="A2" s="44" t="inlineStr">
        <is>
          <t>Sources: CISA KEV | US-CERT | NIST NVD | AWS/Azure Bulletins | AI Governance Updates   |   Frameworks: NIST CSF 2.0 | ISO 27001 | NIST 800-53 | CIS Controls | NIST AI RMF | ISO 42001 | EU AI Act   |   Last Updated: 2026-05-29</t>
        </is>
      </c>
    </row>
    <row r="3" ht="21.75" customHeight="1" s="42">
      <c r="A3" s="45" t="inlineStr">
        <is>
          <t>RISK ID</t>
        </is>
      </c>
      <c r="B3" s="45" t="inlineStr">
        <is>
          <t>DATE IDENTIFIED</t>
        </is>
      </c>
      <c r="C3" s="45" t="inlineStr">
        <is>
          <t>SOURCE</t>
        </is>
      </c>
      <c r="D3" s="45" t="inlineStr">
        <is>
          <t>CVE / ADVISORY ID</t>
        </is>
      </c>
      <c r="E3" s="45" t="inlineStr">
        <is>
          <t>THREAT / VULN</t>
        </is>
      </c>
      <c r="F3" s="45" t="inlineStr">
        <is>
          <t>THREAT CATEGORY</t>
        </is>
      </c>
      <c r="G3" s="45" t="inlineStr">
        <is>
          <t>AFFECTED ASSET</t>
        </is>
      </c>
      <c r="H3" s="45" t="inlineStr">
        <is>
          <t>AFFECTED SYSTEM</t>
        </is>
      </c>
      <c r="I3" s="46" t="inlineStr">
        <is>
          <t>FRAMEWORK MAPPING</t>
        </is>
      </c>
      <c r="J3" s="46" t="inlineStr">
        <is>
          <t>CONTROL FAMILY</t>
        </is>
      </c>
      <c r="K3" s="46" t="inlineStr">
        <is>
          <t>LIKELIHOOD (1-5)</t>
        </is>
      </c>
      <c r="L3" s="46" t="inlineStr">
        <is>
          <t>IMPACT (1-5)</t>
        </is>
      </c>
      <c r="M3" s="46" t="inlineStr">
        <is>
          <t>RISK SCORE</t>
        </is>
      </c>
      <c r="N3" s="46" t="inlineStr">
        <is>
          <t>RISK RATING</t>
        </is>
      </c>
      <c r="O3" s="46" t="inlineStr">
        <is>
          <t>INHERENT RISK</t>
        </is>
      </c>
      <c r="P3" s="47" t="inlineStr">
        <is>
          <t>CURRENT CONTROLS</t>
        </is>
      </c>
      <c r="Q3" s="47" t="inlineStr">
        <is>
          <t>RESIDUAL RISK</t>
        </is>
      </c>
      <c r="R3" s="47" t="inlineStr">
        <is>
          <t>REMEDIATION</t>
        </is>
      </c>
      <c r="S3" s="47" t="inlineStr">
        <is>
          <t>CIS CONTROL REF</t>
        </is>
      </c>
      <c r="T3" s="47" t="inlineStr">
        <is>
          <t>OWNER</t>
        </is>
      </c>
      <c r="U3" s="47" t="inlineStr">
        <is>
          <t>STATUS</t>
        </is>
      </c>
      <c r="V3" s="47" t="inlineStr">
        <is>
          <t>DUE DATE</t>
        </is>
      </c>
      <c r="W3" s="47" t="inlineStr">
        <is>
          <t>LAST UPDATED</t>
        </is>
      </c>
      <c r="X3" s="47" t="inlineStr">
        <is>
          <t>NOTES</t>
        </is>
      </c>
    </row>
    <row r="5" ht="39.75" customHeight="1" s="42">
      <c r="A5" s="52" t="inlineStr">
        <is>
          <t>RR-001</t>
        </is>
      </c>
      <c r="B5" s="53" t="inlineStr">
        <is>
          <t>2026-05-29</t>
        </is>
      </c>
      <c r="C5" s="53" t="inlineStr">
        <is>
          <t>CISA KEV</t>
        </is>
      </c>
      <c r="D5" s="53" t="inlineStr">
        <is>
          <t>CVE-2024-21887</t>
        </is>
      </c>
      <c r="E5" s="53" t="inlineStr">
        <is>
          <t>Ivanti Connect Secure — Command Injection vulnerability actively exploited in the wild</t>
        </is>
      </c>
      <c r="F5" s="52" t="inlineStr">
        <is>
          <t>IT — Network</t>
        </is>
      </c>
      <c r="G5" s="53" t="inlineStr">
        <is>
          <t>VPN / Remote Access</t>
        </is>
      </c>
      <c r="H5" s="53" t="inlineStr">
        <is>
          <t>Ivanti Connect Secure</t>
        </is>
      </c>
      <c r="I5" s="53" t="inlineStr">
        <is>
          <t>NIST CSF 2.0: PR.PS-04, DE.CM-01 | NIST 800-53: SI-2, RA-5 | ISO 27001: A.12.6.1 | CIS Control 7</t>
        </is>
      </c>
      <c r="J5" s="53" t="inlineStr">
        <is>
          <t>SI — System Integrity</t>
        </is>
      </c>
      <c r="K5" s="52" t="n">
        <v>5</v>
      </c>
      <c r="L5" s="52" t="n">
        <v>5</v>
      </c>
      <c r="M5" s="52">
        <f>K5*L5</f>
        <v/>
      </c>
      <c r="N5" s="52" t="inlineStr">
        <is>
          <t>Critical</t>
        </is>
      </c>
      <c r="O5" s="52" t="inlineStr">
        <is>
          <t>Critical</t>
        </is>
      </c>
      <c r="P5" s="53" t="inlineStr">
        <is>
          <t>Patch management process in place; WAF deployed</t>
        </is>
      </c>
      <c r="Q5" s="52" t="inlineStr">
        <is>
          <t>High</t>
        </is>
      </c>
      <c r="R5" s="53" t="inlineStr">
        <is>
          <t>Apply vendor patch immediately; isolate affected systems pending patch</t>
        </is>
      </c>
      <c r="S5" s="52" t="inlineStr">
        <is>
          <t>CIS Control 7.4 — Manage Operating System Vulnerabilities</t>
        </is>
      </c>
      <c r="T5" s="53" t="inlineStr">
        <is>
          <t>Blaise Kingko</t>
        </is>
      </c>
      <c r="U5" s="52" t="inlineStr">
        <is>
          <t>Open</t>
        </is>
      </c>
      <c r="V5" s="52" t="inlineStr">
        <is>
          <t>2026-06-04</t>
        </is>
      </c>
      <c r="W5" s="52" t="inlineStr">
        <is>
          <t>2026-05-29</t>
        </is>
      </c>
      <c r="X5" s="53" t="inlineStr">
        <is>
          <t>Actively exploited per CISA KEV. Patch available. Escalate to CISO immediately.</t>
        </is>
      </c>
    </row>
    <row r="6" ht="39.75" customHeight="1" s="42">
      <c r="A6" s="50" t="inlineStr">
        <is>
          <t>RR-002</t>
        </is>
      </c>
      <c r="B6" s="51" t="inlineStr">
        <is>
          <t>2026-05-29</t>
        </is>
      </c>
      <c r="C6" s="51" t="inlineStr">
        <is>
          <t>NIST NVD</t>
        </is>
      </c>
      <c r="D6" s="51" t="inlineStr">
        <is>
          <t>CVE-2025-0282</t>
        </is>
      </c>
      <c r="E6" s="51" t="inlineStr">
        <is>
          <t>Ivanti Policy Secure — Stack-based buffer overflow enabling unauthenticated RCE</t>
        </is>
      </c>
      <c r="F6" s="50" t="inlineStr">
        <is>
          <t>IT — Application</t>
        </is>
      </c>
      <c r="G6" s="51" t="inlineStr">
        <is>
          <t>Policy Management Platform</t>
        </is>
      </c>
      <c r="H6" s="51" t="inlineStr">
        <is>
          <t>Ivanti Policy Secure</t>
        </is>
      </c>
      <c r="I6" s="51" t="inlineStr">
        <is>
          <t>NIST CSF 2.0: PR.PS-04, RS.MI-02 | NIST 800-53: SI-3, SC-39 | ISO 27001: A.14.2.2 | CIS Control 2</t>
        </is>
      </c>
      <c r="J6" s="51" t="inlineStr">
        <is>
          <t>SC — System &amp; Comms Protection</t>
        </is>
      </c>
      <c r="K6" s="50" t="n">
        <v>4</v>
      </c>
      <c r="L6" s="50" t="n">
        <v>5</v>
      </c>
      <c r="M6" s="50">
        <f>K6*L6</f>
        <v/>
      </c>
      <c r="N6" s="50" t="inlineStr">
        <is>
          <t>Critical</t>
        </is>
      </c>
      <c r="O6" s="50" t="inlineStr">
        <is>
          <t>Critical</t>
        </is>
      </c>
      <c r="P6" s="51" t="inlineStr">
        <is>
          <t>Network segmentation partially implemented</t>
        </is>
      </c>
      <c r="Q6" s="50" t="inlineStr">
        <is>
          <t>High</t>
        </is>
      </c>
      <c r="R6" s="51" t="inlineStr">
        <is>
          <t>Emergency patch deployment; conduct IOC sweep; review authentication logs</t>
        </is>
      </c>
      <c r="S6" s="50" t="inlineStr">
        <is>
          <t>CIS Control 2.2 — Ensure Software is Supported by Vendor</t>
        </is>
      </c>
      <c r="T6" s="51" t="inlineStr">
        <is>
          <t>Blaise Kingko</t>
        </is>
      </c>
      <c r="U6" s="50" t="inlineStr">
        <is>
          <t>Mitigating</t>
        </is>
      </c>
      <c r="V6" s="50" t="inlineStr">
        <is>
          <t>2026-06-07</t>
        </is>
      </c>
      <c r="W6" s="50" t="inlineStr">
        <is>
          <t>2026-05-29</t>
        </is>
      </c>
      <c r="X6" s="51" t="inlineStr">
        <is>
          <t>RCE vector. Pre-auth. Requires immediate patch cycle bypass for emergency deployment.</t>
        </is>
      </c>
    </row>
    <row r="7" ht="39.75" customHeight="1" s="42">
      <c r="A7" s="52" t="inlineStr">
        <is>
          <t>RR-003</t>
        </is>
      </c>
      <c r="B7" s="53" t="inlineStr">
        <is>
          <t>2026-05-29</t>
        </is>
      </c>
      <c r="C7" s="53" t="inlineStr">
        <is>
          <t>AWS Security Bulletin</t>
        </is>
      </c>
      <c r="D7" s="53" t="inlineStr">
        <is>
          <t>AWS-2025-001</t>
        </is>
      </c>
      <c r="E7" s="53" t="inlineStr">
        <is>
          <t>AWS IAM confused deputy issue in cross-account role assumption — potential privilege escalation</t>
        </is>
      </c>
      <c r="F7" s="52" t="inlineStr">
        <is>
          <t>Cloud — IAM</t>
        </is>
      </c>
      <c r="G7" s="53" t="inlineStr">
        <is>
          <t>AWS Multi-Account Environment</t>
        </is>
      </c>
      <c r="H7" s="53" t="inlineStr">
        <is>
          <t>AWS IAM / STS</t>
        </is>
      </c>
      <c r="I7" s="53" t="inlineStr">
        <is>
          <t>NIST CSF 2.0: PR.AA-05 | NIST 800-53: AC-6, AC-2 | ISO 27001: A.9.2.3 | CIS Control 5</t>
        </is>
      </c>
      <c r="J7" s="53" t="inlineStr">
        <is>
          <t>AC — Access Control</t>
        </is>
      </c>
      <c r="K7" s="52" t="n">
        <v>3</v>
      </c>
      <c r="L7" s="52" t="n">
        <v>4</v>
      </c>
      <c r="M7" s="52">
        <f>K7*L7</f>
        <v/>
      </c>
      <c r="N7" s="52" t="inlineStr">
        <is>
          <t>High</t>
        </is>
      </c>
      <c r="O7" s="52" t="inlineStr">
        <is>
          <t>High</t>
        </is>
      </c>
      <c r="P7" s="53" t="inlineStr">
        <is>
          <t>SCPs deployed; least-privilege IAM model in place across 500+ accounts</t>
        </is>
      </c>
      <c r="Q7" s="52" t="inlineStr">
        <is>
          <t>Medium</t>
        </is>
      </c>
      <c r="R7" s="53" t="inlineStr">
        <is>
          <t>Audit all cross-account trust relationships; enforce ExternalId conditions on all assume-role policies</t>
        </is>
      </c>
      <c r="S7" s="52" t="inlineStr">
        <is>
          <t>CIS Control 5.4 — Restrict Administrator Privileges</t>
        </is>
      </c>
      <c r="T7" s="53" t="inlineStr">
        <is>
          <t>Blaise Kingko</t>
        </is>
      </c>
      <c r="U7" s="52" t="inlineStr">
        <is>
          <t>Mitigating</t>
        </is>
      </c>
      <c r="V7" s="52" t="inlineStr">
        <is>
          <t>2026-06-14</t>
        </is>
      </c>
      <c r="W7" s="52" t="inlineStr">
        <is>
          <t>2026-05-29</t>
        </is>
      </c>
      <c r="X7" s="53" t="inlineStr">
        <is>
          <t>Leverage existing IAM governance model. SCP guardrails reduce blast radius significantly.</t>
        </is>
      </c>
    </row>
    <row r="8" ht="39.75" customHeight="1" s="42">
      <c r="A8" s="50" t="inlineStr">
        <is>
          <t>RR-004</t>
        </is>
      </c>
      <c r="B8" s="51" t="inlineStr">
        <is>
          <t>2026-05-29</t>
        </is>
      </c>
      <c r="C8" s="51" t="inlineStr">
        <is>
          <t>AI Governance Update</t>
        </is>
      </c>
      <c r="D8" s="51" t="inlineStr">
        <is>
          <t>EU-AI-ACT-2025-HIGH-RISK</t>
        </is>
      </c>
      <c r="E8" s="51" t="inlineStr">
        <is>
          <t>EU AI Act High-Risk AI System classification — internal LLM applications may require conformity assessment</t>
        </is>
      </c>
      <c r="F8" s="50" t="inlineStr">
        <is>
          <t>AI/ML — Governance</t>
        </is>
      </c>
      <c r="G8" s="51" t="inlineStr">
        <is>
          <t>Internal LLM Applications</t>
        </is>
      </c>
      <c r="H8" s="51" t="inlineStr">
        <is>
          <t>GenAI Platform (AWS Bedrock)</t>
        </is>
      </c>
      <c r="I8" s="51" t="inlineStr">
        <is>
          <t>NIST AI RMF: GOVERN 1.1, MAP 1.5 | ISO 42001: 6.1.2 | EU AI Act: Article 9, Annex III | NIST 800-53: SA-11</t>
        </is>
      </c>
      <c r="J8" s="51" t="inlineStr">
        <is>
          <t>AI Risk Governance</t>
        </is>
      </c>
      <c r="K8" s="50" t="n">
        <v>3</v>
      </c>
      <c r="L8" s="50" t="n">
        <v>5</v>
      </c>
      <c r="M8" s="50">
        <f>K8*L8</f>
        <v/>
      </c>
      <c r="N8" s="50" t="inlineStr">
        <is>
          <t>High</t>
        </is>
      </c>
      <c r="O8" s="50" t="inlineStr">
        <is>
          <t>High</t>
        </is>
      </c>
      <c r="P8" s="51" t="inlineStr">
        <is>
          <t>AI Governance program active; NIST AI RMF framework implemented; prompt injection controls deployed</t>
        </is>
      </c>
      <c r="Q8" s="50" t="inlineStr">
        <is>
          <t>Medium</t>
        </is>
      </c>
      <c r="R8" s="51" t="inlineStr">
        <is>
          <t>Conduct EU AI Act conformity assessment; document intended purpose and risk management system; prepare technical documentation per Article 11</t>
        </is>
      </c>
      <c r="S8" s="50" t="inlineStr">
        <is>
          <t>N/A — AI Governance Framework</t>
        </is>
      </c>
      <c r="T8" s="51" t="inlineStr">
        <is>
          <t>Blaise Kingko</t>
        </is>
      </c>
      <c r="U8" s="50" t="inlineStr">
        <is>
          <t>Open</t>
        </is>
      </c>
      <c r="V8" s="50" t="inlineStr">
        <is>
          <t>2026-07-01</t>
        </is>
      </c>
      <c r="W8" s="50" t="inlineStr">
        <is>
          <t>2026-05-29</t>
        </is>
      </c>
      <c r="X8" s="51" t="inlineStr">
        <is>
          <t>Regulatory deadline risk. EU AI Act enforcement begins Aug 2026. High-risk classification triggers conformity assessment requirement.</t>
        </is>
      </c>
    </row>
    <row r="9" ht="39.75" customHeight="1" s="42">
      <c r="A9" s="52" t="inlineStr">
        <is>
          <t>RR-005</t>
        </is>
      </c>
      <c r="B9" s="53" t="inlineStr">
        <is>
          <t>2026-05-29</t>
        </is>
      </c>
      <c r="C9" s="53" t="inlineStr">
        <is>
          <t>US-CERT</t>
        </is>
      </c>
      <c r="D9" s="53" t="inlineStr">
        <is>
          <t>AA25-071A</t>
        </is>
      </c>
      <c r="E9" s="53" t="inlineStr">
        <is>
          <t>CISA Advisory — SVR cyber actors targeting cloud environments via misconfigured service accounts</t>
        </is>
      </c>
      <c r="F9" s="52" t="inlineStr">
        <is>
          <t>Cloud — Identity</t>
        </is>
      </c>
      <c r="G9" s="53" t="inlineStr">
        <is>
          <t>Cloud Service Accounts</t>
        </is>
      </c>
      <c r="H9" s="53" t="inlineStr">
        <is>
          <t>AWS / Azure Service Principals</t>
        </is>
      </c>
      <c r="I9" s="53" t="inlineStr">
        <is>
          <t>NIST CSF 2.0: PR.AA-01, DE.AE-02 | NIST 800-53: AC-6, AU-12 | ISO 27001: A.9.4.4 | CIS Control 4</t>
        </is>
      </c>
      <c r="J9" s="53" t="inlineStr">
        <is>
          <t>AC — Access Control</t>
        </is>
      </c>
      <c r="K9" s="52" t="n">
        <v>4</v>
      </c>
      <c r="L9" s="52" t="n">
        <v>4</v>
      </c>
      <c r="M9" s="52">
        <f>K9*L9</f>
        <v/>
      </c>
      <c r="N9" s="52" t="inlineStr">
        <is>
          <t>High</t>
        </is>
      </c>
      <c r="O9" s="52" t="inlineStr">
        <is>
          <t>High</t>
        </is>
      </c>
      <c r="P9" s="53" t="inlineStr">
        <is>
          <t>SIEM monitoring active; CloudTrail enabled; anomaly detection in place</t>
        </is>
      </c>
      <c r="Q9" s="52" t="inlineStr">
        <is>
          <t>Medium</t>
        </is>
      </c>
      <c r="R9" s="53" t="inlineStr">
        <is>
          <t>Audit all service account permissions; rotate credentials; implement Just-In-Time access for privileged service accounts</t>
        </is>
      </c>
      <c r="S9" s="52" t="inlineStr">
        <is>
          <t>CIS Control 4.7 — Manage Default Accounts</t>
        </is>
      </c>
      <c r="T9" s="53" t="inlineStr">
        <is>
          <t>Blaise Kingko</t>
        </is>
      </c>
      <c r="U9" s="52" t="inlineStr">
        <is>
          <t>Open</t>
        </is>
      </c>
      <c r="V9" s="52" t="inlineStr">
        <is>
          <t>2026-06-11</t>
        </is>
      </c>
      <c r="W9" s="52" t="inlineStr">
        <is>
          <t>2026-05-29</t>
        </is>
      </c>
      <c r="X9" s="53" t="inlineStr">
        <is>
          <t>Nation-state TTPs. Aligns with existing SIEM architecture. Review CloudWatch anomaly alerts immediately.</t>
        </is>
      </c>
    </row>
    <row r="10">
      <c r="A10" s="52" t="inlineStr">
        <is>
          <t>RR-006</t>
        </is>
      </c>
      <c r="B10" s="53" t="inlineStr">
        <is>
          <t>2026-06-08</t>
        </is>
      </c>
      <c r="C10" s="53" t="inlineStr">
        <is>
          <t>AWS Security Bulletin</t>
        </is>
      </c>
      <c r="D10" s="53" t="inlineStr">
        <is>
          <t>2026-030-AWS</t>
        </is>
      </c>
      <c r="E10" s="53" t="inlineStr">
        <is>
          <t>Linux Kernel "Copy.fail"/"DirtyFrag" privilege-escalation family (CVE-2026-46300, CVE-2026-31431, CVE-2026-43284, CVE-2026-43500) — local LPE in espintcp/algif_aead/xfrm_user/esp modules affecting AWS self-managed compute</t>
        </is>
      </c>
      <c r="F10" s="52" t="inlineStr">
        <is>
          <t>Cloud-Security</t>
        </is>
      </c>
      <c r="G10" s="53" t="inlineStr">
        <is>
          <t>NIST CSF 2.0 PR.PS-02/DE.CM-09 | NIST 800-53 SI-2/CM-2/CM-6/RA-5 | ISO 27001 A.8.8/A.8.9 | CIS Control 7/4</t>
        </is>
      </c>
      <c r="H10" s="53" t="inlineStr">
        <is>
          <t>SI-2, CM-6, RA-5</t>
        </is>
      </c>
      <c r="I10" s="53" t="n">
        <v>4</v>
      </c>
      <c r="J10" s="53" t="n">
        <v>4</v>
      </c>
      <c r="K10" s="52" t="n">
        <v>16</v>
      </c>
      <c r="L10" s="52" t="inlineStr">
        <is>
          <t>High</t>
        </is>
      </c>
      <c r="M10" s="52" t="inlineStr">
        <is>
          <t>High</t>
        </is>
      </c>
      <c r="N10" s="52" t="inlineStr">
        <is>
          <t>AWS-managed control planes patched; customer self-managed compute (EKS/EC2/Bottlerocket) requires manual node rotation</t>
        </is>
      </c>
      <c r="O10" s="52" t="inlineStr">
        <is>
          <t>Medium</t>
        </is>
      </c>
      <c r="P10" s="53" t="inlineStr">
        <is>
          <t>Roll EKS-optimized AMIs and Bottlerocket hosts to patched builds (Bottlerocket &gt;= v1.61.0); confirm Fargate platform versions &gt;= 2026-06-09; validate via CSPM scan for zero non-compliant kernels</t>
        </is>
      </c>
      <c r="Q10" s="52" t="inlineStr">
        <is>
          <t>Control 7 (7.4) / Control 4</t>
        </is>
      </c>
      <c r="R10" s="53" t="inlineStr">
        <is>
          <t>Cloud Platform Engineering</t>
        </is>
      </c>
      <c r="S10" s="52" t="inlineStr">
        <is>
          <t>Open</t>
        </is>
      </c>
      <c r="T10" s="53" t="inlineStr">
        <is>
          <t>2026-06-22</t>
        </is>
      </c>
      <c r="U10" s="52" t="inlineStr">
        <is>
          <t>2026-06-08</t>
        </is>
      </c>
      <c r="V10" s="52" t="inlineStr">
        <is>
          <t>Shared-responsibility seam — AWS patches control plane only; full case bundle in Cloud-Security/2026-06-AWS-Bulletin-Linux-Kernel-CopyFail</t>
        </is>
      </c>
    </row>
    <row r="11">
      <c r="A11" s="52" t="inlineStr">
        <is>
          <t>RR-007</t>
        </is>
      </c>
      <c r="B11" s="53" t="inlineStr">
        <is>
          <t>2026-06-08</t>
        </is>
      </c>
      <c r="C11" s="53" t="inlineStr">
        <is>
          <t>Azure Security Update</t>
        </is>
      </c>
      <c r="D11" s="53" t="inlineStr">
        <is>
          <t>CVE-2026-48567</t>
        </is>
      </c>
      <c r="E11" s="53" t="inlineStr">
        <is>
          <t>Azure HorizonDB Elevation of Privilege — authentication bypass by spoofing (CWE-290) in managed multi-tenant database control plane, CVSS 10.0</t>
        </is>
      </c>
      <c r="F11" s="52" t="inlineStr">
        <is>
          <t>Cloud-Security</t>
        </is>
      </c>
      <c r="G11" s="53" t="inlineStr">
        <is>
          <t>NIST CSF 2.0 PR.AA-03/DE.CM-03/GV.SC-06 | NIST 800-53 IA-2/AC-3/SC-7/CA-7 | ISO 27001 A.5.15/A.8.5/A.5.23 | CIS Control 6/13</t>
        </is>
      </c>
      <c r="H11" s="53" t="inlineStr">
        <is>
          <t>IA-2, AC-3, SC-7</t>
        </is>
      </c>
      <c r="I11" s="53" t="n">
        <v>3</v>
      </c>
      <c r="J11" s="53" t="n">
        <v>5</v>
      </c>
      <c r="K11" s="52" t="n">
        <v>15</v>
      </c>
      <c r="L11" s="52" t="inlineStr">
        <is>
          <t>High</t>
        </is>
      </c>
      <c r="M11" s="52" t="inlineStr">
        <is>
          <t>Critical</t>
        </is>
      </c>
      <c r="N11" s="52" t="inlineStr">
        <is>
          <t>Microsoft platform-side patch pipeline (vendor-controlled); Entra ID conditional access as tenant-side compensating control</t>
        </is>
      </c>
      <c r="O11" s="52" t="inlineStr">
        <is>
          <t>Low</t>
        </is>
      </c>
      <c r="P11" s="53" t="inlineStr">
        <is>
          <t>Confirm Microsoft platform patch applied via Azure Service Health; audit HorizonDB auth logs 2026-05-28 to 2026-06-04 for spoofing indicators; enforce Entra ID-only authentication and Conditional Access MFA</t>
        </is>
      </c>
      <c r="Q11" s="52" t="inlineStr">
        <is>
          <t>Control 6 / Control 13</t>
        </is>
      </c>
      <c r="R11" s="53" t="inlineStr">
        <is>
          <t>Cloud Security Architecture</t>
        </is>
      </c>
      <c r="S11" s="52" t="inlineStr">
        <is>
          <t>Open</t>
        </is>
      </c>
      <c r="T11" s="53" t="inlineStr">
        <is>
          <t>2026-06-15</t>
        </is>
      </c>
      <c r="U11" s="52" t="inlineStr">
        <is>
          <t>2026-06-08</t>
        </is>
      </c>
      <c r="V11" s="52" t="inlineStr">
        <is>
          <t>Vendor-side CVSS 10.0 flaw — verification &amp; IAM hardening case; full bundle in Cloud-Security/2026-06-MSRC-Azure-HorizonDB</t>
        </is>
      </c>
    </row>
    <row r="12">
      <c r="A12" s="52" t="inlineStr">
        <is>
          <t>RR-008</t>
        </is>
      </c>
      <c r="B12" s="53" t="inlineStr">
        <is>
          <t>2026-06-08</t>
        </is>
      </c>
      <c r="C12" s="53" t="inlineStr">
        <is>
          <t>CISA KEV</t>
        </is>
      </c>
      <c r="D12" s="53" t="inlineStr">
        <is>
          <t>CVE-2026-45247</t>
        </is>
      </c>
      <c r="E12" s="53" t="inlineStr">
        <is>
          <t>Mirasvit Full Page Cache Warmer (Magento/Adobe Commerce) — deserialization of untrusted data / PHP object injection enabling unauthenticated RCE, CVSS 9.8, actively exploited in the wild</t>
        </is>
      </c>
      <c r="F12" s="52" t="inlineStr">
        <is>
          <t>Cloud-Security</t>
        </is>
      </c>
      <c r="G12" s="53" t="inlineStr">
        <is>
          <t>NIST CSF 2.0 PR.PS-02/DE.CM-01/RS.AN-03 | NIST 800-53 SI-2/SI-3/SI-10/IR-4 | ISO 27001 A.8.8/A.8.28/A.8.16 | CIS Control 16/7/17 | PCI-DSS v4.0 Req 6.3.3/11.3</t>
        </is>
      </c>
      <c r="H12" s="53" t="inlineStr">
        <is>
          <t>SI-2, SI-3, SI-10</t>
        </is>
      </c>
      <c r="I12" s="53" t="n">
        <v>5</v>
      </c>
      <c r="J12" s="53" t="n">
        <v>5</v>
      </c>
      <c r="K12" s="52" t="n">
        <v>25</v>
      </c>
      <c r="L12" s="52" t="inlineStr">
        <is>
          <t>Critical</t>
        </is>
      </c>
      <c r="M12" s="52" t="inlineStr">
        <is>
          <t>Critical</t>
        </is>
      </c>
      <c r="N12" s="52" t="inlineStr">
        <is>
          <t>WAF signatures (Imperva) available as interim compensating control; PCI-mandated file-integrity monitoring may detect web-shell drops</t>
        </is>
      </c>
      <c r="O12" s="52" t="inlineStr">
        <is>
          <t>Low</t>
        </is>
      </c>
      <c r="P12" s="53" t="inlineStr">
        <is>
          <t>Update Mirasvit Full Page Cache Warmer to v1.11.12+ on all Magento 2/Adobe Commerce instances immediately (target 2026-06-10); conduct web-shell forensic sweep of pub/media, var/, app/code directories; engage PCI Forensic Investigator if IOCs found</t>
        </is>
      </c>
      <c r="Q12" s="52" t="inlineStr">
        <is>
          <t>Control 16 (16.13) / Control 7</t>
        </is>
      </c>
      <c r="R12" s="53" t="inlineStr">
        <is>
          <t>Application Security / E-commerce Engineering</t>
        </is>
      </c>
      <c r="S12" s="52" t="inlineStr">
        <is>
          <t>Open — Expedited</t>
        </is>
      </c>
      <c r="T12" s="53" t="inlineStr">
        <is>
          <t>2026-06-10</t>
        </is>
      </c>
      <c r="U12" s="52" t="inlineStr">
        <is>
          <t>2026-06-08</t>
        </is>
      </c>
      <c r="V12" s="52" t="inlineStr">
        <is>
          <t>CISA federal due date 2026-06-06; active exploitation confirmed by Sansec/Imperva/SecurityWeek; full bundle in Cloud-Security/2026-06-CISA-KEV-Magento-Mirasvit</t>
        </is>
      </c>
    </row>
    <row r="13">
      <c r="A13" s="52" t="inlineStr">
        <is>
          <t>RR-009</t>
        </is>
      </c>
      <c r="B13" s="53" t="inlineStr">
        <is>
          <t>2026-06-08</t>
        </is>
      </c>
      <c r="C13" s="53" t="inlineStr">
        <is>
          <t>AI Governance Update</t>
        </is>
      </c>
      <c r="D13" s="53" t="inlineStr">
        <is>
          <t>Draft Guidelines — High-Risk AI Classification (Consultation closes 2026-06-23)</t>
        </is>
      </c>
      <c r="E13" s="53" t="inlineStr">
        <is>
          <t>European Commission draft guidance on classifying AI systems as "high-risk" under EU AI Act Annex III; enforcement infrastructure being stood up; high-risk obligation deadlines extended to Dec 2027 / Aug 2028</t>
        </is>
      </c>
      <c r="F13" s="52" t="inlineStr">
        <is>
          <t>AI-Governance</t>
        </is>
      </c>
      <c r="G13" s="53" t="inlineStr">
        <is>
          <t>NIST AI RMF GOVERN/MAP (1.1, 5.1) | ISO 42001 Clauses 6.1.2/8.4/4.1 | EU AI Act Article 6/Annex III | GDPR Article 35 (DPIA overlap)</t>
        </is>
      </c>
      <c r="H13" s="53" t="inlineStr">
        <is>
          <t>GOVERN, MAP</t>
        </is>
      </c>
      <c r="I13" s="53" t="n">
        <v>3</v>
      </c>
      <c r="J13" s="53" t="n">
        <v>3</v>
      </c>
      <c r="K13" s="52" t="n">
        <v>9</v>
      </c>
      <c r="L13" s="52" t="inlineStr">
        <is>
          <t>Medium</t>
        </is>
      </c>
      <c r="M13" s="52" t="inlineStr">
        <is>
          <t>Medium-High</t>
        </is>
      </c>
      <c r="N13" s="52" t="inlineStr">
        <is>
          <t>Existing ISO 42001 risk-assessment processes (where implemented) and NIST AI RMF MAP practices provide a transferable methodology for classification</t>
        </is>
      </c>
      <c r="O13" s="52" t="inlineStr">
        <is>
          <t>Low</t>
        </is>
      </c>
      <c r="P13" s="53" t="inlineStr">
        <is>
          <t>Compile complete AI-system inventory mapped to EU-resident exposure; classify each system against draft Annex III criteria using ISO 42001 Clause 8.4 template; consider submitting consultation feedback before 2026-06-23; build combined NIST AI RMF/ISO 42001/EU AI Act/GDPR evidence template</t>
        </is>
      </c>
      <c r="Q13" s="52" t="inlineStr">
        <is>
          <t>N/A — Regulatory/Governance</t>
        </is>
      </c>
      <c r="R13" s="53" t="inlineStr">
        <is>
          <t>AI Governance Lead</t>
        </is>
      </c>
      <c r="S13" s="52" t="inlineStr">
        <is>
          <t>Open — Proactive</t>
        </is>
      </c>
      <c r="T13" s="53" t="inlineStr">
        <is>
          <t>2026-09-08</t>
        </is>
      </c>
      <c r="U13" s="52" t="inlineStr">
        <is>
          <t>2026-06-08</t>
        </is>
      </c>
      <c r="V13" s="52" t="inlineStr">
        <is>
          <t>18-month runway to Dec 2027 milestone; full bundle in AI-Governance/2026-06-EU-AI-Act-HighRisk-Classification</t>
        </is>
      </c>
    </row>
    <row r="14">
      <c r="A14" s="52" t="inlineStr">
        <is>
          <t>RR-010</t>
        </is>
      </c>
      <c r="B14" s="53" t="inlineStr">
        <is>
          <t>2026-06-08</t>
        </is>
      </c>
      <c r="C14" s="53" t="inlineStr">
        <is>
          <t>CISA KEV</t>
        </is>
      </c>
      <c r="D14" s="53" t="inlineStr">
        <is>
          <t>CVE-2025-48595</t>
        </is>
      </c>
      <c r="E14" s="53" t="inlineStr">
        <is>
          <t>Android Framework integer overflow (CWE-190) enabling local elevation of privilege; CVSS 8.4; Google confirms limited, targeted exploitation (spyware/nation-state pattern); affects Android 14/15/16/16-QPR2</t>
        </is>
      </c>
      <c r="F14" s="52" t="inlineStr">
        <is>
          <t>IT-OT-Threats</t>
        </is>
      </c>
      <c r="G14" s="53" t="inlineStr">
        <is>
          <t>NIST CSF 2.0 PR.PS-02/DE.CM-09 | NIST 800-53 SI-2/CM-6 | ISO 27001 A.8.8 | CIS Control 4 (Mobile/BYOD)</t>
        </is>
      </c>
      <c r="H14" s="53" t="inlineStr">
        <is>
          <t>SI-2, CM-6</t>
        </is>
      </c>
      <c r="I14" s="53" t="n">
        <v>4</v>
      </c>
      <c r="J14" s="53" t="n">
        <v>3</v>
      </c>
      <c r="K14" s="52" t="n">
        <v>12</v>
      </c>
      <c r="L14" s="52" t="inlineStr">
        <is>
          <t>High</t>
        </is>
      </c>
      <c r="M14" s="52" t="inlineStr">
        <is>
          <t>Medium</t>
        </is>
      </c>
      <c r="N14" s="52" t="inlineStr">
        <is>
          <t>MDM/UEM enforcement of OS patch-level baselines on managed devices; app-vetting controls limiting locally-installed untrusted apps</t>
        </is>
      </c>
      <c r="O14" s="52" t="inlineStr">
        <is>
          <t>Low</t>
        </is>
      </c>
      <c r="P14" s="53" t="inlineStr">
        <is>
          <t>Push June 2026 Android security patch level to all managed/BYOD devices via MDM/UEM within 7 days; flag any device failing to report patched build for conditional-access restriction</t>
        </is>
      </c>
      <c r="Q14" s="52" t="inlineStr">
        <is>
          <t>Control 4</t>
        </is>
      </c>
      <c r="R14" s="53" t="inlineStr">
        <is>
          <t>Endpoint / Mobility Engineering</t>
        </is>
      </c>
      <c r="S14" s="52" t="inlineStr">
        <is>
          <t>Open</t>
        </is>
      </c>
      <c r="T14" s="53" t="inlineStr">
        <is>
          <t>2026-06-15</t>
        </is>
      </c>
      <c r="U14" s="52" t="inlineStr">
        <is>
          <t>2026-06-08</t>
        </is>
      </c>
      <c r="V14" s="52" t="inlineStr">
        <is>
          <t>Register entry only — mobile/endpoint scope did not meet full-bundle threshold (no direct AWS/IAM/CSPM/AI-platform nexus); monitor for KEV escalation</t>
        </is>
      </c>
    </row>
  </sheetData>
  <mergeCells count="2">
    <mergeCell ref="A2:X2"/>
    <mergeCell ref="A1:X1"/>
  </mergeCells>
  <conditionalFormatting sqref="N5:N500">
    <cfRule type="expression" rank="0" priority="2" equalAverage="0" aboveAverage="0" dxfId="0" text="" percent="0" bottom="0">
      <formula>$N5="Critical"</formula>
    </cfRule>
    <cfRule type="expression" rank="0" priority="3" equalAverage="0" aboveAverage="0" dxfId="1" text="" percent="0" bottom="0">
      <formula>$N5="High"</formula>
    </cfRule>
    <cfRule type="expression" rank="0" priority="4" equalAverage="0" aboveAverage="0" dxfId="2" text="" percent="0" bottom="0">
      <formula>$N5="Medium"</formula>
    </cfRule>
    <cfRule type="expression" rank="0" priority="5" equalAverage="0" aboveAverage="0" dxfId="3" text="" percent="0" bottom="0">
      <formula>$N5="Low"</formula>
    </cfRule>
  </conditionalFormatting>
  <conditionalFormatting sqref="O5:O500">
    <cfRule type="expression" rank="0" priority="6" equalAverage="0" aboveAverage="0" dxfId="0" text="" percent="0" bottom="0">
      <formula>$O5="Critical"</formula>
    </cfRule>
    <cfRule type="expression" rank="0" priority="7" equalAverage="0" aboveAverage="0" dxfId="1" text="" percent="0" bottom="0">
      <formula>$O5="High"</formula>
    </cfRule>
    <cfRule type="expression" rank="0" priority="8" equalAverage="0" aboveAverage="0" dxfId="2" text="" percent="0" bottom="0">
      <formula>$O5="Medium"</formula>
    </cfRule>
    <cfRule type="expression" rank="0" priority="9" equalAverage="0" aboveAverage="0" dxfId="3" text="" percent="0" bottom="0">
      <formula>$O5="Low"</formula>
    </cfRule>
  </conditionalFormatting>
  <conditionalFormatting sqref="Q5:Q500">
    <cfRule type="expression" rank="0" priority="10" equalAverage="0" aboveAverage="0" dxfId="0" text="" percent="0" bottom="0">
      <formula>$Q5="Critical"</formula>
    </cfRule>
    <cfRule type="expression" rank="0" priority="11" equalAverage="0" aboveAverage="0" dxfId="1" text="" percent="0" bottom="0">
      <formula>$Q5="High"</formula>
    </cfRule>
    <cfRule type="expression" rank="0" priority="12" equalAverage="0" aboveAverage="0" dxfId="2" text="" percent="0" bottom="0">
      <formula>$Q5="Medium"</formula>
    </cfRule>
    <cfRule type="expression" rank="0" priority="13" equalAverage="0" aboveAverage="0" dxfId="3" text="" percent="0" bottom="0">
      <formula>$Q5="Low"</formula>
    </cfRule>
  </conditionalFormatting>
  <conditionalFormatting sqref="U5:U500">
    <cfRule type="expression" rank="0" priority="14" equalAverage="0" aboveAverage="0" dxfId="0" text="" percent="0" bottom="0">
      <formula>$U5="Open"</formula>
    </cfRule>
    <cfRule type="expression" rank="0" priority="15" equalAverage="0" aboveAverage="0" dxfId="1" text="" percent="0" bottom="0">
      <formula>$U5="Mitigating"</formula>
    </cfRule>
    <cfRule type="expression" rank="0" priority="16" equalAverage="0" aboveAverage="0" dxfId="3" text="" percent="0" bottom="0">
      <formula>$U5="Closed"</formula>
    </cfRule>
    <cfRule type="expression" rank="0" priority="17" equalAverage="0" aboveAverage="0" dxfId="4" text="" percent="0" bottom="0">
      <formula>$U5="Accepted"</formula>
    </cfRule>
    <cfRule type="expression" rank="0" priority="18" equalAverage="0" aboveAverage="0" dxfId="5" text="" percent="0" bottom="0">
      <formula>$U5="Transferred"</formula>
    </cfRule>
  </conditionalFormatting>
  <conditionalFormatting sqref="M5">
    <cfRule type="expression" rank="0" priority="19" equalAverage="0" aboveAverage="0" dxfId="0" text="" percent="0" bottom="0">
      <formula>M5&gt;=20</formula>
    </cfRule>
    <cfRule type="expression" rank="0" priority="20" equalAverage="0" aboveAverage="0" dxfId="1" text="" percent="0" bottom="0">
      <formula>AND(M5&gt;=10,M5&lt;20)</formula>
    </cfRule>
    <cfRule type="expression" rank="0" priority="21" equalAverage="0" aboveAverage="0" dxfId="2" text="" percent="0" bottom="0">
      <formula>AND(M5&gt;=5,M5&lt;10)</formula>
    </cfRule>
    <cfRule type="expression" rank="0" priority="22" equalAverage="0" aboveAverage="0" dxfId="3" text="" percent="0" bottom="0">
      <formula>AND(M5&gt;=1,M5&lt;5)</formula>
    </cfRule>
  </conditionalFormatting>
  <conditionalFormatting sqref="M6">
    <cfRule type="expression" rank="0" priority="23" equalAverage="0" aboveAverage="0" dxfId="0" text="" percent="0" bottom="0">
      <formula>M6&gt;=20</formula>
    </cfRule>
    <cfRule type="expression" rank="0" priority="24" equalAverage="0" aboveAverage="0" dxfId="1" text="" percent="0" bottom="0">
      <formula>AND(M6&gt;=10,M6&lt;20)</formula>
    </cfRule>
    <cfRule type="expression" rank="0" priority="25" equalAverage="0" aboveAverage="0" dxfId="2" text="" percent="0" bottom="0">
      <formula>AND(M6&gt;=5,M6&lt;10)</formula>
    </cfRule>
    <cfRule type="expression" rank="0" priority="26" equalAverage="0" aboveAverage="0" dxfId="3" text="" percent="0" bottom="0">
      <formula>AND(M6&gt;=1,M6&lt;5)</formula>
    </cfRule>
  </conditionalFormatting>
  <conditionalFormatting sqref="M7">
    <cfRule type="expression" rank="0" priority="27" equalAverage="0" aboveAverage="0" dxfId="0" text="" percent="0" bottom="0">
      <formula>M7&gt;=20</formula>
    </cfRule>
    <cfRule type="expression" rank="0" priority="28" equalAverage="0" aboveAverage="0" dxfId="1" text="" percent="0" bottom="0">
      <formula>AND(M7&gt;=10,M7&lt;20)</formula>
    </cfRule>
    <cfRule type="expression" rank="0" priority="29" equalAverage="0" aboveAverage="0" dxfId="2" text="" percent="0" bottom="0">
      <formula>AND(M7&gt;=5,M7&lt;10)</formula>
    </cfRule>
    <cfRule type="expression" rank="0" priority="30" equalAverage="0" aboveAverage="0" dxfId="3" text="" percent="0" bottom="0">
      <formula>AND(M7&gt;=1,M7&lt;5)</formula>
    </cfRule>
  </conditionalFormatting>
  <conditionalFormatting sqref="M8">
    <cfRule type="expression" rank="0" priority="31" equalAverage="0" aboveAverage="0" dxfId="0" text="" percent="0" bottom="0">
      <formula>M8&gt;=20</formula>
    </cfRule>
    <cfRule type="expression" rank="0" priority="32" equalAverage="0" aboveAverage="0" dxfId="1" text="" percent="0" bottom="0">
      <formula>AND(M8&gt;=10,M8&lt;20)</formula>
    </cfRule>
    <cfRule type="expression" rank="0" priority="33" equalAverage="0" aboveAverage="0" dxfId="2" text="" percent="0" bottom="0">
      <formula>AND(M8&gt;=5,M8&lt;10)</formula>
    </cfRule>
    <cfRule type="expression" rank="0" priority="34" equalAverage="0" aboveAverage="0" dxfId="3" text="" percent="0" bottom="0">
      <formula>AND(M8&gt;=1,M8&lt;5)</formula>
    </cfRule>
  </conditionalFormatting>
  <conditionalFormatting sqref="M9">
    <cfRule type="expression" rank="0" priority="35" equalAverage="0" aboveAverage="0" dxfId="0" text="" percent="0" bottom="0">
      <formula>M9&gt;=20</formula>
    </cfRule>
    <cfRule type="expression" rank="0" priority="36" equalAverage="0" aboveAverage="0" dxfId="1" text="" percent="0" bottom="0">
      <formula>AND(M9&gt;=10,M9&lt;20)</formula>
    </cfRule>
    <cfRule type="expression" rank="0" priority="37" equalAverage="0" aboveAverage="0" dxfId="2" text="" percent="0" bottom="0">
      <formula>AND(M9&gt;=5,M9&lt;10)</formula>
    </cfRule>
    <cfRule type="expression" rank="0" priority="38" equalAverage="0" aboveAverage="0" dxfId="3" text="" percent="0" bottom="0">
      <formula>AND(M9&gt;=1,M9&lt;5)</formula>
    </cfRule>
  </conditionalFormatting>
  <conditionalFormatting sqref="M10">
    <cfRule type="expression" rank="0" priority="39" equalAverage="0" aboveAverage="0" dxfId="0" text="" percent="0" bottom="0">
      <formula>M10&gt;=20</formula>
    </cfRule>
    <cfRule type="expression" rank="0" priority="40" equalAverage="0" aboveAverage="0" dxfId="1" text="" percent="0" bottom="0">
      <formula>AND(M10&gt;=10,M10&lt;20)</formula>
    </cfRule>
    <cfRule type="expression" rank="0" priority="41" equalAverage="0" aboveAverage="0" dxfId="2" text="" percent="0" bottom="0">
      <formula>AND(M10&gt;=5,M10&lt;10)</formula>
    </cfRule>
    <cfRule type="expression" rank="0" priority="42" equalAverage="0" aboveAverage="0" dxfId="3" text="" percent="0" bottom="0">
      <formula>AND(M10&gt;=1,M10&lt;5)</formula>
    </cfRule>
  </conditionalFormatting>
  <conditionalFormatting sqref="M11">
    <cfRule type="expression" rank="0" priority="43" equalAverage="0" aboveAverage="0" dxfId="0" text="" percent="0" bottom="0">
      <formula>M11&gt;=20</formula>
    </cfRule>
    <cfRule type="expression" rank="0" priority="44" equalAverage="0" aboveAverage="0" dxfId="1" text="" percent="0" bottom="0">
      <formula>AND(M11&gt;=10,M11&lt;20)</formula>
    </cfRule>
    <cfRule type="expression" rank="0" priority="45" equalAverage="0" aboveAverage="0" dxfId="2" text="" percent="0" bottom="0">
      <formula>AND(M11&gt;=5,M11&lt;10)</formula>
    </cfRule>
    <cfRule type="expression" rank="0" priority="46" equalAverage="0" aboveAverage="0" dxfId="3" text="" percent="0" bottom="0">
      <formula>AND(M11&gt;=1,M11&lt;5)</formula>
    </cfRule>
  </conditionalFormatting>
  <conditionalFormatting sqref="M12">
    <cfRule type="expression" rank="0" priority="47" equalAverage="0" aboveAverage="0" dxfId="0" text="" percent="0" bottom="0">
      <formula>M12&gt;=20</formula>
    </cfRule>
    <cfRule type="expression" rank="0" priority="48" equalAverage="0" aboveAverage="0" dxfId="1" text="" percent="0" bottom="0">
      <formula>AND(M12&gt;=10,M12&lt;20)</formula>
    </cfRule>
    <cfRule type="expression" rank="0" priority="49" equalAverage="0" aboveAverage="0" dxfId="2" text="" percent="0" bottom="0">
      <formula>AND(M12&gt;=5,M12&lt;10)</formula>
    </cfRule>
    <cfRule type="expression" rank="0" priority="50" equalAverage="0" aboveAverage="0" dxfId="3" text="" percent="0" bottom="0">
      <formula>AND(M12&gt;=1,M12&lt;5)</formula>
    </cfRule>
  </conditionalFormatting>
  <conditionalFormatting sqref="M13">
    <cfRule type="expression" rank="0" priority="51" equalAverage="0" aboveAverage="0" dxfId="0" text="" percent="0" bottom="0">
      <formula>M13&gt;=20</formula>
    </cfRule>
    <cfRule type="expression" rank="0" priority="52" equalAverage="0" aboveAverage="0" dxfId="1" text="" percent="0" bottom="0">
      <formula>AND(M13&gt;=10,M13&lt;20)</formula>
    </cfRule>
    <cfRule type="expression" rank="0" priority="53" equalAverage="0" aboveAverage="0" dxfId="2" text="" percent="0" bottom="0">
      <formula>AND(M13&gt;=5,M13&lt;10)</formula>
    </cfRule>
    <cfRule type="expression" rank="0" priority="54" equalAverage="0" aboveAverage="0" dxfId="3" text="" percent="0" bottom="0">
      <formula>AND(M13&gt;=1,M13&lt;5)</formula>
    </cfRule>
  </conditionalFormatting>
  <conditionalFormatting sqref="M14">
    <cfRule type="expression" rank="0" priority="55" equalAverage="0" aboveAverage="0" dxfId="0" text="" percent="0" bottom="0">
      <formula>M14&gt;=20</formula>
    </cfRule>
    <cfRule type="expression" rank="0" priority="56" equalAverage="0" aboveAverage="0" dxfId="1" text="" percent="0" bottom="0">
      <formula>AND(M14&gt;=10,M14&lt;20)</formula>
    </cfRule>
    <cfRule type="expression" rank="0" priority="57" equalAverage="0" aboveAverage="0" dxfId="2" text="" percent="0" bottom="0">
      <formula>AND(M14&gt;=5,M14&lt;10)</formula>
    </cfRule>
    <cfRule type="expression" rank="0" priority="58" equalAverage="0" aboveAverage="0" dxfId="3" text="" percent="0" bottom="0">
      <formula>AND(M14&gt;=1,M14&lt;5)</formula>
    </cfRule>
  </conditionalFormatting>
  <conditionalFormatting sqref="M15">
    <cfRule type="expression" rank="0" priority="59" equalAverage="0" aboveAverage="0" dxfId="0" text="" percent="0" bottom="0">
      <formula>M15&gt;=20</formula>
    </cfRule>
    <cfRule type="expression" rank="0" priority="60" equalAverage="0" aboveAverage="0" dxfId="1" text="" percent="0" bottom="0">
      <formula>AND(M15&gt;=10,M15&lt;20)</formula>
    </cfRule>
    <cfRule type="expression" rank="0" priority="61" equalAverage="0" aboveAverage="0" dxfId="2" text="" percent="0" bottom="0">
      <formula>AND(M15&gt;=5,M15&lt;10)</formula>
    </cfRule>
    <cfRule type="expression" rank="0" priority="62" equalAverage="0" aboveAverage="0" dxfId="3" text="" percent="0" bottom="0">
      <formula>AND(M15&gt;=1,M15&lt;5)</formula>
    </cfRule>
  </conditionalFormatting>
  <conditionalFormatting sqref="M16">
    <cfRule type="expression" rank="0" priority="63" equalAverage="0" aboveAverage="0" dxfId="0" text="" percent="0" bottom="0">
      <formula>M16&gt;=20</formula>
    </cfRule>
    <cfRule type="expression" rank="0" priority="64" equalAverage="0" aboveAverage="0" dxfId="1" text="" percent="0" bottom="0">
      <formula>AND(M16&gt;=10,M16&lt;20)</formula>
    </cfRule>
    <cfRule type="expression" rank="0" priority="65" equalAverage="0" aboveAverage="0" dxfId="2" text="" percent="0" bottom="0">
      <formula>AND(M16&gt;=5,M16&lt;10)</formula>
    </cfRule>
    <cfRule type="expression" rank="0" priority="66" equalAverage="0" aboveAverage="0" dxfId="3" text="" percent="0" bottom="0">
      <formula>AND(M16&gt;=1,M16&lt;5)</formula>
    </cfRule>
  </conditionalFormatting>
  <conditionalFormatting sqref="M17">
    <cfRule type="expression" rank="0" priority="67" equalAverage="0" aboveAverage="0" dxfId="0" text="" percent="0" bottom="0">
      <formula>M17&gt;=20</formula>
    </cfRule>
    <cfRule type="expression" rank="0" priority="68" equalAverage="0" aboveAverage="0" dxfId="1" text="" percent="0" bottom="0">
      <formula>AND(M17&gt;=10,M17&lt;20)</formula>
    </cfRule>
    <cfRule type="expression" rank="0" priority="69" equalAverage="0" aboveAverage="0" dxfId="2" text="" percent="0" bottom="0">
      <formula>AND(M17&gt;=5,M17&lt;10)</formula>
    </cfRule>
    <cfRule type="expression" rank="0" priority="70" equalAverage="0" aboveAverage="0" dxfId="3" text="" percent="0" bottom="0">
      <formula>AND(M17&gt;=1,M17&lt;5)</formula>
    </cfRule>
  </conditionalFormatting>
  <conditionalFormatting sqref="M18">
    <cfRule type="expression" rank="0" priority="71" equalAverage="0" aboveAverage="0" dxfId="0" text="" percent="0" bottom="0">
      <formula>M18&gt;=20</formula>
    </cfRule>
    <cfRule type="expression" rank="0" priority="72" equalAverage="0" aboveAverage="0" dxfId="1" text="" percent="0" bottom="0">
      <formula>AND(M18&gt;=10,M18&lt;20)</formula>
    </cfRule>
    <cfRule type="expression" rank="0" priority="73" equalAverage="0" aboveAverage="0" dxfId="2" text="" percent="0" bottom="0">
      <formula>AND(M18&gt;=5,M18&lt;10)</formula>
    </cfRule>
    <cfRule type="expression" rank="0" priority="74" equalAverage="0" aboveAverage="0" dxfId="3" text="" percent="0" bottom="0">
      <formula>AND(M18&gt;=1,M18&lt;5)</formula>
    </cfRule>
  </conditionalFormatting>
  <conditionalFormatting sqref="M19">
    <cfRule type="expression" rank="0" priority="75" equalAverage="0" aboveAverage="0" dxfId="0" text="" percent="0" bottom="0">
      <formula>M19&gt;=20</formula>
    </cfRule>
    <cfRule type="expression" rank="0" priority="76" equalAverage="0" aboveAverage="0" dxfId="1" text="" percent="0" bottom="0">
      <formula>AND(M19&gt;=10,M19&lt;20)</formula>
    </cfRule>
    <cfRule type="expression" rank="0" priority="77" equalAverage="0" aboveAverage="0" dxfId="2" text="" percent="0" bottom="0">
      <formula>AND(M19&gt;=5,M19&lt;10)</formula>
    </cfRule>
    <cfRule type="expression" rank="0" priority="78" equalAverage="0" aboveAverage="0" dxfId="3" text="" percent="0" bottom="0">
      <formula>AND(M19&gt;=1,M19&lt;5)</formula>
    </cfRule>
  </conditionalFormatting>
  <conditionalFormatting sqref="M20">
    <cfRule type="expression" rank="0" priority="79" equalAverage="0" aboveAverage="0" dxfId="0" text="" percent="0" bottom="0">
      <formula>M20&gt;=20</formula>
    </cfRule>
    <cfRule type="expression" rank="0" priority="80" equalAverage="0" aboveAverage="0" dxfId="1" text="" percent="0" bottom="0">
      <formula>AND(M20&gt;=10,M20&lt;20)</formula>
    </cfRule>
    <cfRule type="expression" rank="0" priority="81" equalAverage="0" aboveAverage="0" dxfId="2" text="" percent="0" bottom="0">
      <formula>AND(M20&gt;=5,M20&lt;10)</formula>
    </cfRule>
    <cfRule type="expression" rank="0" priority="82" equalAverage="0" aboveAverage="0" dxfId="3" text="" percent="0" bottom="0">
      <formula>AND(M20&gt;=1,M20&lt;5)</formula>
    </cfRule>
  </conditionalFormatting>
  <conditionalFormatting sqref="M21">
    <cfRule type="expression" rank="0" priority="83" equalAverage="0" aboveAverage="0" dxfId="0" text="" percent="0" bottom="0">
      <formula>M21&gt;=20</formula>
    </cfRule>
    <cfRule type="expression" rank="0" priority="84" equalAverage="0" aboveAverage="0" dxfId="1" text="" percent="0" bottom="0">
      <formula>AND(M21&gt;=10,M21&lt;20)</formula>
    </cfRule>
    <cfRule type="expression" rank="0" priority="85" equalAverage="0" aboveAverage="0" dxfId="2" text="" percent="0" bottom="0">
      <formula>AND(M21&gt;=5,M21&lt;10)</formula>
    </cfRule>
    <cfRule type="expression" rank="0" priority="86" equalAverage="0" aboveAverage="0" dxfId="3" text="" percent="0" bottom="0">
      <formula>AND(M21&gt;=1,M21&lt;5)</formula>
    </cfRule>
  </conditionalFormatting>
  <conditionalFormatting sqref="M22">
    <cfRule type="expression" rank="0" priority="87" equalAverage="0" aboveAverage="0" dxfId="0" text="" percent="0" bottom="0">
      <formula>M22&gt;=20</formula>
    </cfRule>
    <cfRule type="expression" rank="0" priority="88" equalAverage="0" aboveAverage="0" dxfId="1" text="" percent="0" bottom="0">
      <formula>AND(M22&gt;=10,M22&lt;20)</formula>
    </cfRule>
    <cfRule type="expression" rank="0" priority="89" equalAverage="0" aboveAverage="0" dxfId="2" text="" percent="0" bottom="0">
      <formula>AND(M22&gt;=5,M22&lt;10)</formula>
    </cfRule>
    <cfRule type="expression" rank="0" priority="90" equalAverage="0" aboveAverage="0" dxfId="3" text="" percent="0" bottom="0">
      <formula>AND(M22&gt;=1,M22&lt;5)</formula>
    </cfRule>
  </conditionalFormatting>
  <conditionalFormatting sqref="M23">
    <cfRule type="expression" rank="0" priority="91" equalAverage="0" aboveAverage="0" dxfId="0" text="" percent="0" bottom="0">
      <formula>M23&gt;=20</formula>
    </cfRule>
    <cfRule type="expression" rank="0" priority="92" equalAverage="0" aboveAverage="0" dxfId="1" text="" percent="0" bottom="0">
      <formula>AND(M23&gt;=10,M23&lt;20)</formula>
    </cfRule>
    <cfRule type="expression" rank="0" priority="93" equalAverage="0" aboveAverage="0" dxfId="2" text="" percent="0" bottom="0">
      <formula>AND(M23&gt;=5,M23&lt;10)</formula>
    </cfRule>
    <cfRule type="expression" rank="0" priority="94" equalAverage="0" aboveAverage="0" dxfId="3" text="" percent="0" bottom="0">
      <formula>AND(M23&gt;=1,M23&lt;5)</formula>
    </cfRule>
  </conditionalFormatting>
  <conditionalFormatting sqref="M24">
    <cfRule type="expression" rank="0" priority="95" equalAverage="0" aboveAverage="0" dxfId="0" text="" percent="0" bottom="0">
      <formula>M24&gt;=20</formula>
    </cfRule>
    <cfRule type="expression" rank="0" priority="96" equalAverage="0" aboveAverage="0" dxfId="1" text="" percent="0" bottom="0">
      <formula>AND(M24&gt;=10,M24&lt;20)</formula>
    </cfRule>
    <cfRule type="expression" rank="0" priority="97" equalAverage="0" aboveAverage="0" dxfId="2" text="" percent="0" bottom="0">
      <formula>AND(M24&gt;=5,M24&lt;10)</formula>
    </cfRule>
    <cfRule type="expression" rank="0" priority="98" equalAverage="0" aboveAverage="0" dxfId="3" text="" percent="0" bottom="0">
      <formula>AND(M24&gt;=1,M24&lt;5)</formula>
    </cfRule>
  </conditionalFormatting>
  <conditionalFormatting sqref="M25">
    <cfRule type="expression" rank="0" priority="99" equalAverage="0" aboveAverage="0" dxfId="0" text="" percent="0" bottom="0">
      <formula>M25&gt;=20</formula>
    </cfRule>
    <cfRule type="expression" rank="0" priority="100" equalAverage="0" aboveAverage="0" dxfId="1" text="" percent="0" bottom="0">
      <formula>AND(M25&gt;=10,M25&lt;20)</formula>
    </cfRule>
    <cfRule type="expression" rank="0" priority="101" equalAverage="0" aboveAverage="0" dxfId="2" text="" percent="0" bottom="0">
      <formula>AND(M25&gt;=5,M25&lt;10)</formula>
    </cfRule>
    <cfRule type="expression" rank="0" priority="102" equalAverage="0" aboveAverage="0" dxfId="3" text="" percent="0" bottom="0">
      <formula>AND(M25&gt;=1,M25&lt;5)</formula>
    </cfRule>
  </conditionalFormatting>
  <conditionalFormatting sqref="M26">
    <cfRule type="expression" rank="0" priority="103" equalAverage="0" aboveAverage="0" dxfId="0" text="" percent="0" bottom="0">
      <formula>M26&gt;=20</formula>
    </cfRule>
    <cfRule type="expression" rank="0" priority="104" equalAverage="0" aboveAverage="0" dxfId="1" text="" percent="0" bottom="0">
      <formula>AND(M26&gt;=10,M26&lt;20)</formula>
    </cfRule>
    <cfRule type="expression" rank="0" priority="105" equalAverage="0" aboveAverage="0" dxfId="2" text="" percent="0" bottom="0">
      <formula>AND(M26&gt;=5,M26&lt;10)</formula>
    </cfRule>
    <cfRule type="expression" rank="0" priority="106" equalAverage="0" aboveAverage="0" dxfId="3" text="" percent="0" bottom="0">
      <formula>AND(M26&gt;=1,M26&lt;5)</formula>
    </cfRule>
  </conditionalFormatting>
  <conditionalFormatting sqref="M27">
    <cfRule type="expression" rank="0" priority="107" equalAverage="0" aboveAverage="0" dxfId="0" text="" percent="0" bottom="0">
      <formula>M27&gt;=20</formula>
    </cfRule>
    <cfRule type="expression" rank="0" priority="108" equalAverage="0" aboveAverage="0" dxfId="1" text="" percent="0" bottom="0">
      <formula>AND(M27&gt;=10,M27&lt;20)</formula>
    </cfRule>
    <cfRule type="expression" rank="0" priority="109" equalAverage="0" aboveAverage="0" dxfId="2" text="" percent="0" bottom="0">
      <formula>AND(M27&gt;=5,M27&lt;10)</formula>
    </cfRule>
    <cfRule type="expression" rank="0" priority="110" equalAverage="0" aboveAverage="0" dxfId="3" text="" percent="0" bottom="0">
      <formula>AND(M27&gt;=1,M27&lt;5)</formula>
    </cfRule>
  </conditionalFormatting>
  <conditionalFormatting sqref="M28">
    <cfRule type="expression" rank="0" priority="111" equalAverage="0" aboveAverage="0" dxfId="0" text="" percent="0" bottom="0">
      <formula>M28&gt;=20</formula>
    </cfRule>
    <cfRule type="expression" rank="0" priority="112" equalAverage="0" aboveAverage="0" dxfId="1" text="" percent="0" bottom="0">
      <formula>AND(M28&gt;=10,M28&lt;20)</formula>
    </cfRule>
    <cfRule type="expression" rank="0" priority="113" equalAverage="0" aboveAverage="0" dxfId="2" text="" percent="0" bottom="0">
      <formula>AND(M28&gt;=5,M28&lt;10)</formula>
    </cfRule>
    <cfRule type="expression" rank="0" priority="114" equalAverage="0" aboveAverage="0" dxfId="3" text="" percent="0" bottom="0">
      <formula>AND(M28&gt;=1,M28&lt;5)</formula>
    </cfRule>
  </conditionalFormatting>
  <conditionalFormatting sqref="M29">
    <cfRule type="expression" rank="0" priority="115" equalAverage="0" aboveAverage="0" dxfId="0" text="" percent="0" bottom="0">
      <formula>M29&gt;=20</formula>
    </cfRule>
    <cfRule type="expression" rank="0" priority="116" equalAverage="0" aboveAverage="0" dxfId="1" text="" percent="0" bottom="0">
      <formula>AND(M29&gt;=10,M29&lt;20)</formula>
    </cfRule>
    <cfRule type="expression" rank="0" priority="117" equalAverage="0" aboveAverage="0" dxfId="2" text="" percent="0" bottom="0">
      <formula>AND(M29&gt;=5,M29&lt;10)</formula>
    </cfRule>
    <cfRule type="expression" rank="0" priority="118" equalAverage="0" aboveAverage="0" dxfId="3" text="" percent="0" bottom="0">
      <formula>AND(M29&gt;=1,M29&lt;5)</formula>
    </cfRule>
  </conditionalFormatting>
  <conditionalFormatting sqref="M30">
    <cfRule type="expression" rank="0" priority="119" equalAverage="0" aboveAverage="0" dxfId="0" text="" percent="0" bottom="0">
      <formula>M30&gt;=20</formula>
    </cfRule>
    <cfRule type="expression" rank="0" priority="120" equalAverage="0" aboveAverage="0" dxfId="1" text="" percent="0" bottom="0">
      <formula>AND(M30&gt;=10,M30&lt;20)</formula>
    </cfRule>
    <cfRule type="expression" rank="0" priority="121" equalAverage="0" aboveAverage="0" dxfId="2" text="" percent="0" bottom="0">
      <formula>AND(M30&gt;=5,M30&lt;10)</formula>
    </cfRule>
    <cfRule type="expression" rank="0" priority="122" equalAverage="0" aboveAverage="0" dxfId="3" text="" percent="0" bottom="0">
      <formula>AND(M30&gt;=1,M30&lt;5)</formula>
    </cfRule>
  </conditionalFormatting>
  <conditionalFormatting sqref="M31">
    <cfRule type="expression" rank="0" priority="123" equalAverage="0" aboveAverage="0" dxfId="0" text="" percent="0" bottom="0">
      <formula>M31&gt;=20</formula>
    </cfRule>
    <cfRule type="expression" rank="0" priority="124" equalAverage="0" aboveAverage="0" dxfId="1" text="" percent="0" bottom="0">
      <formula>AND(M31&gt;=10,M31&lt;20)</formula>
    </cfRule>
    <cfRule type="expression" rank="0" priority="125" equalAverage="0" aboveAverage="0" dxfId="2" text="" percent="0" bottom="0">
      <formula>AND(M31&gt;=5,M31&lt;10)</formula>
    </cfRule>
    <cfRule type="expression" rank="0" priority="126" equalAverage="0" aboveAverage="0" dxfId="3" text="" percent="0" bottom="0">
      <formula>AND(M31&gt;=1,M31&lt;5)</formula>
    </cfRule>
  </conditionalFormatting>
  <conditionalFormatting sqref="M32">
    <cfRule type="expression" rank="0" priority="127" equalAverage="0" aboveAverage="0" dxfId="0" text="" percent="0" bottom="0">
      <formula>M32&gt;=20</formula>
    </cfRule>
    <cfRule type="expression" rank="0" priority="128" equalAverage="0" aboveAverage="0" dxfId="1" text="" percent="0" bottom="0">
      <formula>AND(M32&gt;=10,M32&lt;20)</formula>
    </cfRule>
    <cfRule type="expression" rank="0" priority="129" equalAverage="0" aboveAverage="0" dxfId="2" text="" percent="0" bottom="0">
      <formula>AND(M32&gt;=5,M32&lt;10)</formula>
    </cfRule>
    <cfRule type="expression" rank="0" priority="130" equalAverage="0" aboveAverage="0" dxfId="3" text="" percent="0" bottom="0">
      <formula>AND(M32&gt;=1,M32&lt;5)</formula>
    </cfRule>
  </conditionalFormatting>
  <conditionalFormatting sqref="M33">
    <cfRule type="expression" rank="0" priority="131" equalAverage="0" aboveAverage="0" dxfId="0" text="" percent="0" bottom="0">
      <formula>M33&gt;=20</formula>
    </cfRule>
    <cfRule type="expression" rank="0" priority="132" equalAverage="0" aboveAverage="0" dxfId="1" text="" percent="0" bottom="0">
      <formula>AND(M33&gt;=10,M33&lt;20)</formula>
    </cfRule>
    <cfRule type="expression" rank="0" priority="133" equalAverage="0" aboveAverage="0" dxfId="2" text="" percent="0" bottom="0">
      <formula>AND(M33&gt;=5,M33&lt;10)</formula>
    </cfRule>
    <cfRule type="expression" rank="0" priority="134" equalAverage="0" aboveAverage="0" dxfId="3" text="" percent="0" bottom="0">
      <formula>AND(M33&gt;=1,M33&lt;5)</formula>
    </cfRule>
  </conditionalFormatting>
  <conditionalFormatting sqref="M34">
    <cfRule type="expression" rank="0" priority="135" equalAverage="0" aboveAverage="0" dxfId="0" text="" percent="0" bottom="0">
      <formula>M34&gt;=20</formula>
    </cfRule>
    <cfRule type="expression" rank="0" priority="136" equalAverage="0" aboveAverage="0" dxfId="1" text="" percent="0" bottom="0">
      <formula>AND(M34&gt;=10,M34&lt;20)</formula>
    </cfRule>
    <cfRule type="expression" rank="0" priority="137" equalAverage="0" aboveAverage="0" dxfId="2" text="" percent="0" bottom="0">
      <formula>AND(M34&gt;=5,M34&lt;10)</formula>
    </cfRule>
    <cfRule type="expression" rank="0" priority="138" equalAverage="0" aboveAverage="0" dxfId="3" text="" percent="0" bottom="0">
      <formula>AND(M34&gt;=1,M34&lt;5)</formula>
    </cfRule>
  </conditionalFormatting>
  <conditionalFormatting sqref="M35">
    <cfRule type="expression" rank="0" priority="139" equalAverage="0" aboveAverage="0" dxfId="0" text="" percent="0" bottom="0">
      <formula>M35&gt;=20</formula>
    </cfRule>
    <cfRule type="expression" rank="0" priority="140" equalAverage="0" aboveAverage="0" dxfId="1" text="" percent="0" bottom="0">
      <formula>AND(M35&gt;=10,M35&lt;20)</formula>
    </cfRule>
    <cfRule type="expression" rank="0" priority="141" equalAverage="0" aboveAverage="0" dxfId="2" text="" percent="0" bottom="0">
      <formula>AND(M35&gt;=5,M35&lt;10)</formula>
    </cfRule>
    <cfRule type="expression" rank="0" priority="142" equalAverage="0" aboveAverage="0" dxfId="3" text="" percent="0" bottom="0">
      <formula>AND(M35&gt;=1,M35&lt;5)</formula>
    </cfRule>
  </conditionalFormatting>
  <conditionalFormatting sqref="M36">
    <cfRule type="expression" rank="0" priority="143" equalAverage="0" aboveAverage="0" dxfId="0" text="" percent="0" bottom="0">
      <formula>M36&gt;=20</formula>
    </cfRule>
    <cfRule type="expression" rank="0" priority="144" equalAverage="0" aboveAverage="0" dxfId="1" text="" percent="0" bottom="0">
      <formula>AND(M36&gt;=10,M36&lt;20)</formula>
    </cfRule>
    <cfRule type="expression" rank="0" priority="145" equalAverage="0" aboveAverage="0" dxfId="2" text="" percent="0" bottom="0">
      <formula>AND(M36&gt;=5,M36&lt;10)</formula>
    </cfRule>
    <cfRule type="expression" rank="0" priority="146" equalAverage="0" aboveAverage="0" dxfId="3" text="" percent="0" bottom="0">
      <formula>AND(M36&gt;=1,M36&lt;5)</formula>
    </cfRule>
  </conditionalFormatting>
  <conditionalFormatting sqref="M37">
    <cfRule type="expression" rank="0" priority="147" equalAverage="0" aboveAverage="0" dxfId="0" text="" percent="0" bottom="0">
      <formula>M37&gt;=20</formula>
    </cfRule>
    <cfRule type="expression" rank="0" priority="148" equalAverage="0" aboveAverage="0" dxfId="1" text="" percent="0" bottom="0">
      <formula>AND(M37&gt;=10,M37&lt;20)</formula>
    </cfRule>
    <cfRule type="expression" rank="0" priority="149" equalAverage="0" aboveAverage="0" dxfId="2" text="" percent="0" bottom="0">
      <formula>AND(M37&gt;=5,M37&lt;10)</formula>
    </cfRule>
    <cfRule type="expression" rank="0" priority="150" equalAverage="0" aboveAverage="0" dxfId="3" text="" percent="0" bottom="0">
      <formula>AND(M37&gt;=1,M37&lt;5)</formula>
    </cfRule>
  </conditionalFormatting>
  <conditionalFormatting sqref="M38">
    <cfRule type="expression" rank="0" priority="151" equalAverage="0" aboveAverage="0" dxfId="0" text="" percent="0" bottom="0">
      <formula>M38&gt;=20</formula>
    </cfRule>
    <cfRule type="expression" rank="0" priority="152" equalAverage="0" aboveAverage="0" dxfId="1" text="" percent="0" bottom="0">
      <formula>AND(M38&gt;=10,M38&lt;20)</formula>
    </cfRule>
    <cfRule type="expression" rank="0" priority="153" equalAverage="0" aboveAverage="0" dxfId="2" text="" percent="0" bottom="0">
      <formula>AND(M38&gt;=5,M38&lt;10)</formula>
    </cfRule>
    <cfRule type="expression" rank="0" priority="154" equalAverage="0" aboveAverage="0" dxfId="3" text="" percent="0" bottom="0">
      <formula>AND(M38&gt;=1,M38&lt;5)</formula>
    </cfRule>
  </conditionalFormatting>
  <conditionalFormatting sqref="M39">
    <cfRule type="expression" rank="0" priority="155" equalAverage="0" aboveAverage="0" dxfId="0" text="" percent="0" bottom="0">
      <formula>M39&gt;=20</formula>
    </cfRule>
    <cfRule type="expression" rank="0" priority="156" equalAverage="0" aboveAverage="0" dxfId="1" text="" percent="0" bottom="0">
      <formula>AND(M39&gt;=10,M39&lt;20)</formula>
    </cfRule>
    <cfRule type="expression" rank="0" priority="157" equalAverage="0" aboveAverage="0" dxfId="2" text="" percent="0" bottom="0">
      <formula>AND(M39&gt;=5,M39&lt;10)</formula>
    </cfRule>
    <cfRule type="expression" rank="0" priority="158" equalAverage="0" aboveAverage="0" dxfId="3" text="" percent="0" bottom="0">
      <formula>AND(M39&gt;=1,M39&lt;5)</formula>
    </cfRule>
  </conditionalFormatting>
  <conditionalFormatting sqref="M40">
    <cfRule type="expression" rank="0" priority="159" equalAverage="0" aboveAverage="0" dxfId="0" text="" percent="0" bottom="0">
      <formula>M40&gt;=20</formula>
    </cfRule>
    <cfRule type="expression" rank="0" priority="160" equalAverage="0" aboveAverage="0" dxfId="1" text="" percent="0" bottom="0">
      <formula>AND(M40&gt;=10,M40&lt;20)</formula>
    </cfRule>
    <cfRule type="expression" rank="0" priority="161" equalAverage="0" aboveAverage="0" dxfId="2" text="" percent="0" bottom="0">
      <formula>AND(M40&gt;=5,M40&lt;10)</formula>
    </cfRule>
    <cfRule type="expression" rank="0" priority="162" equalAverage="0" aboveAverage="0" dxfId="3" text="" percent="0" bottom="0">
      <formula>AND(M40&gt;=1,M40&lt;5)</formula>
    </cfRule>
  </conditionalFormatting>
  <conditionalFormatting sqref="M41">
    <cfRule type="expression" rank="0" priority="163" equalAverage="0" aboveAverage="0" dxfId="0" text="" percent="0" bottom="0">
      <formula>M41&gt;=20</formula>
    </cfRule>
    <cfRule type="expression" rank="0" priority="164" equalAverage="0" aboveAverage="0" dxfId="1" text="" percent="0" bottom="0">
      <formula>AND(M41&gt;=10,M41&lt;20)</formula>
    </cfRule>
    <cfRule type="expression" rank="0" priority="165" equalAverage="0" aboveAverage="0" dxfId="2" text="" percent="0" bottom="0">
      <formula>AND(M41&gt;=5,M41&lt;10)</formula>
    </cfRule>
    <cfRule type="expression" rank="0" priority="166" equalAverage="0" aboveAverage="0" dxfId="3" text="" percent="0" bottom="0">
      <formula>AND(M41&gt;=1,M41&lt;5)</formula>
    </cfRule>
  </conditionalFormatting>
  <conditionalFormatting sqref="M42">
    <cfRule type="expression" rank="0" priority="167" equalAverage="0" aboveAverage="0" dxfId="0" text="" percent="0" bottom="0">
      <formula>M42&gt;=20</formula>
    </cfRule>
    <cfRule type="expression" rank="0" priority="168" equalAverage="0" aboveAverage="0" dxfId="1" text="" percent="0" bottom="0">
      <formula>AND(M42&gt;=10,M42&lt;20)</formula>
    </cfRule>
    <cfRule type="expression" rank="0" priority="169" equalAverage="0" aboveAverage="0" dxfId="2" text="" percent="0" bottom="0">
      <formula>AND(M42&gt;=5,M42&lt;10)</formula>
    </cfRule>
    <cfRule type="expression" rank="0" priority="170" equalAverage="0" aboveAverage="0" dxfId="3" text="" percent="0" bottom="0">
      <formula>AND(M42&gt;=1,M42&lt;5)</formula>
    </cfRule>
  </conditionalFormatting>
  <conditionalFormatting sqref="M43">
    <cfRule type="expression" rank="0" priority="171" equalAverage="0" aboveAverage="0" dxfId="0" text="" percent="0" bottom="0">
      <formula>M43&gt;=20</formula>
    </cfRule>
    <cfRule type="expression" rank="0" priority="172" equalAverage="0" aboveAverage="0" dxfId="1" text="" percent="0" bottom="0">
      <formula>AND(M43&gt;=10,M43&lt;20)</formula>
    </cfRule>
    <cfRule type="expression" rank="0" priority="173" equalAverage="0" aboveAverage="0" dxfId="2" text="" percent="0" bottom="0">
      <formula>AND(M43&gt;=5,M43&lt;10)</formula>
    </cfRule>
    <cfRule type="expression" rank="0" priority="174" equalAverage="0" aboveAverage="0" dxfId="3" text="" percent="0" bottom="0">
      <formula>AND(M43&gt;=1,M43&lt;5)</formula>
    </cfRule>
  </conditionalFormatting>
  <conditionalFormatting sqref="M44">
    <cfRule type="expression" rank="0" priority="175" equalAverage="0" aboveAverage="0" dxfId="0" text="" percent="0" bottom="0">
      <formula>M44&gt;=20</formula>
    </cfRule>
    <cfRule type="expression" rank="0" priority="176" equalAverage="0" aboveAverage="0" dxfId="1" text="" percent="0" bottom="0">
      <formula>AND(M44&gt;=10,M44&lt;20)</formula>
    </cfRule>
    <cfRule type="expression" rank="0" priority="177" equalAverage="0" aboveAverage="0" dxfId="2" text="" percent="0" bottom="0">
      <formula>AND(M44&gt;=5,M44&lt;10)</formula>
    </cfRule>
    <cfRule type="expression" rank="0" priority="178" equalAverage="0" aboveAverage="0" dxfId="3" text="" percent="0" bottom="0">
      <formula>AND(M44&gt;=1,M44&lt;5)</formula>
    </cfRule>
  </conditionalFormatting>
  <conditionalFormatting sqref="M45">
    <cfRule type="expression" rank="0" priority="179" equalAverage="0" aboveAverage="0" dxfId="0" text="" percent="0" bottom="0">
      <formula>M45&gt;=20</formula>
    </cfRule>
    <cfRule type="expression" rank="0" priority="180" equalAverage="0" aboveAverage="0" dxfId="1" text="" percent="0" bottom="0">
      <formula>AND(M45&gt;=10,M45&lt;20)</formula>
    </cfRule>
    <cfRule type="expression" rank="0" priority="181" equalAverage="0" aboveAverage="0" dxfId="2" text="" percent="0" bottom="0">
      <formula>AND(M45&gt;=5,M45&lt;10)</formula>
    </cfRule>
    <cfRule type="expression" rank="0" priority="182" equalAverage="0" aboveAverage="0" dxfId="3" text="" percent="0" bottom="0">
      <formula>AND(M45&gt;=1,M45&lt;5)</formula>
    </cfRule>
  </conditionalFormatting>
  <conditionalFormatting sqref="M46">
    <cfRule type="expression" rank="0" priority="183" equalAverage="0" aboveAverage="0" dxfId="0" text="" percent="0" bottom="0">
      <formula>M46&gt;=20</formula>
    </cfRule>
    <cfRule type="expression" rank="0" priority="184" equalAverage="0" aboveAverage="0" dxfId="1" text="" percent="0" bottom="0">
      <formula>AND(M46&gt;=10,M46&lt;20)</formula>
    </cfRule>
    <cfRule type="expression" rank="0" priority="185" equalAverage="0" aboveAverage="0" dxfId="2" text="" percent="0" bottom="0">
      <formula>AND(M46&gt;=5,M46&lt;10)</formula>
    </cfRule>
    <cfRule type="expression" rank="0" priority="186" equalAverage="0" aboveAverage="0" dxfId="3" text="" percent="0" bottom="0">
      <formula>AND(M46&gt;=1,M46&lt;5)</formula>
    </cfRule>
  </conditionalFormatting>
  <conditionalFormatting sqref="M47">
    <cfRule type="expression" rank="0" priority="187" equalAverage="0" aboveAverage="0" dxfId="0" text="" percent="0" bottom="0">
      <formula>M47&gt;=20</formula>
    </cfRule>
    <cfRule type="expression" rank="0" priority="188" equalAverage="0" aboveAverage="0" dxfId="1" text="" percent="0" bottom="0">
      <formula>AND(M47&gt;=10,M47&lt;20)</formula>
    </cfRule>
    <cfRule type="expression" rank="0" priority="189" equalAverage="0" aboveAverage="0" dxfId="2" text="" percent="0" bottom="0">
      <formula>AND(M47&gt;=5,M47&lt;10)</formula>
    </cfRule>
    <cfRule type="expression" rank="0" priority="190" equalAverage="0" aboveAverage="0" dxfId="3" text="" percent="0" bottom="0">
      <formula>AND(M47&gt;=1,M47&lt;5)</formula>
    </cfRule>
  </conditionalFormatting>
  <conditionalFormatting sqref="M48">
    <cfRule type="expression" rank="0" priority="191" equalAverage="0" aboveAverage="0" dxfId="0" text="" percent="0" bottom="0">
      <formula>M48&gt;=20</formula>
    </cfRule>
    <cfRule type="expression" rank="0" priority="192" equalAverage="0" aboveAverage="0" dxfId="1" text="" percent="0" bottom="0">
      <formula>AND(M48&gt;=10,M48&lt;20)</formula>
    </cfRule>
    <cfRule type="expression" rank="0" priority="193" equalAverage="0" aboveAverage="0" dxfId="2" text="" percent="0" bottom="0">
      <formula>AND(M48&gt;=5,M48&lt;10)</formula>
    </cfRule>
    <cfRule type="expression" rank="0" priority="194" equalAverage="0" aboveAverage="0" dxfId="3" text="" percent="0" bottom="0">
      <formula>AND(M48&gt;=1,M48&lt;5)</formula>
    </cfRule>
  </conditionalFormatting>
  <conditionalFormatting sqref="M49">
    <cfRule type="expression" rank="0" priority="195" equalAverage="0" aboveAverage="0" dxfId="0" text="" percent="0" bottom="0">
      <formula>M49&gt;=20</formula>
    </cfRule>
    <cfRule type="expression" rank="0" priority="196" equalAverage="0" aboveAverage="0" dxfId="1" text="" percent="0" bottom="0">
      <formula>AND(M49&gt;=10,M49&lt;20)</formula>
    </cfRule>
    <cfRule type="expression" rank="0" priority="197" equalAverage="0" aboveAverage="0" dxfId="2" text="" percent="0" bottom="0">
      <formula>AND(M49&gt;=5,M49&lt;10)</formula>
    </cfRule>
    <cfRule type="expression" rank="0" priority="198" equalAverage="0" aboveAverage="0" dxfId="3" text="" percent="0" bottom="0">
      <formula>AND(M49&gt;=1,M49&lt;5)</formula>
    </cfRule>
  </conditionalFormatting>
  <conditionalFormatting sqref="M50">
    <cfRule type="expression" rank="0" priority="199" equalAverage="0" aboveAverage="0" dxfId="0" text="" percent="0" bottom="0">
      <formula>M50&gt;=20</formula>
    </cfRule>
    <cfRule type="expression" rank="0" priority="200" equalAverage="0" aboveAverage="0" dxfId="1" text="" percent="0" bottom="0">
      <formula>AND(M50&gt;=10,M50&lt;20)</formula>
    </cfRule>
    <cfRule type="expression" rank="0" priority="201" equalAverage="0" aboveAverage="0" dxfId="2" text="" percent="0" bottom="0">
      <formula>AND(M50&gt;=5,M50&lt;10)</formula>
    </cfRule>
    <cfRule type="expression" rank="0" priority="202" equalAverage="0" aboveAverage="0" dxfId="3" text="" percent="0" bottom="0">
      <formula>AND(M50&gt;=1,M50&lt;5)</formula>
    </cfRule>
  </conditionalFormatting>
  <conditionalFormatting sqref="M51">
    <cfRule type="expression" rank="0" priority="203" equalAverage="0" aboveAverage="0" dxfId="0" text="" percent="0" bottom="0">
      <formula>M51&gt;=20</formula>
    </cfRule>
    <cfRule type="expression" rank="0" priority="204" equalAverage="0" aboveAverage="0" dxfId="1" text="" percent="0" bottom="0">
      <formula>AND(M51&gt;=10,M51&lt;20)</formula>
    </cfRule>
    <cfRule type="expression" rank="0" priority="205" equalAverage="0" aboveAverage="0" dxfId="2" text="" percent="0" bottom="0">
      <formula>AND(M51&gt;=5,M51&lt;10)</formula>
    </cfRule>
    <cfRule type="expression" rank="0" priority="206" equalAverage="0" aboveAverage="0" dxfId="3" text="" percent="0" bottom="0">
      <formula>AND(M51&gt;=1,M51&lt;5)</formula>
    </cfRule>
  </conditionalFormatting>
  <conditionalFormatting sqref="M52">
    <cfRule type="expression" rank="0" priority="207" equalAverage="0" aboveAverage="0" dxfId="0" text="" percent="0" bottom="0">
      <formula>M52&gt;=20</formula>
    </cfRule>
    <cfRule type="expression" rank="0" priority="208" equalAverage="0" aboveAverage="0" dxfId="1" text="" percent="0" bottom="0">
      <formula>AND(M52&gt;=10,M52&lt;20)</formula>
    </cfRule>
    <cfRule type="expression" rank="0" priority="209" equalAverage="0" aboveAverage="0" dxfId="2" text="" percent="0" bottom="0">
      <formula>AND(M52&gt;=5,M52&lt;10)</formula>
    </cfRule>
    <cfRule type="expression" rank="0" priority="210" equalAverage="0" aboveAverage="0" dxfId="3" text="" percent="0" bottom="0">
      <formula>AND(M52&gt;=1,M52&lt;5)</formula>
    </cfRule>
  </conditionalFormatting>
  <conditionalFormatting sqref="M53">
    <cfRule type="expression" rank="0" priority="211" equalAverage="0" aboveAverage="0" dxfId="0" text="" percent="0" bottom="0">
      <formula>M53&gt;=20</formula>
    </cfRule>
    <cfRule type="expression" rank="0" priority="212" equalAverage="0" aboveAverage="0" dxfId="1" text="" percent="0" bottom="0">
      <formula>AND(M53&gt;=10,M53&lt;20)</formula>
    </cfRule>
    <cfRule type="expression" rank="0" priority="213" equalAverage="0" aboveAverage="0" dxfId="2" text="" percent="0" bottom="0">
      <formula>AND(M53&gt;=5,M53&lt;10)</formula>
    </cfRule>
    <cfRule type="expression" rank="0" priority="214" equalAverage="0" aboveAverage="0" dxfId="3" text="" percent="0" bottom="0">
      <formula>AND(M53&gt;=1,M53&lt;5)</formula>
    </cfRule>
  </conditionalFormatting>
  <conditionalFormatting sqref="M54">
    <cfRule type="expression" rank="0" priority="215" equalAverage="0" aboveAverage="0" dxfId="0" text="" percent="0" bottom="0">
      <formula>M54&gt;=20</formula>
    </cfRule>
    <cfRule type="expression" rank="0" priority="216" equalAverage="0" aboveAverage="0" dxfId="1" text="" percent="0" bottom="0">
      <formula>AND(M54&gt;=10,M54&lt;20)</formula>
    </cfRule>
    <cfRule type="expression" rank="0" priority="217" equalAverage="0" aboveAverage="0" dxfId="2" text="" percent="0" bottom="0">
      <formula>AND(M54&gt;=5,M54&lt;10)</formula>
    </cfRule>
    <cfRule type="expression" rank="0" priority="218" equalAverage="0" aboveAverage="0" dxfId="3" text="" percent="0" bottom="0">
      <formula>AND(M54&gt;=1,M54&lt;5)</formula>
    </cfRule>
  </conditionalFormatting>
  <conditionalFormatting sqref="M55">
    <cfRule type="expression" rank="0" priority="219" equalAverage="0" aboveAverage="0" dxfId="0" text="" percent="0" bottom="0">
      <formula>M55&gt;=20</formula>
    </cfRule>
    <cfRule type="expression" rank="0" priority="220" equalAverage="0" aboveAverage="0" dxfId="1" text="" percent="0" bottom="0">
      <formula>AND(M55&gt;=10,M55&lt;20)</formula>
    </cfRule>
    <cfRule type="expression" rank="0" priority="221" equalAverage="0" aboveAverage="0" dxfId="2" text="" percent="0" bottom="0">
      <formula>AND(M55&gt;=5,M55&lt;10)</formula>
    </cfRule>
    <cfRule type="expression" rank="0" priority="222" equalAverage="0" aboveAverage="0" dxfId="3" text="" percent="0" bottom="0">
      <formula>AND(M55&gt;=1,M55&lt;5)</formula>
    </cfRule>
  </conditionalFormatting>
  <conditionalFormatting sqref="M56">
    <cfRule type="expression" rank="0" priority="223" equalAverage="0" aboveAverage="0" dxfId="0" text="" percent="0" bottom="0">
      <formula>M56&gt;=20</formula>
    </cfRule>
    <cfRule type="expression" rank="0" priority="224" equalAverage="0" aboveAverage="0" dxfId="1" text="" percent="0" bottom="0">
      <formula>AND(M56&gt;=10,M56&lt;20)</formula>
    </cfRule>
    <cfRule type="expression" rank="0" priority="225" equalAverage="0" aboveAverage="0" dxfId="2" text="" percent="0" bottom="0">
      <formula>AND(M56&gt;=5,M56&lt;10)</formula>
    </cfRule>
    <cfRule type="expression" rank="0" priority="226" equalAverage="0" aboveAverage="0" dxfId="3" text="" percent="0" bottom="0">
      <formula>AND(M56&gt;=1,M56&lt;5)</formula>
    </cfRule>
  </conditionalFormatting>
  <conditionalFormatting sqref="M57">
    <cfRule type="expression" rank="0" priority="227" equalAverage="0" aboveAverage="0" dxfId="0" text="" percent="0" bottom="0">
      <formula>M57&gt;=20</formula>
    </cfRule>
    <cfRule type="expression" rank="0" priority="228" equalAverage="0" aboveAverage="0" dxfId="1" text="" percent="0" bottom="0">
      <formula>AND(M57&gt;=10,M57&lt;20)</formula>
    </cfRule>
    <cfRule type="expression" rank="0" priority="229" equalAverage="0" aboveAverage="0" dxfId="2" text="" percent="0" bottom="0">
      <formula>AND(M57&gt;=5,M57&lt;10)</formula>
    </cfRule>
    <cfRule type="expression" rank="0" priority="230" equalAverage="0" aboveAverage="0" dxfId="3" text="" percent="0" bottom="0">
      <formula>AND(M57&gt;=1,M57&lt;5)</formula>
    </cfRule>
  </conditionalFormatting>
  <conditionalFormatting sqref="M58">
    <cfRule type="expression" rank="0" priority="231" equalAverage="0" aboveAverage="0" dxfId="0" text="" percent="0" bottom="0">
      <formula>M58&gt;=20</formula>
    </cfRule>
    <cfRule type="expression" rank="0" priority="232" equalAverage="0" aboveAverage="0" dxfId="1" text="" percent="0" bottom="0">
      <formula>AND(M58&gt;=10,M58&lt;20)</formula>
    </cfRule>
    <cfRule type="expression" rank="0" priority="233" equalAverage="0" aboveAverage="0" dxfId="2" text="" percent="0" bottom="0">
      <formula>AND(M58&gt;=5,M58&lt;10)</formula>
    </cfRule>
    <cfRule type="expression" rank="0" priority="234" equalAverage="0" aboveAverage="0" dxfId="3" text="" percent="0" bottom="0">
      <formula>AND(M58&gt;=1,M58&lt;5)</formula>
    </cfRule>
  </conditionalFormatting>
  <conditionalFormatting sqref="M59">
    <cfRule type="expression" rank="0" priority="235" equalAverage="0" aboveAverage="0" dxfId="0" text="" percent="0" bottom="0">
      <formula>M59&gt;=20</formula>
    </cfRule>
    <cfRule type="expression" rank="0" priority="236" equalAverage="0" aboveAverage="0" dxfId="1" text="" percent="0" bottom="0">
      <formula>AND(M59&gt;=10,M59&lt;20)</formula>
    </cfRule>
    <cfRule type="expression" rank="0" priority="237" equalAverage="0" aboveAverage="0" dxfId="2" text="" percent="0" bottom="0">
      <formula>AND(M59&gt;=5,M59&lt;10)</formula>
    </cfRule>
    <cfRule type="expression" rank="0" priority="238" equalAverage="0" aboveAverage="0" dxfId="3" text="" percent="0" bottom="0">
      <formula>AND(M59&gt;=1,M59&lt;5)</formula>
    </cfRule>
  </conditionalFormatting>
  <conditionalFormatting sqref="M60">
    <cfRule type="expression" rank="0" priority="239" equalAverage="0" aboveAverage="0" dxfId="0" text="" percent="0" bottom="0">
      <formula>M60&gt;=20</formula>
    </cfRule>
    <cfRule type="expression" rank="0" priority="240" equalAverage="0" aboveAverage="0" dxfId="1" text="" percent="0" bottom="0">
      <formula>AND(M60&gt;=10,M60&lt;20)</formula>
    </cfRule>
    <cfRule type="expression" rank="0" priority="241" equalAverage="0" aboveAverage="0" dxfId="2" text="" percent="0" bottom="0">
      <formula>AND(M60&gt;=5,M60&lt;10)</formula>
    </cfRule>
    <cfRule type="expression" rank="0" priority="242" equalAverage="0" aboveAverage="0" dxfId="3" text="" percent="0" bottom="0">
      <formula>AND(M60&gt;=1,M60&lt;5)</formula>
    </cfRule>
  </conditionalFormatting>
  <conditionalFormatting sqref="M61">
    <cfRule type="expression" rank="0" priority="243" equalAverage="0" aboveAverage="0" dxfId="0" text="" percent="0" bottom="0">
      <formula>M61&gt;=20</formula>
    </cfRule>
    <cfRule type="expression" rank="0" priority="244" equalAverage="0" aboveAverage="0" dxfId="1" text="" percent="0" bottom="0">
      <formula>AND(M61&gt;=10,M61&lt;20)</formula>
    </cfRule>
    <cfRule type="expression" rank="0" priority="245" equalAverage="0" aboveAverage="0" dxfId="2" text="" percent="0" bottom="0">
      <formula>AND(M61&gt;=5,M61&lt;10)</formula>
    </cfRule>
    <cfRule type="expression" rank="0" priority="246" equalAverage="0" aboveAverage="0" dxfId="3" text="" percent="0" bottom="0">
      <formula>AND(M61&gt;=1,M61&lt;5)</formula>
    </cfRule>
  </conditionalFormatting>
  <conditionalFormatting sqref="M62">
    <cfRule type="expression" rank="0" priority="247" equalAverage="0" aboveAverage="0" dxfId="0" text="" percent="0" bottom="0">
      <formula>M62&gt;=20</formula>
    </cfRule>
    <cfRule type="expression" rank="0" priority="248" equalAverage="0" aboveAverage="0" dxfId="1" text="" percent="0" bottom="0">
      <formula>AND(M62&gt;=10,M62&lt;20)</formula>
    </cfRule>
    <cfRule type="expression" rank="0" priority="249" equalAverage="0" aboveAverage="0" dxfId="2" text="" percent="0" bottom="0">
      <formula>AND(M62&gt;=5,M62&lt;10)</formula>
    </cfRule>
    <cfRule type="expression" rank="0" priority="250" equalAverage="0" aboveAverage="0" dxfId="3" text="" percent="0" bottom="0">
      <formula>AND(M62&gt;=1,M62&lt;5)</formula>
    </cfRule>
  </conditionalFormatting>
  <conditionalFormatting sqref="M63">
    <cfRule type="expression" rank="0" priority="251" equalAverage="0" aboveAverage="0" dxfId="0" text="" percent="0" bottom="0">
      <formula>M63&gt;=20</formula>
    </cfRule>
    <cfRule type="expression" rank="0" priority="252" equalAverage="0" aboveAverage="0" dxfId="1" text="" percent="0" bottom="0">
      <formula>AND(M63&gt;=10,M63&lt;20)</formula>
    </cfRule>
    <cfRule type="expression" rank="0" priority="253" equalAverage="0" aboveAverage="0" dxfId="2" text="" percent="0" bottom="0">
      <formula>AND(M63&gt;=5,M63&lt;10)</formula>
    </cfRule>
    <cfRule type="expression" rank="0" priority="254" equalAverage="0" aboveAverage="0" dxfId="3" text="" percent="0" bottom="0">
      <formula>AND(M63&gt;=1,M63&lt;5)</formula>
    </cfRule>
  </conditionalFormatting>
  <conditionalFormatting sqref="M64">
    <cfRule type="expression" rank="0" priority="255" equalAverage="0" aboveAverage="0" dxfId="0" text="" percent="0" bottom="0">
      <formula>M64&gt;=20</formula>
    </cfRule>
    <cfRule type="expression" rank="0" priority="256" equalAverage="0" aboveAverage="0" dxfId="1" text="" percent="0" bottom="0">
      <formula>AND(M64&gt;=10,M64&lt;20)</formula>
    </cfRule>
    <cfRule type="expression" rank="0" priority="257" equalAverage="0" aboveAverage="0" dxfId="2" text="" percent="0" bottom="0">
      <formula>AND(M64&gt;=5,M64&lt;10)</formula>
    </cfRule>
    <cfRule type="expression" rank="0" priority="258" equalAverage="0" aboveAverage="0" dxfId="3" text="" percent="0" bottom="0">
      <formula>AND(M64&gt;=1,M64&lt;5)</formula>
    </cfRule>
  </conditionalFormatting>
  <conditionalFormatting sqref="M65">
    <cfRule type="expression" rank="0" priority="259" equalAverage="0" aboveAverage="0" dxfId="0" text="" percent="0" bottom="0">
      <formula>M65&gt;=20</formula>
    </cfRule>
    <cfRule type="expression" rank="0" priority="260" equalAverage="0" aboveAverage="0" dxfId="1" text="" percent="0" bottom="0">
      <formula>AND(M65&gt;=10,M65&lt;20)</formula>
    </cfRule>
    <cfRule type="expression" rank="0" priority="261" equalAverage="0" aboveAverage="0" dxfId="2" text="" percent="0" bottom="0">
      <formula>AND(M65&gt;=5,M65&lt;10)</formula>
    </cfRule>
    <cfRule type="expression" rank="0" priority="262" equalAverage="0" aboveAverage="0" dxfId="3" text="" percent="0" bottom="0">
      <formula>AND(M65&gt;=1,M65&lt;5)</formula>
    </cfRule>
  </conditionalFormatting>
  <conditionalFormatting sqref="M66">
    <cfRule type="expression" rank="0" priority="263" equalAverage="0" aboveAverage="0" dxfId="0" text="" percent="0" bottom="0">
      <formula>M66&gt;=20</formula>
    </cfRule>
    <cfRule type="expression" rank="0" priority="264" equalAverage="0" aboveAverage="0" dxfId="1" text="" percent="0" bottom="0">
      <formula>AND(M66&gt;=10,M66&lt;20)</formula>
    </cfRule>
    <cfRule type="expression" rank="0" priority="265" equalAverage="0" aboveAverage="0" dxfId="2" text="" percent="0" bottom="0">
      <formula>AND(M66&gt;=5,M66&lt;10)</formula>
    </cfRule>
    <cfRule type="expression" rank="0" priority="266" equalAverage="0" aboveAverage="0" dxfId="3" text="" percent="0" bottom="0">
      <formula>AND(M66&gt;=1,M66&lt;5)</formula>
    </cfRule>
  </conditionalFormatting>
  <conditionalFormatting sqref="M67">
    <cfRule type="expression" rank="0" priority="267" equalAverage="0" aboveAverage="0" dxfId="0" text="" percent="0" bottom="0">
      <formula>M67&gt;=20</formula>
    </cfRule>
    <cfRule type="expression" rank="0" priority="268" equalAverage="0" aboveAverage="0" dxfId="1" text="" percent="0" bottom="0">
      <formula>AND(M67&gt;=10,M67&lt;20)</formula>
    </cfRule>
    <cfRule type="expression" rank="0" priority="269" equalAverage="0" aboveAverage="0" dxfId="2" text="" percent="0" bottom="0">
      <formula>AND(M67&gt;=5,M67&lt;10)</formula>
    </cfRule>
    <cfRule type="expression" rank="0" priority="270" equalAverage="0" aboveAverage="0" dxfId="3" text="" percent="0" bottom="0">
      <formula>AND(M67&gt;=1,M67&lt;5)</formula>
    </cfRule>
  </conditionalFormatting>
  <conditionalFormatting sqref="M68">
    <cfRule type="expression" rank="0" priority="271" equalAverage="0" aboveAverage="0" dxfId="0" text="" percent="0" bottom="0">
      <formula>M68&gt;=20</formula>
    </cfRule>
    <cfRule type="expression" rank="0" priority="272" equalAverage="0" aboveAverage="0" dxfId="1" text="" percent="0" bottom="0">
      <formula>AND(M68&gt;=10,M68&lt;20)</formula>
    </cfRule>
    <cfRule type="expression" rank="0" priority="273" equalAverage="0" aboveAverage="0" dxfId="2" text="" percent="0" bottom="0">
      <formula>AND(M68&gt;=5,M68&lt;10)</formula>
    </cfRule>
    <cfRule type="expression" rank="0" priority="274" equalAverage="0" aboveAverage="0" dxfId="3" text="" percent="0" bottom="0">
      <formula>AND(M68&gt;=1,M68&lt;5)</formula>
    </cfRule>
  </conditionalFormatting>
  <conditionalFormatting sqref="M69">
    <cfRule type="expression" rank="0" priority="275" equalAverage="0" aboveAverage="0" dxfId="0" text="" percent="0" bottom="0">
      <formula>M69&gt;=20</formula>
    </cfRule>
    <cfRule type="expression" rank="0" priority="276" equalAverage="0" aboveAverage="0" dxfId="1" text="" percent="0" bottom="0">
      <formula>AND(M69&gt;=10,M69&lt;20)</formula>
    </cfRule>
    <cfRule type="expression" rank="0" priority="277" equalAverage="0" aboveAverage="0" dxfId="2" text="" percent="0" bottom="0">
      <formula>AND(M69&gt;=5,M69&lt;10)</formula>
    </cfRule>
    <cfRule type="expression" rank="0" priority="278" equalAverage="0" aboveAverage="0" dxfId="3" text="" percent="0" bottom="0">
      <formula>AND(M69&gt;=1,M69&lt;5)</formula>
    </cfRule>
  </conditionalFormatting>
  <conditionalFormatting sqref="M70">
    <cfRule type="expression" rank="0" priority="279" equalAverage="0" aboveAverage="0" dxfId="0" text="" percent="0" bottom="0">
      <formula>M70&gt;=20</formula>
    </cfRule>
    <cfRule type="expression" rank="0" priority="280" equalAverage="0" aboveAverage="0" dxfId="1" text="" percent="0" bottom="0">
      <formula>AND(M70&gt;=10,M70&lt;20)</formula>
    </cfRule>
    <cfRule type="expression" rank="0" priority="281" equalAverage="0" aboveAverage="0" dxfId="2" text="" percent="0" bottom="0">
      <formula>AND(M70&gt;=5,M70&lt;10)</formula>
    </cfRule>
    <cfRule type="expression" rank="0" priority="282" equalAverage="0" aboveAverage="0" dxfId="3" text="" percent="0" bottom="0">
      <formula>AND(M70&gt;=1,M70&lt;5)</formula>
    </cfRule>
  </conditionalFormatting>
  <conditionalFormatting sqref="M71">
    <cfRule type="expression" rank="0" priority="283" equalAverage="0" aboveAverage="0" dxfId="0" text="" percent="0" bottom="0">
      <formula>M71&gt;=20</formula>
    </cfRule>
    <cfRule type="expression" rank="0" priority="284" equalAverage="0" aboveAverage="0" dxfId="1" text="" percent="0" bottom="0">
      <formula>AND(M71&gt;=10,M71&lt;20)</formula>
    </cfRule>
    <cfRule type="expression" rank="0" priority="285" equalAverage="0" aboveAverage="0" dxfId="2" text="" percent="0" bottom="0">
      <formula>AND(M71&gt;=5,M71&lt;10)</formula>
    </cfRule>
    <cfRule type="expression" rank="0" priority="286" equalAverage="0" aboveAverage="0" dxfId="3" text="" percent="0" bottom="0">
      <formula>AND(M71&gt;=1,M71&lt;5)</formula>
    </cfRule>
  </conditionalFormatting>
  <conditionalFormatting sqref="M72">
    <cfRule type="expression" rank="0" priority="287" equalAverage="0" aboveAverage="0" dxfId="0" text="" percent="0" bottom="0">
      <formula>M72&gt;=20</formula>
    </cfRule>
    <cfRule type="expression" rank="0" priority="288" equalAverage="0" aboveAverage="0" dxfId="1" text="" percent="0" bottom="0">
      <formula>AND(M72&gt;=10,M72&lt;20)</formula>
    </cfRule>
    <cfRule type="expression" rank="0" priority="289" equalAverage="0" aboveAverage="0" dxfId="2" text="" percent="0" bottom="0">
      <formula>AND(M72&gt;=5,M72&lt;10)</formula>
    </cfRule>
    <cfRule type="expression" rank="0" priority="290" equalAverage="0" aboveAverage="0" dxfId="3" text="" percent="0" bottom="0">
      <formula>AND(M72&gt;=1,M72&lt;5)</formula>
    </cfRule>
  </conditionalFormatting>
  <conditionalFormatting sqref="M73">
    <cfRule type="expression" rank="0" priority="291" equalAverage="0" aboveAverage="0" dxfId="0" text="" percent="0" bottom="0">
      <formula>M73&gt;=20</formula>
    </cfRule>
    <cfRule type="expression" rank="0" priority="292" equalAverage="0" aboveAverage="0" dxfId="1" text="" percent="0" bottom="0">
      <formula>AND(M73&gt;=10,M73&lt;20)</formula>
    </cfRule>
    <cfRule type="expression" rank="0" priority="293" equalAverage="0" aboveAverage="0" dxfId="2" text="" percent="0" bottom="0">
      <formula>AND(M73&gt;=5,M73&lt;10)</formula>
    </cfRule>
    <cfRule type="expression" rank="0" priority="294" equalAverage="0" aboveAverage="0" dxfId="3" text="" percent="0" bottom="0">
      <formula>AND(M73&gt;=1,M73&lt;5)</formula>
    </cfRule>
  </conditionalFormatting>
  <conditionalFormatting sqref="M74">
    <cfRule type="expression" rank="0" priority="295" equalAverage="0" aboveAverage="0" dxfId="0" text="" percent="0" bottom="0">
      <formula>M74&gt;=20</formula>
    </cfRule>
    <cfRule type="expression" rank="0" priority="296" equalAverage="0" aboveAverage="0" dxfId="1" text="" percent="0" bottom="0">
      <formula>AND(M74&gt;=10,M74&lt;20)</formula>
    </cfRule>
    <cfRule type="expression" rank="0" priority="297" equalAverage="0" aboveAverage="0" dxfId="2" text="" percent="0" bottom="0">
      <formula>AND(M74&gt;=5,M74&lt;10)</formula>
    </cfRule>
    <cfRule type="expression" rank="0" priority="298" equalAverage="0" aboveAverage="0" dxfId="3" text="" percent="0" bottom="0">
      <formula>AND(M74&gt;=1,M74&lt;5)</formula>
    </cfRule>
  </conditionalFormatting>
  <conditionalFormatting sqref="M75">
    <cfRule type="expression" rank="0" priority="299" equalAverage="0" aboveAverage="0" dxfId="0" text="" percent="0" bottom="0">
      <formula>M75&gt;=20</formula>
    </cfRule>
    <cfRule type="expression" rank="0" priority="300" equalAverage="0" aboveAverage="0" dxfId="1" text="" percent="0" bottom="0">
      <formula>AND(M75&gt;=10,M75&lt;20)</formula>
    </cfRule>
    <cfRule type="expression" rank="0" priority="301" equalAverage="0" aboveAverage="0" dxfId="2" text="" percent="0" bottom="0">
      <formula>AND(M75&gt;=5,M75&lt;10)</formula>
    </cfRule>
    <cfRule type="expression" rank="0" priority="302" equalAverage="0" aboveAverage="0" dxfId="3" text="" percent="0" bottom="0">
      <formula>AND(M75&gt;=1,M75&lt;5)</formula>
    </cfRule>
  </conditionalFormatting>
  <conditionalFormatting sqref="M76">
    <cfRule type="expression" rank="0" priority="303" equalAverage="0" aboveAverage="0" dxfId="0" text="" percent="0" bottom="0">
      <formula>M76&gt;=20</formula>
    </cfRule>
    <cfRule type="expression" rank="0" priority="304" equalAverage="0" aboveAverage="0" dxfId="1" text="" percent="0" bottom="0">
      <formula>AND(M76&gt;=10,M76&lt;20)</formula>
    </cfRule>
    <cfRule type="expression" rank="0" priority="305" equalAverage="0" aboveAverage="0" dxfId="2" text="" percent="0" bottom="0">
      <formula>AND(M76&gt;=5,M76&lt;10)</formula>
    </cfRule>
    <cfRule type="expression" rank="0" priority="306" equalAverage="0" aboveAverage="0" dxfId="3" text="" percent="0" bottom="0">
      <formula>AND(M76&gt;=1,M76&lt;5)</formula>
    </cfRule>
  </conditionalFormatting>
  <conditionalFormatting sqref="M77">
    <cfRule type="expression" rank="0" priority="307" equalAverage="0" aboveAverage="0" dxfId="0" text="" percent="0" bottom="0">
      <formula>M77&gt;=20</formula>
    </cfRule>
    <cfRule type="expression" rank="0" priority="308" equalAverage="0" aboveAverage="0" dxfId="1" text="" percent="0" bottom="0">
      <formula>AND(M77&gt;=10,M77&lt;20)</formula>
    </cfRule>
    <cfRule type="expression" rank="0" priority="309" equalAverage="0" aboveAverage="0" dxfId="2" text="" percent="0" bottom="0">
      <formula>AND(M77&gt;=5,M77&lt;10)</formula>
    </cfRule>
    <cfRule type="expression" rank="0" priority="310" equalAverage="0" aboveAverage="0" dxfId="3" text="" percent="0" bottom="0">
      <formula>AND(M77&gt;=1,M77&lt;5)</formula>
    </cfRule>
  </conditionalFormatting>
  <conditionalFormatting sqref="M78">
    <cfRule type="expression" rank="0" priority="311" equalAverage="0" aboveAverage="0" dxfId="0" text="" percent="0" bottom="0">
      <formula>M78&gt;=20</formula>
    </cfRule>
    <cfRule type="expression" rank="0" priority="312" equalAverage="0" aboveAverage="0" dxfId="1" text="" percent="0" bottom="0">
      <formula>AND(M78&gt;=10,M78&lt;20)</formula>
    </cfRule>
    <cfRule type="expression" rank="0" priority="313" equalAverage="0" aboveAverage="0" dxfId="2" text="" percent="0" bottom="0">
      <formula>AND(M78&gt;=5,M78&lt;10)</formula>
    </cfRule>
    <cfRule type="expression" rank="0" priority="314" equalAverage="0" aboveAverage="0" dxfId="3" text="" percent="0" bottom="0">
      <formula>AND(M78&gt;=1,M78&lt;5)</formula>
    </cfRule>
  </conditionalFormatting>
  <conditionalFormatting sqref="M79">
    <cfRule type="expression" rank="0" priority="315" equalAverage="0" aboveAverage="0" dxfId="0" text="" percent="0" bottom="0">
      <formula>M79&gt;=20</formula>
    </cfRule>
    <cfRule type="expression" rank="0" priority="316" equalAverage="0" aboveAverage="0" dxfId="1" text="" percent="0" bottom="0">
      <formula>AND(M79&gt;=10,M79&lt;20)</formula>
    </cfRule>
    <cfRule type="expression" rank="0" priority="317" equalAverage="0" aboveAverage="0" dxfId="2" text="" percent="0" bottom="0">
      <formula>AND(M79&gt;=5,M79&lt;10)</formula>
    </cfRule>
    <cfRule type="expression" rank="0" priority="318" equalAverage="0" aboveAverage="0" dxfId="3" text="" percent="0" bottom="0">
      <formula>AND(M79&gt;=1,M79&lt;5)</formula>
    </cfRule>
  </conditionalFormatting>
  <conditionalFormatting sqref="M80">
    <cfRule type="expression" rank="0" priority="319" equalAverage="0" aboveAverage="0" dxfId="0" text="" percent="0" bottom="0">
      <formula>M80&gt;=20</formula>
    </cfRule>
    <cfRule type="expression" rank="0" priority="320" equalAverage="0" aboveAverage="0" dxfId="1" text="" percent="0" bottom="0">
      <formula>AND(M80&gt;=10,M80&lt;20)</formula>
    </cfRule>
    <cfRule type="expression" rank="0" priority="321" equalAverage="0" aboveAverage="0" dxfId="2" text="" percent="0" bottom="0">
      <formula>AND(M80&gt;=5,M80&lt;10)</formula>
    </cfRule>
    <cfRule type="expression" rank="0" priority="322" equalAverage="0" aboveAverage="0" dxfId="3" text="" percent="0" bottom="0">
      <formula>AND(M80&gt;=1,M80&lt;5)</formula>
    </cfRule>
  </conditionalFormatting>
  <conditionalFormatting sqref="M81">
    <cfRule type="expression" rank="0" priority="323" equalAverage="0" aboveAverage="0" dxfId="0" text="" percent="0" bottom="0">
      <formula>M81&gt;=20</formula>
    </cfRule>
    <cfRule type="expression" rank="0" priority="324" equalAverage="0" aboveAverage="0" dxfId="1" text="" percent="0" bottom="0">
      <formula>AND(M81&gt;=10,M81&lt;20)</formula>
    </cfRule>
    <cfRule type="expression" rank="0" priority="325" equalAverage="0" aboveAverage="0" dxfId="2" text="" percent="0" bottom="0">
      <formula>AND(M81&gt;=5,M81&lt;10)</formula>
    </cfRule>
    <cfRule type="expression" rank="0" priority="326" equalAverage="0" aboveAverage="0" dxfId="3" text="" percent="0" bottom="0">
      <formula>AND(M81&gt;=1,M81&lt;5)</formula>
    </cfRule>
  </conditionalFormatting>
  <conditionalFormatting sqref="M82">
    <cfRule type="expression" rank="0" priority="327" equalAverage="0" aboveAverage="0" dxfId="0" text="" percent="0" bottom="0">
      <formula>M82&gt;=20</formula>
    </cfRule>
    <cfRule type="expression" rank="0" priority="328" equalAverage="0" aboveAverage="0" dxfId="1" text="" percent="0" bottom="0">
      <formula>AND(M82&gt;=10,M82&lt;20)</formula>
    </cfRule>
    <cfRule type="expression" rank="0" priority="329" equalAverage="0" aboveAverage="0" dxfId="2" text="" percent="0" bottom="0">
      <formula>AND(M82&gt;=5,M82&lt;10)</formula>
    </cfRule>
    <cfRule type="expression" rank="0" priority="330" equalAverage="0" aboveAverage="0" dxfId="3" text="" percent="0" bottom="0">
      <formula>AND(M82&gt;=1,M82&lt;5)</formula>
    </cfRule>
  </conditionalFormatting>
  <conditionalFormatting sqref="M83">
    <cfRule type="expression" rank="0" priority="331" equalAverage="0" aboveAverage="0" dxfId="0" text="" percent="0" bottom="0">
      <formula>M83&gt;=20</formula>
    </cfRule>
    <cfRule type="expression" rank="0" priority="332" equalAverage="0" aboveAverage="0" dxfId="1" text="" percent="0" bottom="0">
      <formula>AND(M83&gt;=10,M83&lt;20)</formula>
    </cfRule>
    <cfRule type="expression" rank="0" priority="333" equalAverage="0" aboveAverage="0" dxfId="2" text="" percent="0" bottom="0">
      <formula>AND(M83&gt;=5,M83&lt;10)</formula>
    </cfRule>
    <cfRule type="expression" rank="0" priority="334" equalAverage="0" aboveAverage="0" dxfId="3" text="" percent="0" bottom="0">
      <formula>AND(M83&gt;=1,M83&lt;5)</formula>
    </cfRule>
  </conditionalFormatting>
  <conditionalFormatting sqref="M84">
    <cfRule type="expression" rank="0" priority="335" equalAverage="0" aboveAverage="0" dxfId="0" text="" percent="0" bottom="0">
      <formula>M84&gt;=20</formula>
    </cfRule>
    <cfRule type="expression" rank="0" priority="336" equalAverage="0" aboveAverage="0" dxfId="1" text="" percent="0" bottom="0">
      <formula>AND(M84&gt;=10,M84&lt;20)</formula>
    </cfRule>
    <cfRule type="expression" rank="0" priority="337" equalAverage="0" aboveAverage="0" dxfId="2" text="" percent="0" bottom="0">
      <formula>AND(M84&gt;=5,M84&lt;10)</formula>
    </cfRule>
    <cfRule type="expression" rank="0" priority="338" equalAverage="0" aboveAverage="0" dxfId="3" text="" percent="0" bottom="0">
      <formula>AND(M84&gt;=1,M84&lt;5)</formula>
    </cfRule>
  </conditionalFormatting>
  <conditionalFormatting sqref="M85">
    <cfRule type="expression" rank="0" priority="339" equalAverage="0" aboveAverage="0" dxfId="0" text="" percent="0" bottom="0">
      <formula>M85&gt;=20</formula>
    </cfRule>
    <cfRule type="expression" rank="0" priority="340" equalAverage="0" aboveAverage="0" dxfId="1" text="" percent="0" bottom="0">
      <formula>AND(M85&gt;=10,M85&lt;20)</formula>
    </cfRule>
    <cfRule type="expression" rank="0" priority="341" equalAverage="0" aboveAverage="0" dxfId="2" text="" percent="0" bottom="0">
      <formula>AND(M85&gt;=5,M85&lt;10)</formula>
    </cfRule>
    <cfRule type="expression" rank="0" priority="342" equalAverage="0" aboveAverage="0" dxfId="3" text="" percent="0" bottom="0">
      <formula>AND(M85&gt;=1,M85&lt;5)</formula>
    </cfRule>
  </conditionalFormatting>
  <conditionalFormatting sqref="M86">
    <cfRule type="expression" rank="0" priority="343" equalAverage="0" aboveAverage="0" dxfId="0" text="" percent="0" bottom="0">
      <formula>M86&gt;=20</formula>
    </cfRule>
    <cfRule type="expression" rank="0" priority="344" equalAverage="0" aboveAverage="0" dxfId="1" text="" percent="0" bottom="0">
      <formula>AND(M86&gt;=10,M86&lt;20)</formula>
    </cfRule>
    <cfRule type="expression" rank="0" priority="345" equalAverage="0" aboveAverage="0" dxfId="2" text="" percent="0" bottom="0">
      <formula>AND(M86&gt;=5,M86&lt;10)</formula>
    </cfRule>
    <cfRule type="expression" rank="0" priority="346" equalAverage="0" aboveAverage="0" dxfId="3" text="" percent="0" bottom="0">
      <formula>AND(M86&gt;=1,M86&lt;5)</formula>
    </cfRule>
  </conditionalFormatting>
  <conditionalFormatting sqref="M87">
    <cfRule type="expression" rank="0" priority="347" equalAverage="0" aboveAverage="0" dxfId="0" text="" percent="0" bottom="0">
      <formula>M87&gt;=20</formula>
    </cfRule>
    <cfRule type="expression" rank="0" priority="348" equalAverage="0" aboveAverage="0" dxfId="1" text="" percent="0" bottom="0">
      <formula>AND(M87&gt;=10,M87&lt;20)</formula>
    </cfRule>
    <cfRule type="expression" rank="0" priority="349" equalAverage="0" aboveAverage="0" dxfId="2" text="" percent="0" bottom="0">
      <formula>AND(M87&gt;=5,M87&lt;10)</formula>
    </cfRule>
    <cfRule type="expression" rank="0" priority="350" equalAverage="0" aboveAverage="0" dxfId="3" text="" percent="0" bottom="0">
      <formula>AND(M87&gt;=1,M87&lt;5)</formula>
    </cfRule>
  </conditionalFormatting>
  <conditionalFormatting sqref="M88">
    <cfRule type="expression" rank="0" priority="351" equalAverage="0" aboveAverage="0" dxfId="0" text="" percent="0" bottom="0">
      <formula>M88&gt;=20</formula>
    </cfRule>
    <cfRule type="expression" rank="0" priority="352" equalAverage="0" aboveAverage="0" dxfId="1" text="" percent="0" bottom="0">
      <formula>AND(M88&gt;=10,M88&lt;20)</formula>
    </cfRule>
    <cfRule type="expression" rank="0" priority="353" equalAverage="0" aboveAverage="0" dxfId="2" text="" percent="0" bottom="0">
      <formula>AND(M88&gt;=5,M88&lt;10)</formula>
    </cfRule>
    <cfRule type="expression" rank="0" priority="354" equalAverage="0" aboveAverage="0" dxfId="3" text="" percent="0" bottom="0">
      <formula>AND(M88&gt;=1,M88&lt;5)</formula>
    </cfRule>
  </conditionalFormatting>
  <conditionalFormatting sqref="M89">
    <cfRule type="expression" rank="0" priority="355" equalAverage="0" aboveAverage="0" dxfId="0" text="" percent="0" bottom="0">
      <formula>M89&gt;=20</formula>
    </cfRule>
    <cfRule type="expression" rank="0" priority="356" equalAverage="0" aboveAverage="0" dxfId="1" text="" percent="0" bottom="0">
      <formula>AND(M89&gt;=10,M89&lt;20)</formula>
    </cfRule>
    <cfRule type="expression" rank="0" priority="357" equalAverage="0" aboveAverage="0" dxfId="2" text="" percent="0" bottom="0">
      <formula>AND(M89&gt;=5,M89&lt;10)</formula>
    </cfRule>
    <cfRule type="expression" rank="0" priority="358" equalAverage="0" aboveAverage="0" dxfId="3" text="" percent="0" bottom="0">
      <formula>AND(M89&gt;=1,M89&lt;5)</formula>
    </cfRule>
  </conditionalFormatting>
  <conditionalFormatting sqref="M90">
    <cfRule type="expression" rank="0" priority="359" equalAverage="0" aboveAverage="0" dxfId="0" text="" percent="0" bottom="0">
      <formula>M90&gt;=20</formula>
    </cfRule>
    <cfRule type="expression" rank="0" priority="360" equalAverage="0" aboveAverage="0" dxfId="1" text="" percent="0" bottom="0">
      <formula>AND(M90&gt;=10,M90&lt;20)</formula>
    </cfRule>
    <cfRule type="expression" rank="0" priority="361" equalAverage="0" aboveAverage="0" dxfId="2" text="" percent="0" bottom="0">
      <formula>AND(M90&gt;=5,M90&lt;10)</formula>
    </cfRule>
    <cfRule type="expression" rank="0" priority="362" equalAverage="0" aboveAverage="0" dxfId="3" text="" percent="0" bottom="0">
      <formula>AND(M90&gt;=1,M90&lt;5)</formula>
    </cfRule>
  </conditionalFormatting>
  <conditionalFormatting sqref="M91">
    <cfRule type="expression" rank="0" priority="363" equalAverage="0" aboveAverage="0" dxfId="0" text="" percent="0" bottom="0">
      <formula>M91&gt;=20</formula>
    </cfRule>
    <cfRule type="expression" rank="0" priority="364" equalAverage="0" aboveAverage="0" dxfId="1" text="" percent="0" bottom="0">
      <formula>AND(M91&gt;=10,M91&lt;20)</formula>
    </cfRule>
    <cfRule type="expression" rank="0" priority="365" equalAverage="0" aboveAverage="0" dxfId="2" text="" percent="0" bottom="0">
      <formula>AND(M91&gt;=5,M91&lt;10)</formula>
    </cfRule>
    <cfRule type="expression" rank="0" priority="366" equalAverage="0" aboveAverage="0" dxfId="3" text="" percent="0" bottom="0">
      <formula>AND(M91&gt;=1,M91&lt;5)</formula>
    </cfRule>
  </conditionalFormatting>
  <conditionalFormatting sqref="M92">
    <cfRule type="expression" rank="0" priority="367" equalAverage="0" aboveAverage="0" dxfId="0" text="" percent="0" bottom="0">
      <formula>M92&gt;=20</formula>
    </cfRule>
    <cfRule type="expression" rank="0" priority="368" equalAverage="0" aboveAverage="0" dxfId="1" text="" percent="0" bottom="0">
      <formula>AND(M92&gt;=10,M92&lt;20)</formula>
    </cfRule>
    <cfRule type="expression" rank="0" priority="369" equalAverage="0" aboveAverage="0" dxfId="2" text="" percent="0" bottom="0">
      <formula>AND(M92&gt;=5,M92&lt;10)</formula>
    </cfRule>
    <cfRule type="expression" rank="0" priority="370" equalAverage="0" aboveAverage="0" dxfId="3" text="" percent="0" bottom="0">
      <formula>AND(M92&gt;=1,M92&lt;5)</formula>
    </cfRule>
  </conditionalFormatting>
  <conditionalFormatting sqref="M93">
    <cfRule type="expression" rank="0" priority="371" equalAverage="0" aboveAverage="0" dxfId="0" text="" percent="0" bottom="0">
      <formula>M93&gt;=20</formula>
    </cfRule>
    <cfRule type="expression" rank="0" priority="372" equalAverage="0" aboveAverage="0" dxfId="1" text="" percent="0" bottom="0">
      <formula>AND(M93&gt;=10,M93&lt;20)</formula>
    </cfRule>
    <cfRule type="expression" rank="0" priority="373" equalAverage="0" aboveAverage="0" dxfId="2" text="" percent="0" bottom="0">
      <formula>AND(M93&gt;=5,M93&lt;10)</formula>
    </cfRule>
    <cfRule type="expression" rank="0" priority="374" equalAverage="0" aboveAverage="0" dxfId="3" text="" percent="0" bottom="0">
      <formula>AND(M93&gt;=1,M93&lt;5)</formula>
    </cfRule>
  </conditionalFormatting>
  <conditionalFormatting sqref="M94">
    <cfRule type="expression" rank="0" priority="375" equalAverage="0" aboveAverage="0" dxfId="0" text="" percent="0" bottom="0">
      <formula>M94&gt;=20</formula>
    </cfRule>
    <cfRule type="expression" rank="0" priority="376" equalAverage="0" aboveAverage="0" dxfId="1" text="" percent="0" bottom="0">
      <formula>AND(M94&gt;=10,M94&lt;20)</formula>
    </cfRule>
    <cfRule type="expression" rank="0" priority="377" equalAverage="0" aboveAverage="0" dxfId="2" text="" percent="0" bottom="0">
      <formula>AND(M94&gt;=5,M94&lt;10)</formula>
    </cfRule>
    <cfRule type="expression" rank="0" priority="378" equalAverage="0" aboveAverage="0" dxfId="3" text="" percent="0" bottom="0">
      <formula>AND(M94&gt;=1,M94&lt;5)</formula>
    </cfRule>
  </conditionalFormatting>
  <conditionalFormatting sqref="M95">
    <cfRule type="expression" rank="0" priority="379" equalAverage="0" aboveAverage="0" dxfId="0" text="" percent="0" bottom="0">
      <formula>M95&gt;=20</formula>
    </cfRule>
    <cfRule type="expression" rank="0" priority="380" equalAverage="0" aboveAverage="0" dxfId="1" text="" percent="0" bottom="0">
      <formula>AND(M95&gt;=10,M95&lt;20)</formula>
    </cfRule>
    <cfRule type="expression" rank="0" priority="381" equalAverage="0" aboveAverage="0" dxfId="2" text="" percent="0" bottom="0">
      <formula>AND(M95&gt;=5,M95&lt;10)</formula>
    </cfRule>
    <cfRule type="expression" rank="0" priority="382" equalAverage="0" aboveAverage="0" dxfId="3" text="" percent="0" bottom="0">
      <formula>AND(M95&gt;=1,M95&lt;5)</formula>
    </cfRule>
  </conditionalFormatting>
  <conditionalFormatting sqref="M96">
    <cfRule type="expression" rank="0" priority="383" equalAverage="0" aboveAverage="0" dxfId="0" text="" percent="0" bottom="0">
      <formula>M96&gt;=20</formula>
    </cfRule>
    <cfRule type="expression" rank="0" priority="384" equalAverage="0" aboveAverage="0" dxfId="1" text="" percent="0" bottom="0">
      <formula>AND(M96&gt;=10,M96&lt;20)</formula>
    </cfRule>
    <cfRule type="expression" rank="0" priority="385" equalAverage="0" aboveAverage="0" dxfId="2" text="" percent="0" bottom="0">
      <formula>AND(M96&gt;=5,M96&lt;10)</formula>
    </cfRule>
    <cfRule type="expression" rank="0" priority="386" equalAverage="0" aboveAverage="0" dxfId="3" text="" percent="0" bottom="0">
      <formula>AND(M96&gt;=1,M96&lt;5)</formula>
    </cfRule>
  </conditionalFormatting>
  <conditionalFormatting sqref="M97">
    <cfRule type="expression" rank="0" priority="387" equalAverage="0" aboveAverage="0" dxfId="0" text="" percent="0" bottom="0">
      <formula>M97&gt;=20</formula>
    </cfRule>
    <cfRule type="expression" rank="0" priority="388" equalAverage="0" aboveAverage="0" dxfId="1" text="" percent="0" bottom="0">
      <formula>AND(M97&gt;=10,M97&lt;20)</formula>
    </cfRule>
    <cfRule type="expression" rank="0" priority="389" equalAverage="0" aboveAverage="0" dxfId="2" text="" percent="0" bottom="0">
      <formula>AND(M97&gt;=5,M97&lt;10)</formula>
    </cfRule>
    <cfRule type="expression" rank="0" priority="390" equalAverage="0" aboveAverage="0" dxfId="3" text="" percent="0" bottom="0">
      <formula>AND(M97&gt;=1,M97&lt;5)</formula>
    </cfRule>
  </conditionalFormatting>
  <conditionalFormatting sqref="M98">
    <cfRule type="expression" rank="0" priority="391" equalAverage="0" aboveAverage="0" dxfId="0" text="" percent="0" bottom="0">
      <formula>M98&gt;=20</formula>
    </cfRule>
    <cfRule type="expression" rank="0" priority="392" equalAverage="0" aboveAverage="0" dxfId="1" text="" percent="0" bottom="0">
      <formula>AND(M98&gt;=10,M98&lt;20)</formula>
    </cfRule>
    <cfRule type="expression" rank="0" priority="393" equalAverage="0" aboveAverage="0" dxfId="2" text="" percent="0" bottom="0">
      <formula>AND(M98&gt;=5,M98&lt;10)</formula>
    </cfRule>
    <cfRule type="expression" rank="0" priority="394" equalAverage="0" aboveAverage="0" dxfId="3" text="" percent="0" bottom="0">
      <formula>AND(M98&gt;=1,M98&lt;5)</formula>
    </cfRule>
  </conditionalFormatting>
  <conditionalFormatting sqref="M99">
    <cfRule type="expression" rank="0" priority="395" equalAverage="0" aboveAverage="0" dxfId="0" text="" percent="0" bottom="0">
      <formula>M99&gt;=20</formula>
    </cfRule>
    <cfRule type="expression" rank="0" priority="396" equalAverage="0" aboveAverage="0" dxfId="1" text="" percent="0" bottom="0">
      <formula>AND(M99&gt;=10,M99&lt;20)</formula>
    </cfRule>
    <cfRule type="expression" rank="0" priority="397" equalAverage="0" aboveAverage="0" dxfId="2" text="" percent="0" bottom="0">
      <formula>AND(M99&gt;=5,M99&lt;10)</formula>
    </cfRule>
    <cfRule type="expression" rank="0" priority="398" equalAverage="0" aboveAverage="0" dxfId="3" text="" percent="0" bottom="0">
      <formula>AND(M99&gt;=1,M99&lt;5)</formula>
    </cfRule>
  </conditionalFormatting>
  <conditionalFormatting sqref="M100">
    <cfRule type="expression" rank="0" priority="399" equalAverage="0" aboveAverage="0" dxfId="0" text="" percent="0" bottom="0">
      <formula>M100&gt;=20</formula>
    </cfRule>
    <cfRule type="expression" rank="0" priority="400" equalAverage="0" aboveAverage="0" dxfId="1" text="" percent="0" bottom="0">
      <formula>AND(M100&gt;=10,M100&lt;20)</formula>
    </cfRule>
    <cfRule type="expression" rank="0" priority="401" equalAverage="0" aboveAverage="0" dxfId="2" text="" percent="0" bottom="0">
      <formula>AND(M100&gt;=5,M100&lt;10)</formula>
    </cfRule>
    <cfRule type="expression" rank="0" priority="402" equalAverage="0" aboveAverage="0" dxfId="3" text="" percent="0" bottom="0">
      <formula>AND(M100&gt;=1,M100&lt;5)</formula>
    </cfRule>
  </conditionalFormatting>
  <conditionalFormatting sqref="M101">
    <cfRule type="expression" rank="0" priority="403" equalAverage="0" aboveAverage="0" dxfId="0" text="" percent="0" bottom="0">
      <formula>M101&gt;=20</formula>
    </cfRule>
    <cfRule type="expression" rank="0" priority="404" equalAverage="0" aboveAverage="0" dxfId="1" text="" percent="0" bottom="0">
      <formula>AND(M101&gt;=10,M101&lt;20)</formula>
    </cfRule>
    <cfRule type="expression" rank="0" priority="405" equalAverage="0" aboveAverage="0" dxfId="2" text="" percent="0" bottom="0">
      <formula>AND(M101&gt;=5,M101&lt;10)</formula>
    </cfRule>
    <cfRule type="expression" rank="0" priority="406" equalAverage="0" aboveAverage="0" dxfId="3" text="" percent="0" bottom="0">
      <formula>AND(M101&gt;=1,M101&lt;5)</formula>
    </cfRule>
  </conditionalFormatting>
  <conditionalFormatting sqref="M102">
    <cfRule type="expression" rank="0" priority="407" equalAverage="0" aboveAverage="0" dxfId="0" text="" percent="0" bottom="0">
      <formula>M102&gt;=20</formula>
    </cfRule>
    <cfRule type="expression" rank="0" priority="408" equalAverage="0" aboveAverage="0" dxfId="1" text="" percent="0" bottom="0">
      <formula>AND(M102&gt;=10,M102&lt;20)</formula>
    </cfRule>
    <cfRule type="expression" rank="0" priority="409" equalAverage="0" aboveAverage="0" dxfId="2" text="" percent="0" bottom="0">
      <formula>AND(M102&gt;=5,M102&lt;10)</formula>
    </cfRule>
    <cfRule type="expression" rank="0" priority="410" equalAverage="0" aboveAverage="0" dxfId="3" text="" percent="0" bottom="0">
      <formula>AND(M102&gt;=1,M102&lt;5)</formula>
    </cfRule>
  </conditionalFormatting>
  <conditionalFormatting sqref="M103">
    <cfRule type="expression" rank="0" priority="411" equalAverage="0" aboveAverage="0" dxfId="0" text="" percent="0" bottom="0">
      <formula>M103&gt;=20</formula>
    </cfRule>
    <cfRule type="expression" rank="0" priority="412" equalAverage="0" aboveAverage="0" dxfId="1" text="" percent="0" bottom="0">
      <formula>AND(M103&gt;=10,M103&lt;20)</formula>
    </cfRule>
    <cfRule type="expression" rank="0" priority="413" equalAverage="0" aboveAverage="0" dxfId="2" text="" percent="0" bottom="0">
      <formula>AND(M103&gt;=5,M103&lt;10)</formula>
    </cfRule>
    <cfRule type="expression" rank="0" priority="414" equalAverage="0" aboveAverage="0" dxfId="3" text="" percent="0" bottom="0">
      <formula>AND(M103&gt;=1,M103&lt;5)</formula>
    </cfRule>
  </conditionalFormatting>
  <conditionalFormatting sqref="M104">
    <cfRule type="expression" rank="0" priority="415" equalAverage="0" aboveAverage="0" dxfId="0" text="" percent="0" bottom="0">
      <formula>M104&gt;=20</formula>
    </cfRule>
    <cfRule type="expression" rank="0" priority="416" equalAverage="0" aboveAverage="0" dxfId="1" text="" percent="0" bottom="0">
      <formula>AND(M104&gt;=10,M104&lt;20)</formula>
    </cfRule>
    <cfRule type="expression" rank="0" priority="417" equalAverage="0" aboveAverage="0" dxfId="2" text="" percent="0" bottom="0">
      <formula>AND(M104&gt;=5,M104&lt;10)</formula>
    </cfRule>
    <cfRule type="expression" rank="0" priority="418" equalAverage="0" aboveAverage="0" dxfId="3" text="" percent="0" bottom="0">
      <formula>AND(M104&gt;=1,M104&lt;5)</formula>
    </cfRule>
  </conditionalFormatting>
  <conditionalFormatting sqref="M105">
    <cfRule type="expression" rank="0" priority="419" equalAverage="0" aboveAverage="0" dxfId="0" text="" percent="0" bottom="0">
      <formula>M105&gt;=20</formula>
    </cfRule>
    <cfRule type="expression" rank="0" priority="420" equalAverage="0" aboveAverage="0" dxfId="1" text="" percent="0" bottom="0">
      <formula>AND(M105&gt;=10,M105&lt;20)</formula>
    </cfRule>
    <cfRule type="expression" rank="0" priority="421" equalAverage="0" aboveAverage="0" dxfId="2" text="" percent="0" bottom="0">
      <formula>AND(M105&gt;=5,M105&lt;10)</formula>
    </cfRule>
    <cfRule type="expression" rank="0" priority="422" equalAverage="0" aboveAverage="0" dxfId="3" text="" percent="0" bottom="0">
      <formula>AND(M105&gt;=1,M105&lt;5)</formula>
    </cfRule>
  </conditionalFormatting>
  <conditionalFormatting sqref="M106">
    <cfRule type="expression" rank="0" priority="423" equalAverage="0" aboveAverage="0" dxfId="0" text="" percent="0" bottom="0">
      <formula>M106&gt;=20</formula>
    </cfRule>
    <cfRule type="expression" rank="0" priority="424" equalAverage="0" aboveAverage="0" dxfId="1" text="" percent="0" bottom="0">
      <formula>AND(M106&gt;=10,M106&lt;20)</formula>
    </cfRule>
    <cfRule type="expression" rank="0" priority="425" equalAverage="0" aboveAverage="0" dxfId="2" text="" percent="0" bottom="0">
      <formula>AND(M106&gt;=5,M106&lt;10)</formula>
    </cfRule>
    <cfRule type="expression" rank="0" priority="426" equalAverage="0" aboveAverage="0" dxfId="3" text="" percent="0" bottom="0">
      <formula>AND(M106&gt;=1,M106&lt;5)</formula>
    </cfRule>
  </conditionalFormatting>
  <conditionalFormatting sqref="M107">
    <cfRule type="expression" rank="0" priority="427" equalAverage="0" aboveAverage="0" dxfId="0" text="" percent="0" bottom="0">
      <formula>M107&gt;=20</formula>
    </cfRule>
    <cfRule type="expression" rank="0" priority="428" equalAverage="0" aboveAverage="0" dxfId="1" text="" percent="0" bottom="0">
      <formula>AND(M107&gt;=10,M107&lt;20)</formula>
    </cfRule>
    <cfRule type="expression" rank="0" priority="429" equalAverage="0" aboveAverage="0" dxfId="2" text="" percent="0" bottom="0">
      <formula>AND(M107&gt;=5,M107&lt;10)</formula>
    </cfRule>
    <cfRule type="expression" rank="0" priority="430" equalAverage="0" aboveAverage="0" dxfId="3" text="" percent="0" bottom="0">
      <formula>AND(M107&gt;=1,M107&lt;5)</formula>
    </cfRule>
  </conditionalFormatting>
  <conditionalFormatting sqref="M108">
    <cfRule type="expression" rank="0" priority="431" equalAverage="0" aboveAverage="0" dxfId="0" text="" percent="0" bottom="0">
      <formula>M108&gt;=20</formula>
    </cfRule>
    <cfRule type="expression" rank="0" priority="432" equalAverage="0" aboveAverage="0" dxfId="1" text="" percent="0" bottom="0">
      <formula>AND(M108&gt;=10,M108&lt;20)</formula>
    </cfRule>
    <cfRule type="expression" rank="0" priority="433" equalAverage="0" aboveAverage="0" dxfId="2" text="" percent="0" bottom="0">
      <formula>AND(M108&gt;=5,M108&lt;10)</formula>
    </cfRule>
    <cfRule type="expression" rank="0" priority="434" equalAverage="0" aboveAverage="0" dxfId="3" text="" percent="0" bottom="0">
      <formula>AND(M108&gt;=1,M108&lt;5)</formula>
    </cfRule>
  </conditionalFormatting>
  <conditionalFormatting sqref="M109">
    <cfRule type="expression" rank="0" priority="435" equalAverage="0" aboveAverage="0" dxfId="0" text="" percent="0" bottom="0">
      <formula>M109&gt;=20</formula>
    </cfRule>
    <cfRule type="expression" rank="0" priority="436" equalAverage="0" aboveAverage="0" dxfId="1" text="" percent="0" bottom="0">
      <formula>AND(M109&gt;=10,M109&lt;20)</formula>
    </cfRule>
    <cfRule type="expression" rank="0" priority="437" equalAverage="0" aboveAverage="0" dxfId="2" text="" percent="0" bottom="0">
      <formula>AND(M109&gt;=5,M109&lt;10)</formula>
    </cfRule>
    <cfRule type="expression" rank="0" priority="438" equalAverage="0" aboveAverage="0" dxfId="3" text="" percent="0" bottom="0">
      <formula>AND(M109&gt;=1,M109&lt;5)</formula>
    </cfRule>
  </conditionalFormatting>
  <conditionalFormatting sqref="M110">
    <cfRule type="expression" rank="0" priority="439" equalAverage="0" aboveAverage="0" dxfId="0" text="" percent="0" bottom="0">
      <formula>M110&gt;=20</formula>
    </cfRule>
    <cfRule type="expression" rank="0" priority="440" equalAverage="0" aboveAverage="0" dxfId="1" text="" percent="0" bottom="0">
      <formula>AND(M110&gt;=10,M110&lt;20)</formula>
    </cfRule>
    <cfRule type="expression" rank="0" priority="441" equalAverage="0" aboveAverage="0" dxfId="2" text="" percent="0" bottom="0">
      <formula>AND(M110&gt;=5,M110&lt;10)</formula>
    </cfRule>
    <cfRule type="expression" rank="0" priority="442" equalAverage="0" aboveAverage="0" dxfId="3" text="" percent="0" bottom="0">
      <formula>AND(M110&gt;=1,M110&lt;5)</formula>
    </cfRule>
  </conditionalFormatting>
  <conditionalFormatting sqref="M111">
    <cfRule type="expression" rank="0" priority="443" equalAverage="0" aboveAverage="0" dxfId="0" text="" percent="0" bottom="0">
      <formula>M111&gt;=20</formula>
    </cfRule>
    <cfRule type="expression" rank="0" priority="444" equalAverage="0" aboveAverage="0" dxfId="1" text="" percent="0" bottom="0">
      <formula>AND(M111&gt;=10,M111&lt;20)</formula>
    </cfRule>
    <cfRule type="expression" rank="0" priority="445" equalAverage="0" aboveAverage="0" dxfId="2" text="" percent="0" bottom="0">
      <formula>AND(M111&gt;=5,M111&lt;10)</formula>
    </cfRule>
    <cfRule type="expression" rank="0" priority="446" equalAverage="0" aboveAverage="0" dxfId="3" text="" percent="0" bottom="0">
      <formula>AND(M111&gt;=1,M111&lt;5)</formula>
    </cfRule>
  </conditionalFormatting>
  <conditionalFormatting sqref="M112">
    <cfRule type="expression" rank="0" priority="447" equalAverage="0" aboveAverage="0" dxfId="0" text="" percent="0" bottom="0">
      <formula>M112&gt;=20</formula>
    </cfRule>
    <cfRule type="expression" rank="0" priority="448" equalAverage="0" aboveAverage="0" dxfId="1" text="" percent="0" bottom="0">
      <formula>AND(M112&gt;=10,M112&lt;20)</formula>
    </cfRule>
    <cfRule type="expression" rank="0" priority="449" equalAverage="0" aboveAverage="0" dxfId="2" text="" percent="0" bottom="0">
      <formula>AND(M112&gt;=5,M112&lt;10)</formula>
    </cfRule>
    <cfRule type="expression" rank="0" priority="450" equalAverage="0" aboveAverage="0" dxfId="3" text="" percent="0" bottom="0">
      <formula>AND(M112&gt;=1,M112&lt;5)</formula>
    </cfRule>
  </conditionalFormatting>
  <conditionalFormatting sqref="M113">
    <cfRule type="expression" rank="0" priority="451" equalAverage="0" aboveAverage="0" dxfId="0" text="" percent="0" bottom="0">
      <formula>M113&gt;=20</formula>
    </cfRule>
    <cfRule type="expression" rank="0" priority="452" equalAverage="0" aboveAverage="0" dxfId="1" text="" percent="0" bottom="0">
      <formula>AND(M113&gt;=10,M113&lt;20)</formula>
    </cfRule>
    <cfRule type="expression" rank="0" priority="453" equalAverage="0" aboveAverage="0" dxfId="2" text="" percent="0" bottom="0">
      <formula>AND(M113&gt;=5,M113&lt;10)</formula>
    </cfRule>
    <cfRule type="expression" rank="0" priority="454" equalAverage="0" aboveAverage="0" dxfId="3" text="" percent="0" bottom="0">
      <formula>AND(M113&gt;=1,M113&lt;5)</formula>
    </cfRule>
  </conditionalFormatting>
  <conditionalFormatting sqref="M114">
    <cfRule type="expression" rank="0" priority="455" equalAverage="0" aboveAverage="0" dxfId="0" text="" percent="0" bottom="0">
      <formula>M114&gt;=20</formula>
    </cfRule>
    <cfRule type="expression" rank="0" priority="456" equalAverage="0" aboveAverage="0" dxfId="1" text="" percent="0" bottom="0">
      <formula>AND(M114&gt;=10,M114&lt;20)</formula>
    </cfRule>
    <cfRule type="expression" rank="0" priority="457" equalAverage="0" aboveAverage="0" dxfId="2" text="" percent="0" bottom="0">
      <formula>AND(M114&gt;=5,M114&lt;10)</formula>
    </cfRule>
    <cfRule type="expression" rank="0" priority="458" equalAverage="0" aboveAverage="0" dxfId="3" text="" percent="0" bottom="0">
      <formula>AND(M114&gt;=1,M114&lt;5)</formula>
    </cfRule>
  </conditionalFormatting>
  <conditionalFormatting sqref="M115">
    <cfRule type="expression" rank="0" priority="459" equalAverage="0" aboveAverage="0" dxfId="0" text="" percent="0" bottom="0">
      <formula>M115&gt;=20</formula>
    </cfRule>
    <cfRule type="expression" rank="0" priority="460" equalAverage="0" aboveAverage="0" dxfId="1" text="" percent="0" bottom="0">
      <formula>AND(M115&gt;=10,M115&lt;20)</formula>
    </cfRule>
    <cfRule type="expression" rank="0" priority="461" equalAverage="0" aboveAverage="0" dxfId="2" text="" percent="0" bottom="0">
      <formula>AND(M115&gt;=5,M115&lt;10)</formula>
    </cfRule>
    <cfRule type="expression" rank="0" priority="462" equalAverage="0" aboveAverage="0" dxfId="3" text="" percent="0" bottom="0">
      <formula>AND(M115&gt;=1,M115&lt;5)</formula>
    </cfRule>
  </conditionalFormatting>
  <conditionalFormatting sqref="M116">
    <cfRule type="expression" rank="0" priority="463" equalAverage="0" aboveAverage="0" dxfId="0" text="" percent="0" bottom="0">
      <formula>M116&gt;=20</formula>
    </cfRule>
    <cfRule type="expression" rank="0" priority="464" equalAverage="0" aboveAverage="0" dxfId="1" text="" percent="0" bottom="0">
      <formula>AND(M116&gt;=10,M116&lt;20)</formula>
    </cfRule>
    <cfRule type="expression" rank="0" priority="465" equalAverage="0" aboveAverage="0" dxfId="2" text="" percent="0" bottom="0">
      <formula>AND(M116&gt;=5,M116&lt;10)</formula>
    </cfRule>
    <cfRule type="expression" rank="0" priority="466" equalAverage="0" aboveAverage="0" dxfId="3" text="" percent="0" bottom="0">
      <formula>AND(M116&gt;=1,M116&lt;5)</formula>
    </cfRule>
  </conditionalFormatting>
  <conditionalFormatting sqref="M117">
    <cfRule type="expression" rank="0" priority="467" equalAverage="0" aboveAverage="0" dxfId="0" text="" percent="0" bottom="0">
      <formula>M117&gt;=20</formula>
    </cfRule>
    <cfRule type="expression" rank="0" priority="468" equalAverage="0" aboveAverage="0" dxfId="1" text="" percent="0" bottom="0">
      <formula>AND(M117&gt;=10,M117&lt;20)</formula>
    </cfRule>
    <cfRule type="expression" rank="0" priority="469" equalAverage="0" aboveAverage="0" dxfId="2" text="" percent="0" bottom="0">
      <formula>AND(M117&gt;=5,M117&lt;10)</formula>
    </cfRule>
    <cfRule type="expression" rank="0" priority="470" equalAverage="0" aboveAverage="0" dxfId="3" text="" percent="0" bottom="0">
      <formula>AND(M117&gt;=1,M117&lt;5)</formula>
    </cfRule>
  </conditionalFormatting>
  <conditionalFormatting sqref="M118">
    <cfRule type="expression" rank="0" priority="471" equalAverage="0" aboveAverage="0" dxfId="0" text="" percent="0" bottom="0">
      <formula>M118&gt;=20</formula>
    </cfRule>
    <cfRule type="expression" rank="0" priority="472" equalAverage="0" aboveAverage="0" dxfId="1" text="" percent="0" bottom="0">
      <formula>AND(M118&gt;=10,M118&lt;20)</formula>
    </cfRule>
    <cfRule type="expression" rank="0" priority="473" equalAverage="0" aboveAverage="0" dxfId="2" text="" percent="0" bottom="0">
      <formula>AND(M118&gt;=5,M118&lt;10)</formula>
    </cfRule>
    <cfRule type="expression" rank="0" priority="474" equalAverage="0" aboveAverage="0" dxfId="3" text="" percent="0" bottom="0">
      <formula>AND(M118&gt;=1,M118&lt;5)</formula>
    </cfRule>
  </conditionalFormatting>
  <conditionalFormatting sqref="M119">
    <cfRule type="expression" rank="0" priority="475" equalAverage="0" aboveAverage="0" dxfId="0" text="" percent="0" bottom="0">
      <formula>M119&gt;=20</formula>
    </cfRule>
    <cfRule type="expression" rank="0" priority="476" equalAverage="0" aboveAverage="0" dxfId="1" text="" percent="0" bottom="0">
      <formula>AND(M119&gt;=10,M119&lt;20)</formula>
    </cfRule>
    <cfRule type="expression" rank="0" priority="477" equalAverage="0" aboveAverage="0" dxfId="2" text="" percent="0" bottom="0">
      <formula>AND(M119&gt;=5,M119&lt;10)</formula>
    </cfRule>
    <cfRule type="expression" rank="0" priority="478" equalAverage="0" aboveAverage="0" dxfId="3" text="" percent="0" bottom="0">
      <formula>AND(M119&gt;=1,M119&lt;5)</formula>
    </cfRule>
  </conditionalFormatting>
  <conditionalFormatting sqref="M120">
    <cfRule type="expression" rank="0" priority="479" equalAverage="0" aboveAverage="0" dxfId="0" text="" percent="0" bottom="0">
      <formula>M120&gt;=20</formula>
    </cfRule>
    <cfRule type="expression" rank="0" priority="480" equalAverage="0" aboveAverage="0" dxfId="1" text="" percent="0" bottom="0">
      <formula>AND(M120&gt;=10,M120&lt;20)</formula>
    </cfRule>
    <cfRule type="expression" rank="0" priority="481" equalAverage="0" aboveAverage="0" dxfId="2" text="" percent="0" bottom="0">
      <formula>AND(M120&gt;=5,M120&lt;10)</formula>
    </cfRule>
    <cfRule type="expression" rank="0" priority="482" equalAverage="0" aboveAverage="0" dxfId="3" text="" percent="0" bottom="0">
      <formula>AND(M120&gt;=1,M120&lt;5)</formula>
    </cfRule>
  </conditionalFormatting>
  <conditionalFormatting sqref="M121">
    <cfRule type="expression" rank="0" priority="483" equalAverage="0" aboveAverage="0" dxfId="0" text="" percent="0" bottom="0">
      <formula>M121&gt;=20</formula>
    </cfRule>
    <cfRule type="expression" rank="0" priority="484" equalAverage="0" aboveAverage="0" dxfId="1" text="" percent="0" bottom="0">
      <formula>AND(M121&gt;=10,M121&lt;20)</formula>
    </cfRule>
    <cfRule type="expression" rank="0" priority="485" equalAverage="0" aboveAverage="0" dxfId="2" text="" percent="0" bottom="0">
      <formula>AND(M121&gt;=5,M121&lt;10)</formula>
    </cfRule>
    <cfRule type="expression" rank="0" priority="486" equalAverage="0" aboveAverage="0" dxfId="3" text="" percent="0" bottom="0">
      <formula>AND(M121&gt;=1,M121&lt;5)</formula>
    </cfRule>
  </conditionalFormatting>
  <conditionalFormatting sqref="M122">
    <cfRule type="expression" rank="0" priority="487" equalAverage="0" aboveAverage="0" dxfId="0" text="" percent="0" bottom="0">
      <formula>M122&gt;=20</formula>
    </cfRule>
    <cfRule type="expression" rank="0" priority="488" equalAverage="0" aboveAverage="0" dxfId="1" text="" percent="0" bottom="0">
      <formula>AND(M122&gt;=10,M122&lt;20)</formula>
    </cfRule>
    <cfRule type="expression" rank="0" priority="489" equalAverage="0" aboveAverage="0" dxfId="2" text="" percent="0" bottom="0">
      <formula>AND(M122&gt;=5,M122&lt;10)</formula>
    </cfRule>
    <cfRule type="expression" rank="0" priority="490" equalAverage="0" aboveAverage="0" dxfId="3" text="" percent="0" bottom="0">
      <formula>AND(M122&gt;=1,M122&lt;5)</formula>
    </cfRule>
  </conditionalFormatting>
  <conditionalFormatting sqref="M123">
    <cfRule type="expression" rank="0" priority="491" equalAverage="0" aboveAverage="0" dxfId="0" text="" percent="0" bottom="0">
      <formula>M123&gt;=20</formula>
    </cfRule>
    <cfRule type="expression" rank="0" priority="492" equalAverage="0" aboveAverage="0" dxfId="1" text="" percent="0" bottom="0">
      <formula>AND(M123&gt;=10,M123&lt;20)</formula>
    </cfRule>
    <cfRule type="expression" rank="0" priority="493" equalAverage="0" aboveAverage="0" dxfId="2" text="" percent="0" bottom="0">
      <formula>AND(M123&gt;=5,M123&lt;10)</formula>
    </cfRule>
    <cfRule type="expression" rank="0" priority="494" equalAverage="0" aboveAverage="0" dxfId="3" text="" percent="0" bottom="0">
      <formula>AND(M123&gt;=1,M123&lt;5)</formula>
    </cfRule>
  </conditionalFormatting>
  <conditionalFormatting sqref="M124">
    <cfRule type="expression" rank="0" priority="495" equalAverage="0" aboveAverage="0" dxfId="0" text="" percent="0" bottom="0">
      <formula>M124&gt;=20</formula>
    </cfRule>
    <cfRule type="expression" rank="0" priority="496" equalAverage="0" aboveAverage="0" dxfId="1" text="" percent="0" bottom="0">
      <formula>AND(M124&gt;=10,M124&lt;20)</formula>
    </cfRule>
    <cfRule type="expression" rank="0" priority="497" equalAverage="0" aboveAverage="0" dxfId="2" text="" percent="0" bottom="0">
      <formula>AND(M124&gt;=5,M124&lt;10)</formula>
    </cfRule>
    <cfRule type="expression" rank="0" priority="498" equalAverage="0" aboveAverage="0" dxfId="3" text="" percent="0" bottom="0">
      <formula>AND(M124&gt;=1,M124&lt;5)</formula>
    </cfRule>
  </conditionalFormatting>
  <conditionalFormatting sqref="M125">
    <cfRule type="expression" rank="0" priority="499" equalAverage="0" aboveAverage="0" dxfId="0" text="" percent="0" bottom="0">
      <formula>M125&gt;=20</formula>
    </cfRule>
    <cfRule type="expression" rank="0" priority="500" equalAverage="0" aboveAverage="0" dxfId="1" text="" percent="0" bottom="0">
      <formula>AND(M125&gt;=10,M125&lt;20)</formula>
    </cfRule>
    <cfRule type="expression" rank="0" priority="501" equalAverage="0" aboveAverage="0" dxfId="2" text="" percent="0" bottom="0">
      <formula>AND(M125&gt;=5,M125&lt;10)</formula>
    </cfRule>
    <cfRule type="expression" rank="0" priority="502" equalAverage="0" aboveAverage="0" dxfId="3" text="" percent="0" bottom="0">
      <formula>AND(M125&gt;=1,M125&lt;5)</formula>
    </cfRule>
  </conditionalFormatting>
  <conditionalFormatting sqref="M126">
    <cfRule type="expression" rank="0" priority="503" equalAverage="0" aboveAverage="0" dxfId="0" text="" percent="0" bottom="0">
      <formula>M126&gt;=20</formula>
    </cfRule>
    <cfRule type="expression" rank="0" priority="504" equalAverage="0" aboveAverage="0" dxfId="1" text="" percent="0" bottom="0">
      <formula>AND(M126&gt;=10,M126&lt;20)</formula>
    </cfRule>
    <cfRule type="expression" rank="0" priority="505" equalAverage="0" aboveAverage="0" dxfId="2" text="" percent="0" bottom="0">
      <formula>AND(M126&gt;=5,M126&lt;10)</formula>
    </cfRule>
    <cfRule type="expression" rank="0" priority="506" equalAverage="0" aboveAverage="0" dxfId="3" text="" percent="0" bottom="0">
      <formula>AND(M126&gt;=1,M126&lt;5)</formula>
    </cfRule>
  </conditionalFormatting>
  <conditionalFormatting sqref="M127">
    <cfRule type="expression" rank="0" priority="507" equalAverage="0" aboveAverage="0" dxfId="0" text="" percent="0" bottom="0">
      <formula>M127&gt;=20</formula>
    </cfRule>
    <cfRule type="expression" rank="0" priority="508" equalAverage="0" aboveAverage="0" dxfId="1" text="" percent="0" bottom="0">
      <formula>AND(M127&gt;=10,M127&lt;20)</formula>
    </cfRule>
    <cfRule type="expression" rank="0" priority="509" equalAverage="0" aboveAverage="0" dxfId="2" text="" percent="0" bottom="0">
      <formula>AND(M127&gt;=5,M127&lt;10)</formula>
    </cfRule>
    <cfRule type="expression" rank="0" priority="510" equalAverage="0" aboveAverage="0" dxfId="3" text="" percent="0" bottom="0">
      <formula>AND(M127&gt;=1,M127&lt;5)</formula>
    </cfRule>
  </conditionalFormatting>
  <conditionalFormatting sqref="M128">
    <cfRule type="expression" rank="0" priority="511" equalAverage="0" aboveAverage="0" dxfId="0" text="" percent="0" bottom="0">
      <formula>M128&gt;=20</formula>
    </cfRule>
    <cfRule type="expression" rank="0" priority="512" equalAverage="0" aboveAverage="0" dxfId="1" text="" percent="0" bottom="0">
      <formula>AND(M128&gt;=10,M128&lt;20)</formula>
    </cfRule>
    <cfRule type="expression" rank="0" priority="513" equalAverage="0" aboveAverage="0" dxfId="2" text="" percent="0" bottom="0">
      <formula>AND(M128&gt;=5,M128&lt;10)</formula>
    </cfRule>
    <cfRule type="expression" rank="0" priority="514" equalAverage="0" aboveAverage="0" dxfId="3" text="" percent="0" bottom="0">
      <formula>AND(M128&gt;=1,M128&lt;5)</formula>
    </cfRule>
  </conditionalFormatting>
  <conditionalFormatting sqref="M129">
    <cfRule type="expression" rank="0" priority="515" equalAverage="0" aboveAverage="0" dxfId="0" text="" percent="0" bottom="0">
      <formula>M129&gt;=20</formula>
    </cfRule>
    <cfRule type="expression" rank="0" priority="516" equalAverage="0" aboveAverage="0" dxfId="1" text="" percent="0" bottom="0">
      <formula>AND(M129&gt;=10,M129&lt;20)</formula>
    </cfRule>
    <cfRule type="expression" rank="0" priority="517" equalAverage="0" aboveAverage="0" dxfId="2" text="" percent="0" bottom="0">
      <formula>AND(M129&gt;=5,M129&lt;10)</formula>
    </cfRule>
    <cfRule type="expression" rank="0" priority="518" equalAverage="0" aboveAverage="0" dxfId="3" text="" percent="0" bottom="0">
      <formula>AND(M129&gt;=1,M129&lt;5)</formula>
    </cfRule>
  </conditionalFormatting>
  <conditionalFormatting sqref="M130">
    <cfRule type="expression" rank="0" priority="519" equalAverage="0" aboveAverage="0" dxfId="0" text="" percent="0" bottom="0">
      <formula>M130&gt;=20</formula>
    </cfRule>
    <cfRule type="expression" rank="0" priority="520" equalAverage="0" aboveAverage="0" dxfId="1" text="" percent="0" bottom="0">
      <formula>AND(M130&gt;=10,M130&lt;20)</formula>
    </cfRule>
    <cfRule type="expression" rank="0" priority="521" equalAverage="0" aboveAverage="0" dxfId="2" text="" percent="0" bottom="0">
      <formula>AND(M130&gt;=5,M130&lt;10)</formula>
    </cfRule>
    <cfRule type="expression" rank="0" priority="522" equalAverage="0" aboveAverage="0" dxfId="3" text="" percent="0" bottom="0">
      <formula>AND(M130&gt;=1,M130&lt;5)</formula>
    </cfRule>
  </conditionalFormatting>
  <conditionalFormatting sqref="M131">
    <cfRule type="expression" rank="0" priority="523" equalAverage="0" aboveAverage="0" dxfId="0" text="" percent="0" bottom="0">
      <formula>M131&gt;=20</formula>
    </cfRule>
    <cfRule type="expression" rank="0" priority="524" equalAverage="0" aboveAverage="0" dxfId="1" text="" percent="0" bottom="0">
      <formula>AND(M131&gt;=10,M131&lt;20)</formula>
    </cfRule>
    <cfRule type="expression" rank="0" priority="525" equalAverage="0" aboveAverage="0" dxfId="2" text="" percent="0" bottom="0">
      <formula>AND(M131&gt;=5,M131&lt;10)</formula>
    </cfRule>
    <cfRule type="expression" rank="0" priority="526" equalAverage="0" aboveAverage="0" dxfId="3" text="" percent="0" bottom="0">
      <formula>AND(M131&gt;=1,M131&lt;5)</formula>
    </cfRule>
  </conditionalFormatting>
  <conditionalFormatting sqref="M132">
    <cfRule type="expression" rank="0" priority="527" equalAverage="0" aboveAverage="0" dxfId="0" text="" percent="0" bottom="0">
      <formula>M132&gt;=20</formula>
    </cfRule>
    <cfRule type="expression" rank="0" priority="528" equalAverage="0" aboveAverage="0" dxfId="1" text="" percent="0" bottom="0">
      <formula>AND(M132&gt;=10,M132&lt;20)</formula>
    </cfRule>
    <cfRule type="expression" rank="0" priority="529" equalAverage="0" aboveAverage="0" dxfId="2" text="" percent="0" bottom="0">
      <formula>AND(M132&gt;=5,M132&lt;10)</formula>
    </cfRule>
    <cfRule type="expression" rank="0" priority="530" equalAverage="0" aboveAverage="0" dxfId="3" text="" percent="0" bottom="0">
      <formula>AND(M132&gt;=1,M132&lt;5)</formula>
    </cfRule>
  </conditionalFormatting>
  <conditionalFormatting sqref="M133">
    <cfRule type="expression" rank="0" priority="531" equalAverage="0" aboveAverage="0" dxfId="0" text="" percent="0" bottom="0">
      <formula>M133&gt;=20</formula>
    </cfRule>
    <cfRule type="expression" rank="0" priority="532" equalAverage="0" aboveAverage="0" dxfId="1" text="" percent="0" bottom="0">
      <formula>AND(M133&gt;=10,M133&lt;20)</formula>
    </cfRule>
    <cfRule type="expression" rank="0" priority="533" equalAverage="0" aboveAverage="0" dxfId="2" text="" percent="0" bottom="0">
      <formula>AND(M133&gt;=5,M133&lt;10)</formula>
    </cfRule>
    <cfRule type="expression" rank="0" priority="534" equalAverage="0" aboveAverage="0" dxfId="3" text="" percent="0" bottom="0">
      <formula>AND(M133&gt;=1,M133&lt;5)</formula>
    </cfRule>
  </conditionalFormatting>
  <conditionalFormatting sqref="M134">
    <cfRule type="expression" rank="0" priority="535" equalAverage="0" aboveAverage="0" dxfId="0" text="" percent="0" bottom="0">
      <formula>M134&gt;=20</formula>
    </cfRule>
    <cfRule type="expression" rank="0" priority="536" equalAverage="0" aboveAverage="0" dxfId="1" text="" percent="0" bottom="0">
      <formula>AND(M134&gt;=10,M134&lt;20)</formula>
    </cfRule>
    <cfRule type="expression" rank="0" priority="537" equalAverage="0" aboveAverage="0" dxfId="2" text="" percent="0" bottom="0">
      <formula>AND(M134&gt;=5,M134&lt;10)</formula>
    </cfRule>
    <cfRule type="expression" rank="0" priority="538" equalAverage="0" aboveAverage="0" dxfId="3" text="" percent="0" bottom="0">
      <formula>AND(M134&gt;=1,M134&lt;5)</formula>
    </cfRule>
  </conditionalFormatting>
  <conditionalFormatting sqref="M135">
    <cfRule type="expression" rank="0" priority="539" equalAverage="0" aboveAverage="0" dxfId="0" text="" percent="0" bottom="0">
      <formula>M135&gt;=20</formula>
    </cfRule>
    <cfRule type="expression" rank="0" priority="540" equalAverage="0" aboveAverage="0" dxfId="1" text="" percent="0" bottom="0">
      <formula>AND(M135&gt;=10,M135&lt;20)</formula>
    </cfRule>
    <cfRule type="expression" rank="0" priority="541" equalAverage="0" aboveAverage="0" dxfId="2" text="" percent="0" bottom="0">
      <formula>AND(M135&gt;=5,M135&lt;10)</formula>
    </cfRule>
    <cfRule type="expression" rank="0" priority="542" equalAverage="0" aboveAverage="0" dxfId="3" text="" percent="0" bottom="0">
      <formula>AND(M135&gt;=1,M135&lt;5)</formula>
    </cfRule>
  </conditionalFormatting>
  <conditionalFormatting sqref="M136">
    <cfRule type="expression" rank="0" priority="543" equalAverage="0" aboveAverage="0" dxfId="0" text="" percent="0" bottom="0">
      <formula>M136&gt;=20</formula>
    </cfRule>
    <cfRule type="expression" rank="0" priority="544" equalAverage="0" aboveAverage="0" dxfId="1" text="" percent="0" bottom="0">
      <formula>AND(M136&gt;=10,M136&lt;20)</formula>
    </cfRule>
    <cfRule type="expression" rank="0" priority="545" equalAverage="0" aboveAverage="0" dxfId="2" text="" percent="0" bottom="0">
      <formula>AND(M136&gt;=5,M136&lt;10)</formula>
    </cfRule>
    <cfRule type="expression" rank="0" priority="546" equalAverage="0" aboveAverage="0" dxfId="3" text="" percent="0" bottom="0">
      <formula>AND(M136&gt;=1,M136&lt;5)</formula>
    </cfRule>
  </conditionalFormatting>
  <conditionalFormatting sqref="M137">
    <cfRule type="expression" rank="0" priority="547" equalAverage="0" aboveAverage="0" dxfId="0" text="" percent="0" bottom="0">
      <formula>M137&gt;=20</formula>
    </cfRule>
    <cfRule type="expression" rank="0" priority="548" equalAverage="0" aboveAverage="0" dxfId="1" text="" percent="0" bottom="0">
      <formula>AND(M137&gt;=10,M137&lt;20)</formula>
    </cfRule>
    <cfRule type="expression" rank="0" priority="549" equalAverage="0" aboveAverage="0" dxfId="2" text="" percent="0" bottom="0">
      <formula>AND(M137&gt;=5,M137&lt;10)</formula>
    </cfRule>
    <cfRule type="expression" rank="0" priority="550" equalAverage="0" aboveAverage="0" dxfId="3" text="" percent="0" bottom="0">
      <formula>AND(M137&gt;=1,M137&lt;5)</formula>
    </cfRule>
  </conditionalFormatting>
  <conditionalFormatting sqref="M138">
    <cfRule type="expression" rank="0" priority="551" equalAverage="0" aboveAverage="0" dxfId="0" text="" percent="0" bottom="0">
      <formula>M138&gt;=20</formula>
    </cfRule>
    <cfRule type="expression" rank="0" priority="552" equalAverage="0" aboveAverage="0" dxfId="1" text="" percent="0" bottom="0">
      <formula>AND(M138&gt;=10,M138&lt;20)</formula>
    </cfRule>
    <cfRule type="expression" rank="0" priority="553" equalAverage="0" aboveAverage="0" dxfId="2" text="" percent="0" bottom="0">
      <formula>AND(M138&gt;=5,M138&lt;10)</formula>
    </cfRule>
    <cfRule type="expression" rank="0" priority="554" equalAverage="0" aboveAverage="0" dxfId="3" text="" percent="0" bottom="0">
      <formula>AND(M138&gt;=1,M138&lt;5)</formula>
    </cfRule>
  </conditionalFormatting>
  <conditionalFormatting sqref="M139">
    <cfRule type="expression" rank="0" priority="555" equalAverage="0" aboveAverage="0" dxfId="0" text="" percent="0" bottom="0">
      <formula>M139&gt;=20</formula>
    </cfRule>
    <cfRule type="expression" rank="0" priority="556" equalAverage="0" aboveAverage="0" dxfId="1" text="" percent="0" bottom="0">
      <formula>AND(M139&gt;=10,M139&lt;20)</formula>
    </cfRule>
    <cfRule type="expression" rank="0" priority="557" equalAverage="0" aboveAverage="0" dxfId="2" text="" percent="0" bottom="0">
      <formula>AND(M139&gt;=5,M139&lt;10)</formula>
    </cfRule>
    <cfRule type="expression" rank="0" priority="558" equalAverage="0" aboveAverage="0" dxfId="3" text="" percent="0" bottom="0">
      <formula>AND(M139&gt;=1,M139&lt;5)</formula>
    </cfRule>
  </conditionalFormatting>
  <conditionalFormatting sqref="M140">
    <cfRule type="expression" rank="0" priority="559" equalAverage="0" aboveAverage="0" dxfId="0" text="" percent="0" bottom="0">
      <formula>M140&gt;=20</formula>
    </cfRule>
    <cfRule type="expression" rank="0" priority="560" equalAverage="0" aboveAverage="0" dxfId="1" text="" percent="0" bottom="0">
      <formula>AND(M140&gt;=10,M140&lt;20)</formula>
    </cfRule>
    <cfRule type="expression" rank="0" priority="561" equalAverage="0" aboveAverage="0" dxfId="2" text="" percent="0" bottom="0">
      <formula>AND(M140&gt;=5,M140&lt;10)</formula>
    </cfRule>
    <cfRule type="expression" rank="0" priority="562" equalAverage="0" aboveAverage="0" dxfId="3" text="" percent="0" bottom="0">
      <formula>AND(M140&gt;=1,M140&lt;5)</formula>
    </cfRule>
  </conditionalFormatting>
  <conditionalFormatting sqref="M141">
    <cfRule type="expression" rank="0" priority="563" equalAverage="0" aboveAverage="0" dxfId="0" text="" percent="0" bottom="0">
      <formula>M141&gt;=20</formula>
    </cfRule>
    <cfRule type="expression" rank="0" priority="564" equalAverage="0" aboveAverage="0" dxfId="1" text="" percent="0" bottom="0">
      <formula>AND(M141&gt;=10,M141&lt;20)</formula>
    </cfRule>
    <cfRule type="expression" rank="0" priority="565" equalAverage="0" aboveAverage="0" dxfId="2" text="" percent="0" bottom="0">
      <formula>AND(M141&gt;=5,M141&lt;10)</formula>
    </cfRule>
    <cfRule type="expression" rank="0" priority="566" equalAverage="0" aboveAverage="0" dxfId="3" text="" percent="0" bottom="0">
      <formula>AND(M141&gt;=1,M141&lt;5)</formula>
    </cfRule>
  </conditionalFormatting>
  <conditionalFormatting sqref="M142">
    <cfRule type="expression" rank="0" priority="567" equalAverage="0" aboveAverage="0" dxfId="0" text="" percent="0" bottom="0">
      <formula>M142&gt;=20</formula>
    </cfRule>
    <cfRule type="expression" rank="0" priority="568" equalAverage="0" aboveAverage="0" dxfId="1" text="" percent="0" bottom="0">
      <formula>AND(M142&gt;=10,M142&lt;20)</formula>
    </cfRule>
    <cfRule type="expression" rank="0" priority="569" equalAverage="0" aboveAverage="0" dxfId="2" text="" percent="0" bottom="0">
      <formula>AND(M142&gt;=5,M142&lt;10)</formula>
    </cfRule>
    <cfRule type="expression" rank="0" priority="570" equalAverage="0" aboveAverage="0" dxfId="3" text="" percent="0" bottom="0">
      <formula>AND(M142&gt;=1,M142&lt;5)</formula>
    </cfRule>
  </conditionalFormatting>
  <conditionalFormatting sqref="M143">
    <cfRule type="expression" rank="0" priority="571" equalAverage="0" aboveAverage="0" dxfId="0" text="" percent="0" bottom="0">
      <formula>M143&gt;=20</formula>
    </cfRule>
    <cfRule type="expression" rank="0" priority="572" equalAverage="0" aboveAverage="0" dxfId="1" text="" percent="0" bottom="0">
      <formula>AND(M143&gt;=10,M143&lt;20)</formula>
    </cfRule>
    <cfRule type="expression" rank="0" priority="573" equalAverage="0" aboveAverage="0" dxfId="2" text="" percent="0" bottom="0">
      <formula>AND(M143&gt;=5,M143&lt;10)</formula>
    </cfRule>
    <cfRule type="expression" rank="0" priority="574" equalAverage="0" aboveAverage="0" dxfId="3" text="" percent="0" bottom="0">
      <formula>AND(M143&gt;=1,M143&lt;5)</formula>
    </cfRule>
  </conditionalFormatting>
  <conditionalFormatting sqref="M144">
    <cfRule type="expression" rank="0" priority="575" equalAverage="0" aboveAverage="0" dxfId="0" text="" percent="0" bottom="0">
      <formula>M144&gt;=20</formula>
    </cfRule>
    <cfRule type="expression" rank="0" priority="576" equalAverage="0" aboveAverage="0" dxfId="1" text="" percent="0" bottom="0">
      <formula>AND(M144&gt;=10,M144&lt;20)</formula>
    </cfRule>
    <cfRule type="expression" rank="0" priority="577" equalAverage="0" aboveAverage="0" dxfId="2" text="" percent="0" bottom="0">
      <formula>AND(M144&gt;=5,M144&lt;10)</formula>
    </cfRule>
    <cfRule type="expression" rank="0" priority="578" equalAverage="0" aboveAverage="0" dxfId="3" text="" percent="0" bottom="0">
      <formula>AND(M144&gt;=1,M144&lt;5)</formula>
    </cfRule>
  </conditionalFormatting>
  <conditionalFormatting sqref="M145">
    <cfRule type="expression" rank="0" priority="579" equalAverage="0" aboveAverage="0" dxfId="0" text="" percent="0" bottom="0">
      <formula>M145&gt;=20</formula>
    </cfRule>
    <cfRule type="expression" rank="0" priority="580" equalAverage="0" aboveAverage="0" dxfId="1" text="" percent="0" bottom="0">
      <formula>AND(M145&gt;=10,M145&lt;20)</formula>
    </cfRule>
    <cfRule type="expression" rank="0" priority="581" equalAverage="0" aboveAverage="0" dxfId="2" text="" percent="0" bottom="0">
      <formula>AND(M145&gt;=5,M145&lt;10)</formula>
    </cfRule>
    <cfRule type="expression" rank="0" priority="582" equalAverage="0" aboveAverage="0" dxfId="3" text="" percent="0" bottom="0">
      <formula>AND(M145&gt;=1,M145&lt;5)</formula>
    </cfRule>
  </conditionalFormatting>
  <conditionalFormatting sqref="M146">
    <cfRule type="expression" rank="0" priority="583" equalAverage="0" aboveAverage="0" dxfId="0" text="" percent="0" bottom="0">
      <formula>M146&gt;=20</formula>
    </cfRule>
    <cfRule type="expression" rank="0" priority="584" equalAverage="0" aboveAverage="0" dxfId="1" text="" percent="0" bottom="0">
      <formula>AND(M146&gt;=10,M146&lt;20)</formula>
    </cfRule>
    <cfRule type="expression" rank="0" priority="585" equalAverage="0" aboveAverage="0" dxfId="2" text="" percent="0" bottom="0">
      <formula>AND(M146&gt;=5,M146&lt;10)</formula>
    </cfRule>
    <cfRule type="expression" rank="0" priority="586" equalAverage="0" aboveAverage="0" dxfId="3" text="" percent="0" bottom="0">
      <formula>AND(M146&gt;=1,M146&lt;5)</formula>
    </cfRule>
  </conditionalFormatting>
  <conditionalFormatting sqref="M147">
    <cfRule type="expression" rank="0" priority="587" equalAverage="0" aboveAverage="0" dxfId="0" text="" percent="0" bottom="0">
      <formula>M147&gt;=20</formula>
    </cfRule>
    <cfRule type="expression" rank="0" priority="588" equalAverage="0" aboveAverage="0" dxfId="1" text="" percent="0" bottom="0">
      <formula>AND(M147&gt;=10,M147&lt;20)</formula>
    </cfRule>
    <cfRule type="expression" rank="0" priority="589" equalAverage="0" aboveAverage="0" dxfId="2" text="" percent="0" bottom="0">
      <formula>AND(M147&gt;=5,M147&lt;10)</formula>
    </cfRule>
    <cfRule type="expression" rank="0" priority="590" equalAverage="0" aboveAverage="0" dxfId="3" text="" percent="0" bottom="0">
      <formula>AND(M147&gt;=1,M147&lt;5)</formula>
    </cfRule>
  </conditionalFormatting>
  <conditionalFormatting sqref="M148">
    <cfRule type="expression" rank="0" priority="591" equalAverage="0" aboveAverage="0" dxfId="0" text="" percent="0" bottom="0">
      <formula>M148&gt;=20</formula>
    </cfRule>
    <cfRule type="expression" rank="0" priority="592" equalAverage="0" aboveAverage="0" dxfId="1" text="" percent="0" bottom="0">
      <formula>AND(M148&gt;=10,M148&lt;20)</formula>
    </cfRule>
    <cfRule type="expression" rank="0" priority="593" equalAverage="0" aboveAverage="0" dxfId="2" text="" percent="0" bottom="0">
      <formula>AND(M148&gt;=5,M148&lt;10)</formula>
    </cfRule>
    <cfRule type="expression" rank="0" priority="594" equalAverage="0" aboveAverage="0" dxfId="3" text="" percent="0" bottom="0">
      <formula>AND(M148&gt;=1,M148&lt;5)</formula>
    </cfRule>
  </conditionalFormatting>
  <conditionalFormatting sqref="M149">
    <cfRule type="expression" rank="0" priority="595" equalAverage="0" aboveAverage="0" dxfId="0" text="" percent="0" bottom="0">
      <formula>M149&gt;=20</formula>
    </cfRule>
    <cfRule type="expression" rank="0" priority="596" equalAverage="0" aboveAverage="0" dxfId="1" text="" percent="0" bottom="0">
      <formula>AND(M149&gt;=10,M149&lt;20)</formula>
    </cfRule>
    <cfRule type="expression" rank="0" priority="597" equalAverage="0" aboveAverage="0" dxfId="2" text="" percent="0" bottom="0">
      <formula>AND(M149&gt;=5,M149&lt;10)</formula>
    </cfRule>
    <cfRule type="expression" rank="0" priority="598" equalAverage="0" aboveAverage="0" dxfId="3" text="" percent="0" bottom="0">
      <formula>AND(M149&gt;=1,M149&lt;5)</formula>
    </cfRule>
  </conditionalFormatting>
  <conditionalFormatting sqref="M150">
    <cfRule type="expression" rank="0" priority="599" equalAverage="0" aboveAverage="0" dxfId="0" text="" percent="0" bottom="0">
      <formula>M150&gt;=20</formula>
    </cfRule>
    <cfRule type="expression" rank="0" priority="600" equalAverage="0" aboveAverage="0" dxfId="1" text="" percent="0" bottom="0">
      <formula>AND(M150&gt;=10,M150&lt;20)</formula>
    </cfRule>
    <cfRule type="expression" rank="0" priority="601" equalAverage="0" aboveAverage="0" dxfId="2" text="" percent="0" bottom="0">
      <formula>AND(M150&gt;=5,M150&lt;10)</formula>
    </cfRule>
    <cfRule type="expression" rank="0" priority="602" equalAverage="0" aboveAverage="0" dxfId="3" text="" percent="0" bottom="0">
      <formula>AND(M150&gt;=1,M150&lt;5)</formula>
    </cfRule>
  </conditionalFormatting>
  <conditionalFormatting sqref="M151">
    <cfRule type="expression" rank="0" priority="603" equalAverage="0" aboveAverage="0" dxfId="0" text="" percent="0" bottom="0">
      <formula>M151&gt;=20</formula>
    </cfRule>
    <cfRule type="expression" rank="0" priority="604" equalAverage="0" aboveAverage="0" dxfId="1" text="" percent="0" bottom="0">
      <formula>AND(M151&gt;=10,M151&lt;20)</formula>
    </cfRule>
    <cfRule type="expression" rank="0" priority="605" equalAverage="0" aboveAverage="0" dxfId="2" text="" percent="0" bottom="0">
      <formula>AND(M151&gt;=5,M151&lt;10)</formula>
    </cfRule>
    <cfRule type="expression" rank="0" priority="606" equalAverage="0" aboveAverage="0" dxfId="3" text="" percent="0" bottom="0">
      <formula>AND(M151&gt;=1,M151&lt;5)</formula>
    </cfRule>
  </conditionalFormatting>
  <conditionalFormatting sqref="M152">
    <cfRule type="expression" rank="0" priority="607" equalAverage="0" aboveAverage="0" dxfId="0" text="" percent="0" bottom="0">
      <formula>M152&gt;=20</formula>
    </cfRule>
    <cfRule type="expression" rank="0" priority="608" equalAverage="0" aboveAverage="0" dxfId="1" text="" percent="0" bottom="0">
      <formula>AND(M152&gt;=10,M152&lt;20)</formula>
    </cfRule>
    <cfRule type="expression" rank="0" priority="609" equalAverage="0" aboveAverage="0" dxfId="2" text="" percent="0" bottom="0">
      <formula>AND(M152&gt;=5,M152&lt;10)</formula>
    </cfRule>
    <cfRule type="expression" rank="0" priority="610" equalAverage="0" aboveAverage="0" dxfId="3" text="" percent="0" bottom="0">
      <formula>AND(M152&gt;=1,M152&lt;5)</formula>
    </cfRule>
  </conditionalFormatting>
  <conditionalFormatting sqref="M153">
    <cfRule type="expression" rank="0" priority="611" equalAverage="0" aboveAverage="0" dxfId="0" text="" percent="0" bottom="0">
      <formula>M153&gt;=20</formula>
    </cfRule>
    <cfRule type="expression" rank="0" priority="612" equalAverage="0" aboveAverage="0" dxfId="1" text="" percent="0" bottom="0">
      <formula>AND(M153&gt;=10,M153&lt;20)</formula>
    </cfRule>
    <cfRule type="expression" rank="0" priority="613" equalAverage="0" aboveAverage="0" dxfId="2" text="" percent="0" bottom="0">
      <formula>AND(M153&gt;=5,M153&lt;10)</formula>
    </cfRule>
    <cfRule type="expression" rank="0" priority="614" equalAverage="0" aboveAverage="0" dxfId="3" text="" percent="0" bottom="0">
      <formula>AND(M153&gt;=1,M153&lt;5)</formula>
    </cfRule>
  </conditionalFormatting>
  <conditionalFormatting sqref="M154">
    <cfRule type="expression" rank="0" priority="615" equalAverage="0" aboveAverage="0" dxfId="0" text="" percent="0" bottom="0">
      <formula>M154&gt;=20</formula>
    </cfRule>
    <cfRule type="expression" rank="0" priority="616" equalAverage="0" aboveAverage="0" dxfId="1" text="" percent="0" bottom="0">
      <formula>AND(M154&gt;=10,M154&lt;20)</formula>
    </cfRule>
    <cfRule type="expression" rank="0" priority="617" equalAverage="0" aboveAverage="0" dxfId="2" text="" percent="0" bottom="0">
      <formula>AND(M154&gt;=5,M154&lt;10)</formula>
    </cfRule>
    <cfRule type="expression" rank="0" priority="618" equalAverage="0" aboveAverage="0" dxfId="3" text="" percent="0" bottom="0">
      <formula>AND(M154&gt;=1,M154&lt;5)</formula>
    </cfRule>
  </conditionalFormatting>
  <conditionalFormatting sqref="M155">
    <cfRule type="expression" rank="0" priority="619" equalAverage="0" aboveAverage="0" dxfId="0" text="" percent="0" bottom="0">
      <formula>M155&gt;=20</formula>
    </cfRule>
    <cfRule type="expression" rank="0" priority="620" equalAverage="0" aboveAverage="0" dxfId="1" text="" percent="0" bottom="0">
      <formula>AND(M155&gt;=10,M155&lt;20)</formula>
    </cfRule>
    <cfRule type="expression" rank="0" priority="621" equalAverage="0" aboveAverage="0" dxfId="2" text="" percent="0" bottom="0">
      <formula>AND(M155&gt;=5,M155&lt;10)</formula>
    </cfRule>
    <cfRule type="expression" rank="0" priority="622" equalAverage="0" aboveAverage="0" dxfId="3" text="" percent="0" bottom="0">
      <formula>AND(M155&gt;=1,M155&lt;5)</formula>
    </cfRule>
  </conditionalFormatting>
  <conditionalFormatting sqref="M156">
    <cfRule type="expression" rank="0" priority="623" equalAverage="0" aboveAverage="0" dxfId="0" text="" percent="0" bottom="0">
      <formula>M156&gt;=20</formula>
    </cfRule>
    <cfRule type="expression" rank="0" priority="624" equalAverage="0" aboveAverage="0" dxfId="1" text="" percent="0" bottom="0">
      <formula>AND(M156&gt;=10,M156&lt;20)</formula>
    </cfRule>
    <cfRule type="expression" rank="0" priority="625" equalAverage="0" aboveAverage="0" dxfId="2" text="" percent="0" bottom="0">
      <formula>AND(M156&gt;=5,M156&lt;10)</formula>
    </cfRule>
    <cfRule type="expression" rank="0" priority="626" equalAverage="0" aboveAverage="0" dxfId="3" text="" percent="0" bottom="0">
      <formula>AND(M156&gt;=1,M156&lt;5)</formula>
    </cfRule>
  </conditionalFormatting>
  <conditionalFormatting sqref="M157">
    <cfRule type="expression" rank="0" priority="627" equalAverage="0" aboveAverage="0" dxfId="0" text="" percent="0" bottom="0">
      <formula>M157&gt;=20</formula>
    </cfRule>
    <cfRule type="expression" rank="0" priority="628" equalAverage="0" aboveAverage="0" dxfId="1" text="" percent="0" bottom="0">
      <formula>AND(M157&gt;=10,M157&lt;20)</formula>
    </cfRule>
    <cfRule type="expression" rank="0" priority="629" equalAverage="0" aboveAverage="0" dxfId="2" text="" percent="0" bottom="0">
      <formula>AND(M157&gt;=5,M157&lt;10)</formula>
    </cfRule>
    <cfRule type="expression" rank="0" priority="630" equalAverage="0" aboveAverage="0" dxfId="3" text="" percent="0" bottom="0">
      <formula>AND(M157&gt;=1,M157&lt;5)</formula>
    </cfRule>
  </conditionalFormatting>
  <conditionalFormatting sqref="M158">
    <cfRule type="expression" rank="0" priority="631" equalAverage="0" aboveAverage="0" dxfId="0" text="" percent="0" bottom="0">
      <formula>M158&gt;=20</formula>
    </cfRule>
    <cfRule type="expression" rank="0" priority="632" equalAverage="0" aboveAverage="0" dxfId="1" text="" percent="0" bottom="0">
      <formula>AND(M158&gt;=10,M158&lt;20)</formula>
    </cfRule>
    <cfRule type="expression" rank="0" priority="633" equalAverage="0" aboveAverage="0" dxfId="2" text="" percent="0" bottom="0">
      <formula>AND(M158&gt;=5,M158&lt;10)</formula>
    </cfRule>
    <cfRule type="expression" rank="0" priority="634" equalAverage="0" aboveAverage="0" dxfId="3" text="" percent="0" bottom="0">
      <formula>AND(M158&gt;=1,M158&lt;5)</formula>
    </cfRule>
  </conditionalFormatting>
  <conditionalFormatting sqref="M159">
    <cfRule type="expression" rank="0" priority="635" equalAverage="0" aboveAverage="0" dxfId="0" text="" percent="0" bottom="0">
      <formula>M159&gt;=20</formula>
    </cfRule>
    <cfRule type="expression" rank="0" priority="636" equalAverage="0" aboveAverage="0" dxfId="1" text="" percent="0" bottom="0">
      <formula>AND(M159&gt;=10,M159&lt;20)</formula>
    </cfRule>
    <cfRule type="expression" rank="0" priority="637" equalAverage="0" aboveAverage="0" dxfId="2" text="" percent="0" bottom="0">
      <formula>AND(M159&gt;=5,M159&lt;10)</formula>
    </cfRule>
    <cfRule type="expression" rank="0" priority="638" equalAverage="0" aboveAverage="0" dxfId="3" text="" percent="0" bottom="0">
      <formula>AND(M159&gt;=1,M159&lt;5)</formula>
    </cfRule>
  </conditionalFormatting>
  <conditionalFormatting sqref="M160">
    <cfRule type="expression" rank="0" priority="639" equalAverage="0" aboveAverage="0" dxfId="0" text="" percent="0" bottom="0">
      <formula>M160&gt;=20</formula>
    </cfRule>
    <cfRule type="expression" rank="0" priority="640" equalAverage="0" aboveAverage="0" dxfId="1" text="" percent="0" bottom="0">
      <formula>AND(M160&gt;=10,M160&lt;20)</formula>
    </cfRule>
    <cfRule type="expression" rank="0" priority="641" equalAverage="0" aboveAverage="0" dxfId="2" text="" percent="0" bottom="0">
      <formula>AND(M160&gt;=5,M160&lt;10)</formula>
    </cfRule>
    <cfRule type="expression" rank="0" priority="642" equalAverage="0" aboveAverage="0" dxfId="3" text="" percent="0" bottom="0">
      <formula>AND(M160&gt;=1,M160&lt;5)</formula>
    </cfRule>
  </conditionalFormatting>
  <conditionalFormatting sqref="M161">
    <cfRule type="expression" rank="0" priority="643" equalAverage="0" aboveAverage="0" dxfId="0" text="" percent="0" bottom="0">
      <formula>M161&gt;=20</formula>
    </cfRule>
    <cfRule type="expression" rank="0" priority="644" equalAverage="0" aboveAverage="0" dxfId="1" text="" percent="0" bottom="0">
      <formula>AND(M161&gt;=10,M161&lt;20)</formula>
    </cfRule>
    <cfRule type="expression" rank="0" priority="645" equalAverage="0" aboveAverage="0" dxfId="2" text="" percent="0" bottom="0">
      <formula>AND(M161&gt;=5,M161&lt;10)</formula>
    </cfRule>
    <cfRule type="expression" rank="0" priority="646" equalAverage="0" aboveAverage="0" dxfId="3" text="" percent="0" bottom="0">
      <formula>AND(M161&gt;=1,M161&lt;5)</formula>
    </cfRule>
  </conditionalFormatting>
  <conditionalFormatting sqref="M162">
    <cfRule type="expression" rank="0" priority="647" equalAverage="0" aboveAverage="0" dxfId="0" text="" percent="0" bottom="0">
      <formula>M162&gt;=20</formula>
    </cfRule>
    <cfRule type="expression" rank="0" priority="648" equalAverage="0" aboveAverage="0" dxfId="1" text="" percent="0" bottom="0">
      <formula>AND(M162&gt;=10,M162&lt;20)</formula>
    </cfRule>
    <cfRule type="expression" rank="0" priority="649" equalAverage="0" aboveAverage="0" dxfId="2" text="" percent="0" bottom="0">
      <formula>AND(M162&gt;=5,M162&lt;10)</formula>
    </cfRule>
    <cfRule type="expression" rank="0" priority="650" equalAverage="0" aboveAverage="0" dxfId="3" text="" percent="0" bottom="0">
      <formula>AND(M162&gt;=1,M162&lt;5)</formula>
    </cfRule>
  </conditionalFormatting>
  <conditionalFormatting sqref="M163">
    <cfRule type="expression" rank="0" priority="651" equalAverage="0" aboveAverage="0" dxfId="0" text="" percent="0" bottom="0">
      <formula>M163&gt;=20</formula>
    </cfRule>
    <cfRule type="expression" rank="0" priority="652" equalAverage="0" aboveAverage="0" dxfId="1" text="" percent="0" bottom="0">
      <formula>AND(M163&gt;=10,M163&lt;20)</formula>
    </cfRule>
    <cfRule type="expression" rank="0" priority="653" equalAverage="0" aboveAverage="0" dxfId="2" text="" percent="0" bottom="0">
      <formula>AND(M163&gt;=5,M163&lt;10)</formula>
    </cfRule>
    <cfRule type="expression" rank="0" priority="654" equalAverage="0" aboveAverage="0" dxfId="3" text="" percent="0" bottom="0">
      <formula>AND(M163&gt;=1,M163&lt;5)</formula>
    </cfRule>
  </conditionalFormatting>
  <conditionalFormatting sqref="M164">
    <cfRule type="expression" rank="0" priority="655" equalAverage="0" aboveAverage="0" dxfId="0" text="" percent="0" bottom="0">
      <formula>M164&gt;=20</formula>
    </cfRule>
    <cfRule type="expression" rank="0" priority="656" equalAverage="0" aboveAverage="0" dxfId="1" text="" percent="0" bottom="0">
      <formula>AND(M164&gt;=10,M164&lt;20)</formula>
    </cfRule>
    <cfRule type="expression" rank="0" priority="657" equalAverage="0" aboveAverage="0" dxfId="2" text="" percent="0" bottom="0">
      <formula>AND(M164&gt;=5,M164&lt;10)</formula>
    </cfRule>
    <cfRule type="expression" rank="0" priority="658" equalAverage="0" aboveAverage="0" dxfId="3" text="" percent="0" bottom="0">
      <formula>AND(M164&gt;=1,M164&lt;5)</formula>
    </cfRule>
  </conditionalFormatting>
  <conditionalFormatting sqref="M165">
    <cfRule type="expression" rank="0" priority="659" equalAverage="0" aboveAverage="0" dxfId="0" text="" percent="0" bottom="0">
      <formula>M165&gt;=20</formula>
    </cfRule>
    <cfRule type="expression" rank="0" priority="660" equalAverage="0" aboveAverage="0" dxfId="1" text="" percent="0" bottom="0">
      <formula>AND(M165&gt;=10,M165&lt;20)</formula>
    </cfRule>
    <cfRule type="expression" rank="0" priority="661" equalAverage="0" aboveAverage="0" dxfId="2" text="" percent="0" bottom="0">
      <formula>AND(M165&gt;=5,M165&lt;10)</formula>
    </cfRule>
    <cfRule type="expression" rank="0" priority="662" equalAverage="0" aboveAverage="0" dxfId="3" text="" percent="0" bottom="0">
      <formula>AND(M165&gt;=1,M165&lt;5)</formula>
    </cfRule>
  </conditionalFormatting>
  <conditionalFormatting sqref="M166">
    <cfRule type="expression" rank="0" priority="663" equalAverage="0" aboveAverage="0" dxfId="0" text="" percent="0" bottom="0">
      <formula>M166&gt;=20</formula>
    </cfRule>
    <cfRule type="expression" rank="0" priority="664" equalAverage="0" aboveAverage="0" dxfId="1" text="" percent="0" bottom="0">
      <formula>AND(M166&gt;=10,M166&lt;20)</formula>
    </cfRule>
    <cfRule type="expression" rank="0" priority="665" equalAverage="0" aboveAverage="0" dxfId="2" text="" percent="0" bottom="0">
      <formula>AND(M166&gt;=5,M166&lt;10)</formula>
    </cfRule>
    <cfRule type="expression" rank="0" priority="666" equalAverage="0" aboveAverage="0" dxfId="3" text="" percent="0" bottom="0">
      <formula>AND(M166&gt;=1,M166&lt;5)</formula>
    </cfRule>
  </conditionalFormatting>
  <conditionalFormatting sqref="M167">
    <cfRule type="expression" rank="0" priority="667" equalAverage="0" aboveAverage="0" dxfId="0" text="" percent="0" bottom="0">
      <formula>M167&gt;=20</formula>
    </cfRule>
    <cfRule type="expression" rank="0" priority="668" equalAverage="0" aboveAverage="0" dxfId="1" text="" percent="0" bottom="0">
      <formula>AND(M167&gt;=10,M167&lt;20)</formula>
    </cfRule>
    <cfRule type="expression" rank="0" priority="669" equalAverage="0" aboveAverage="0" dxfId="2" text="" percent="0" bottom="0">
      <formula>AND(M167&gt;=5,M167&lt;10)</formula>
    </cfRule>
    <cfRule type="expression" rank="0" priority="670" equalAverage="0" aboveAverage="0" dxfId="3" text="" percent="0" bottom="0">
      <formula>AND(M167&gt;=1,M167&lt;5)</formula>
    </cfRule>
  </conditionalFormatting>
  <conditionalFormatting sqref="M168">
    <cfRule type="expression" rank="0" priority="671" equalAverage="0" aboveAverage="0" dxfId="0" text="" percent="0" bottom="0">
      <formula>M168&gt;=20</formula>
    </cfRule>
    <cfRule type="expression" rank="0" priority="672" equalAverage="0" aboveAverage="0" dxfId="1" text="" percent="0" bottom="0">
      <formula>AND(M168&gt;=10,M168&lt;20)</formula>
    </cfRule>
    <cfRule type="expression" rank="0" priority="673" equalAverage="0" aboveAverage="0" dxfId="2" text="" percent="0" bottom="0">
      <formula>AND(M168&gt;=5,M168&lt;10)</formula>
    </cfRule>
    <cfRule type="expression" rank="0" priority="674" equalAverage="0" aboveAverage="0" dxfId="3" text="" percent="0" bottom="0">
      <formula>AND(M168&gt;=1,M168&lt;5)</formula>
    </cfRule>
  </conditionalFormatting>
  <conditionalFormatting sqref="M169">
    <cfRule type="expression" rank="0" priority="675" equalAverage="0" aboveAverage="0" dxfId="0" text="" percent="0" bottom="0">
      <formula>M169&gt;=20</formula>
    </cfRule>
    <cfRule type="expression" rank="0" priority="676" equalAverage="0" aboveAverage="0" dxfId="1" text="" percent="0" bottom="0">
      <formula>AND(M169&gt;=10,M169&lt;20)</formula>
    </cfRule>
    <cfRule type="expression" rank="0" priority="677" equalAverage="0" aboveAverage="0" dxfId="2" text="" percent="0" bottom="0">
      <formula>AND(M169&gt;=5,M169&lt;10)</formula>
    </cfRule>
    <cfRule type="expression" rank="0" priority="678" equalAverage="0" aboveAverage="0" dxfId="3" text="" percent="0" bottom="0">
      <formula>AND(M169&gt;=1,M169&lt;5)</formula>
    </cfRule>
  </conditionalFormatting>
  <conditionalFormatting sqref="M170">
    <cfRule type="expression" rank="0" priority="679" equalAverage="0" aboveAverage="0" dxfId="0" text="" percent="0" bottom="0">
      <formula>M170&gt;=20</formula>
    </cfRule>
    <cfRule type="expression" rank="0" priority="680" equalAverage="0" aboveAverage="0" dxfId="1" text="" percent="0" bottom="0">
      <formula>AND(M170&gt;=10,M170&lt;20)</formula>
    </cfRule>
    <cfRule type="expression" rank="0" priority="681" equalAverage="0" aboveAverage="0" dxfId="2" text="" percent="0" bottom="0">
      <formula>AND(M170&gt;=5,M170&lt;10)</formula>
    </cfRule>
    <cfRule type="expression" rank="0" priority="682" equalAverage="0" aboveAverage="0" dxfId="3" text="" percent="0" bottom="0">
      <formula>AND(M170&gt;=1,M170&lt;5)</formula>
    </cfRule>
  </conditionalFormatting>
  <conditionalFormatting sqref="M171">
    <cfRule type="expression" rank="0" priority="683" equalAverage="0" aboveAverage="0" dxfId="0" text="" percent="0" bottom="0">
      <formula>M171&gt;=20</formula>
    </cfRule>
    <cfRule type="expression" rank="0" priority="684" equalAverage="0" aboveAverage="0" dxfId="1" text="" percent="0" bottom="0">
      <formula>AND(M171&gt;=10,M171&lt;20)</formula>
    </cfRule>
    <cfRule type="expression" rank="0" priority="685" equalAverage="0" aboveAverage="0" dxfId="2" text="" percent="0" bottom="0">
      <formula>AND(M171&gt;=5,M171&lt;10)</formula>
    </cfRule>
    <cfRule type="expression" rank="0" priority="686" equalAverage="0" aboveAverage="0" dxfId="3" text="" percent="0" bottom="0">
      <formula>AND(M171&gt;=1,M171&lt;5)</formula>
    </cfRule>
  </conditionalFormatting>
  <conditionalFormatting sqref="M172">
    <cfRule type="expression" rank="0" priority="687" equalAverage="0" aboveAverage="0" dxfId="0" text="" percent="0" bottom="0">
      <formula>M172&gt;=20</formula>
    </cfRule>
    <cfRule type="expression" rank="0" priority="688" equalAverage="0" aboveAverage="0" dxfId="1" text="" percent="0" bottom="0">
      <formula>AND(M172&gt;=10,M172&lt;20)</formula>
    </cfRule>
    <cfRule type="expression" rank="0" priority="689" equalAverage="0" aboveAverage="0" dxfId="2" text="" percent="0" bottom="0">
      <formula>AND(M172&gt;=5,M172&lt;10)</formula>
    </cfRule>
    <cfRule type="expression" rank="0" priority="690" equalAverage="0" aboveAverage="0" dxfId="3" text="" percent="0" bottom="0">
      <formula>AND(M172&gt;=1,M172&lt;5)</formula>
    </cfRule>
  </conditionalFormatting>
  <conditionalFormatting sqref="M173">
    <cfRule type="expression" rank="0" priority="691" equalAverage="0" aboveAverage="0" dxfId="0" text="" percent="0" bottom="0">
      <formula>M173&gt;=20</formula>
    </cfRule>
    <cfRule type="expression" rank="0" priority="692" equalAverage="0" aboveAverage="0" dxfId="1" text="" percent="0" bottom="0">
      <formula>AND(M173&gt;=10,M173&lt;20)</formula>
    </cfRule>
    <cfRule type="expression" rank="0" priority="693" equalAverage="0" aboveAverage="0" dxfId="2" text="" percent="0" bottom="0">
      <formula>AND(M173&gt;=5,M173&lt;10)</formula>
    </cfRule>
    <cfRule type="expression" rank="0" priority="694" equalAverage="0" aboveAverage="0" dxfId="3" text="" percent="0" bottom="0">
      <formula>AND(M173&gt;=1,M173&lt;5)</formula>
    </cfRule>
  </conditionalFormatting>
  <conditionalFormatting sqref="M174">
    <cfRule type="expression" rank="0" priority="695" equalAverage="0" aboveAverage="0" dxfId="0" text="" percent="0" bottom="0">
      <formula>M174&gt;=20</formula>
    </cfRule>
    <cfRule type="expression" rank="0" priority="696" equalAverage="0" aboveAverage="0" dxfId="1" text="" percent="0" bottom="0">
      <formula>AND(M174&gt;=10,M174&lt;20)</formula>
    </cfRule>
    <cfRule type="expression" rank="0" priority="697" equalAverage="0" aboveAverage="0" dxfId="2" text="" percent="0" bottom="0">
      <formula>AND(M174&gt;=5,M174&lt;10)</formula>
    </cfRule>
    <cfRule type="expression" rank="0" priority="698" equalAverage="0" aboveAverage="0" dxfId="3" text="" percent="0" bottom="0">
      <formula>AND(M174&gt;=1,M174&lt;5)</formula>
    </cfRule>
  </conditionalFormatting>
  <conditionalFormatting sqref="M175">
    <cfRule type="expression" rank="0" priority="699" equalAverage="0" aboveAverage="0" dxfId="0" text="" percent="0" bottom="0">
      <formula>M175&gt;=20</formula>
    </cfRule>
    <cfRule type="expression" rank="0" priority="700" equalAverage="0" aboveAverage="0" dxfId="1" text="" percent="0" bottom="0">
      <formula>AND(M175&gt;=10,M175&lt;20)</formula>
    </cfRule>
    <cfRule type="expression" rank="0" priority="701" equalAverage="0" aboveAverage="0" dxfId="2" text="" percent="0" bottom="0">
      <formula>AND(M175&gt;=5,M175&lt;10)</formula>
    </cfRule>
    <cfRule type="expression" rank="0" priority="702" equalAverage="0" aboveAverage="0" dxfId="3" text="" percent="0" bottom="0">
      <formula>AND(M175&gt;=1,M175&lt;5)</formula>
    </cfRule>
  </conditionalFormatting>
  <conditionalFormatting sqref="M176">
    <cfRule type="expression" rank="0" priority="703" equalAverage="0" aboveAverage="0" dxfId="0" text="" percent="0" bottom="0">
      <formula>M176&gt;=20</formula>
    </cfRule>
    <cfRule type="expression" rank="0" priority="704" equalAverage="0" aboveAverage="0" dxfId="1" text="" percent="0" bottom="0">
      <formula>AND(M176&gt;=10,M176&lt;20)</formula>
    </cfRule>
    <cfRule type="expression" rank="0" priority="705" equalAverage="0" aboveAverage="0" dxfId="2" text="" percent="0" bottom="0">
      <formula>AND(M176&gt;=5,M176&lt;10)</formula>
    </cfRule>
    <cfRule type="expression" rank="0" priority="706" equalAverage="0" aboveAverage="0" dxfId="3" text="" percent="0" bottom="0">
      <formula>AND(M176&gt;=1,M176&lt;5)</formula>
    </cfRule>
  </conditionalFormatting>
  <conditionalFormatting sqref="M177">
    <cfRule type="expression" rank="0" priority="707" equalAverage="0" aboveAverage="0" dxfId="0" text="" percent="0" bottom="0">
      <formula>M177&gt;=20</formula>
    </cfRule>
    <cfRule type="expression" rank="0" priority="708" equalAverage="0" aboveAverage="0" dxfId="1" text="" percent="0" bottom="0">
      <formula>AND(M177&gt;=10,M177&lt;20)</formula>
    </cfRule>
    <cfRule type="expression" rank="0" priority="709" equalAverage="0" aboveAverage="0" dxfId="2" text="" percent="0" bottom="0">
      <formula>AND(M177&gt;=5,M177&lt;10)</formula>
    </cfRule>
    <cfRule type="expression" rank="0" priority="710" equalAverage="0" aboveAverage="0" dxfId="3" text="" percent="0" bottom="0">
      <formula>AND(M177&gt;=1,M177&lt;5)</formula>
    </cfRule>
  </conditionalFormatting>
  <conditionalFormatting sqref="M178">
    <cfRule type="expression" rank="0" priority="711" equalAverage="0" aboveAverage="0" dxfId="0" text="" percent="0" bottom="0">
      <formula>M178&gt;=20</formula>
    </cfRule>
    <cfRule type="expression" rank="0" priority="712" equalAverage="0" aboveAverage="0" dxfId="1" text="" percent="0" bottom="0">
      <formula>AND(M178&gt;=10,M178&lt;20)</formula>
    </cfRule>
    <cfRule type="expression" rank="0" priority="713" equalAverage="0" aboveAverage="0" dxfId="2" text="" percent="0" bottom="0">
      <formula>AND(M178&gt;=5,M178&lt;10)</formula>
    </cfRule>
    <cfRule type="expression" rank="0" priority="714" equalAverage="0" aboveAverage="0" dxfId="3" text="" percent="0" bottom="0">
      <formula>AND(M178&gt;=1,M178&lt;5)</formula>
    </cfRule>
  </conditionalFormatting>
  <conditionalFormatting sqref="M179">
    <cfRule type="expression" rank="0" priority="715" equalAverage="0" aboveAverage="0" dxfId="0" text="" percent="0" bottom="0">
      <formula>M179&gt;=20</formula>
    </cfRule>
    <cfRule type="expression" rank="0" priority="716" equalAverage="0" aboveAverage="0" dxfId="1" text="" percent="0" bottom="0">
      <formula>AND(M179&gt;=10,M179&lt;20)</formula>
    </cfRule>
    <cfRule type="expression" rank="0" priority="717" equalAverage="0" aboveAverage="0" dxfId="2" text="" percent="0" bottom="0">
      <formula>AND(M179&gt;=5,M179&lt;10)</formula>
    </cfRule>
    <cfRule type="expression" rank="0" priority="718" equalAverage="0" aboveAverage="0" dxfId="3" text="" percent="0" bottom="0">
      <formula>AND(M179&gt;=1,M179&lt;5)</formula>
    </cfRule>
  </conditionalFormatting>
  <conditionalFormatting sqref="M180">
    <cfRule type="expression" rank="0" priority="719" equalAverage="0" aboveAverage="0" dxfId="0" text="" percent="0" bottom="0">
      <formula>M180&gt;=20</formula>
    </cfRule>
    <cfRule type="expression" rank="0" priority="720" equalAverage="0" aboveAverage="0" dxfId="1" text="" percent="0" bottom="0">
      <formula>AND(M180&gt;=10,M180&lt;20)</formula>
    </cfRule>
    <cfRule type="expression" rank="0" priority="721" equalAverage="0" aboveAverage="0" dxfId="2" text="" percent="0" bottom="0">
      <formula>AND(M180&gt;=5,M180&lt;10)</formula>
    </cfRule>
    <cfRule type="expression" rank="0" priority="722" equalAverage="0" aboveAverage="0" dxfId="3" text="" percent="0" bottom="0">
      <formula>AND(M180&gt;=1,M180&lt;5)</formula>
    </cfRule>
  </conditionalFormatting>
  <conditionalFormatting sqref="M181">
    <cfRule type="expression" rank="0" priority="723" equalAverage="0" aboveAverage="0" dxfId="0" text="" percent="0" bottom="0">
      <formula>M181&gt;=20</formula>
    </cfRule>
    <cfRule type="expression" rank="0" priority="724" equalAverage="0" aboveAverage="0" dxfId="1" text="" percent="0" bottom="0">
      <formula>AND(M181&gt;=10,M181&lt;20)</formula>
    </cfRule>
    <cfRule type="expression" rank="0" priority="725" equalAverage="0" aboveAverage="0" dxfId="2" text="" percent="0" bottom="0">
      <formula>AND(M181&gt;=5,M181&lt;10)</formula>
    </cfRule>
    <cfRule type="expression" rank="0" priority="726" equalAverage="0" aboveAverage="0" dxfId="3" text="" percent="0" bottom="0">
      <formula>AND(M181&gt;=1,M181&lt;5)</formula>
    </cfRule>
  </conditionalFormatting>
  <conditionalFormatting sqref="M182">
    <cfRule type="expression" rank="0" priority="727" equalAverage="0" aboveAverage="0" dxfId="0" text="" percent="0" bottom="0">
      <formula>M182&gt;=20</formula>
    </cfRule>
    <cfRule type="expression" rank="0" priority="728" equalAverage="0" aboveAverage="0" dxfId="1" text="" percent="0" bottom="0">
      <formula>AND(M182&gt;=10,M182&lt;20)</formula>
    </cfRule>
    <cfRule type="expression" rank="0" priority="729" equalAverage="0" aboveAverage="0" dxfId="2" text="" percent="0" bottom="0">
      <formula>AND(M182&gt;=5,M182&lt;10)</formula>
    </cfRule>
    <cfRule type="expression" rank="0" priority="730" equalAverage="0" aboveAverage="0" dxfId="3" text="" percent="0" bottom="0">
      <formula>AND(M182&gt;=1,M182&lt;5)</formula>
    </cfRule>
  </conditionalFormatting>
  <conditionalFormatting sqref="M183">
    <cfRule type="expression" rank="0" priority="731" equalAverage="0" aboveAverage="0" dxfId="0" text="" percent="0" bottom="0">
      <formula>M183&gt;=20</formula>
    </cfRule>
    <cfRule type="expression" rank="0" priority="732" equalAverage="0" aboveAverage="0" dxfId="1" text="" percent="0" bottom="0">
      <formula>AND(M183&gt;=10,M183&lt;20)</formula>
    </cfRule>
    <cfRule type="expression" rank="0" priority="733" equalAverage="0" aboveAverage="0" dxfId="2" text="" percent="0" bottom="0">
      <formula>AND(M183&gt;=5,M183&lt;10)</formula>
    </cfRule>
    <cfRule type="expression" rank="0" priority="734" equalAverage="0" aboveAverage="0" dxfId="3" text="" percent="0" bottom="0">
      <formula>AND(M183&gt;=1,M183&lt;5)</formula>
    </cfRule>
  </conditionalFormatting>
  <conditionalFormatting sqref="M184">
    <cfRule type="expression" rank="0" priority="735" equalAverage="0" aboveAverage="0" dxfId="0" text="" percent="0" bottom="0">
      <formula>M184&gt;=20</formula>
    </cfRule>
    <cfRule type="expression" rank="0" priority="736" equalAverage="0" aboveAverage="0" dxfId="1" text="" percent="0" bottom="0">
      <formula>AND(M184&gt;=10,M184&lt;20)</formula>
    </cfRule>
    <cfRule type="expression" rank="0" priority="737" equalAverage="0" aboveAverage="0" dxfId="2" text="" percent="0" bottom="0">
      <formula>AND(M184&gt;=5,M184&lt;10)</formula>
    </cfRule>
    <cfRule type="expression" rank="0" priority="738" equalAverage="0" aboveAverage="0" dxfId="3" text="" percent="0" bottom="0">
      <formula>AND(M184&gt;=1,M184&lt;5)</formula>
    </cfRule>
  </conditionalFormatting>
  <conditionalFormatting sqref="M185">
    <cfRule type="expression" rank="0" priority="739" equalAverage="0" aboveAverage="0" dxfId="0" text="" percent="0" bottom="0">
      <formula>M185&gt;=20</formula>
    </cfRule>
    <cfRule type="expression" rank="0" priority="740" equalAverage="0" aboveAverage="0" dxfId="1" text="" percent="0" bottom="0">
      <formula>AND(M185&gt;=10,M185&lt;20)</formula>
    </cfRule>
    <cfRule type="expression" rank="0" priority="741" equalAverage="0" aboveAverage="0" dxfId="2" text="" percent="0" bottom="0">
      <formula>AND(M185&gt;=5,M185&lt;10)</formula>
    </cfRule>
    <cfRule type="expression" rank="0" priority="742" equalAverage="0" aboveAverage="0" dxfId="3" text="" percent="0" bottom="0">
      <formula>AND(M185&gt;=1,M185&lt;5)</formula>
    </cfRule>
  </conditionalFormatting>
  <conditionalFormatting sqref="M186">
    <cfRule type="expression" rank="0" priority="743" equalAverage="0" aboveAverage="0" dxfId="0" text="" percent="0" bottom="0">
      <formula>M186&gt;=20</formula>
    </cfRule>
    <cfRule type="expression" rank="0" priority="744" equalAverage="0" aboveAverage="0" dxfId="1" text="" percent="0" bottom="0">
      <formula>AND(M186&gt;=10,M186&lt;20)</formula>
    </cfRule>
    <cfRule type="expression" rank="0" priority="745" equalAverage="0" aboveAverage="0" dxfId="2" text="" percent="0" bottom="0">
      <formula>AND(M186&gt;=5,M186&lt;10)</formula>
    </cfRule>
    <cfRule type="expression" rank="0" priority="746" equalAverage="0" aboveAverage="0" dxfId="3" text="" percent="0" bottom="0">
      <formula>AND(M186&gt;=1,M186&lt;5)</formula>
    </cfRule>
  </conditionalFormatting>
  <conditionalFormatting sqref="M187">
    <cfRule type="expression" rank="0" priority="747" equalAverage="0" aboveAverage="0" dxfId="0" text="" percent="0" bottom="0">
      <formula>M187&gt;=20</formula>
    </cfRule>
    <cfRule type="expression" rank="0" priority="748" equalAverage="0" aboveAverage="0" dxfId="1" text="" percent="0" bottom="0">
      <formula>AND(M187&gt;=10,M187&lt;20)</formula>
    </cfRule>
    <cfRule type="expression" rank="0" priority="749" equalAverage="0" aboveAverage="0" dxfId="2" text="" percent="0" bottom="0">
      <formula>AND(M187&gt;=5,M187&lt;10)</formula>
    </cfRule>
    <cfRule type="expression" rank="0" priority="750" equalAverage="0" aboveAverage="0" dxfId="3" text="" percent="0" bottom="0">
      <formula>AND(M187&gt;=1,M187&lt;5)</formula>
    </cfRule>
  </conditionalFormatting>
  <conditionalFormatting sqref="M188">
    <cfRule type="expression" rank="0" priority="751" equalAverage="0" aboveAverage="0" dxfId="0" text="" percent="0" bottom="0">
      <formula>M188&gt;=20</formula>
    </cfRule>
    <cfRule type="expression" rank="0" priority="752" equalAverage="0" aboveAverage="0" dxfId="1" text="" percent="0" bottom="0">
      <formula>AND(M188&gt;=10,M188&lt;20)</formula>
    </cfRule>
    <cfRule type="expression" rank="0" priority="753" equalAverage="0" aboveAverage="0" dxfId="2" text="" percent="0" bottom="0">
      <formula>AND(M188&gt;=5,M188&lt;10)</formula>
    </cfRule>
    <cfRule type="expression" rank="0" priority="754" equalAverage="0" aboveAverage="0" dxfId="3" text="" percent="0" bottom="0">
      <formula>AND(M188&gt;=1,M188&lt;5)</formula>
    </cfRule>
  </conditionalFormatting>
  <conditionalFormatting sqref="M189">
    <cfRule type="expression" rank="0" priority="755" equalAverage="0" aboveAverage="0" dxfId="0" text="" percent="0" bottom="0">
      <formula>M189&gt;=20</formula>
    </cfRule>
    <cfRule type="expression" rank="0" priority="756" equalAverage="0" aboveAverage="0" dxfId="1" text="" percent="0" bottom="0">
      <formula>AND(M189&gt;=10,M189&lt;20)</formula>
    </cfRule>
    <cfRule type="expression" rank="0" priority="757" equalAverage="0" aboveAverage="0" dxfId="2" text="" percent="0" bottom="0">
      <formula>AND(M189&gt;=5,M189&lt;10)</formula>
    </cfRule>
    <cfRule type="expression" rank="0" priority="758" equalAverage="0" aboveAverage="0" dxfId="3" text="" percent="0" bottom="0">
      <formula>AND(M189&gt;=1,M189&lt;5)</formula>
    </cfRule>
  </conditionalFormatting>
  <conditionalFormatting sqref="M190">
    <cfRule type="expression" rank="0" priority="759" equalAverage="0" aboveAverage="0" dxfId="0" text="" percent="0" bottom="0">
      <formula>M190&gt;=20</formula>
    </cfRule>
    <cfRule type="expression" rank="0" priority="760" equalAverage="0" aboveAverage="0" dxfId="1" text="" percent="0" bottom="0">
      <formula>AND(M190&gt;=10,M190&lt;20)</formula>
    </cfRule>
    <cfRule type="expression" rank="0" priority="761" equalAverage="0" aboveAverage="0" dxfId="2" text="" percent="0" bottom="0">
      <formula>AND(M190&gt;=5,M190&lt;10)</formula>
    </cfRule>
    <cfRule type="expression" rank="0" priority="762" equalAverage="0" aboveAverage="0" dxfId="3" text="" percent="0" bottom="0">
      <formula>AND(M190&gt;=1,M190&lt;5)</formula>
    </cfRule>
  </conditionalFormatting>
  <conditionalFormatting sqref="M191">
    <cfRule type="expression" rank="0" priority="763" equalAverage="0" aboveAverage="0" dxfId="0" text="" percent="0" bottom="0">
      <formula>M191&gt;=20</formula>
    </cfRule>
    <cfRule type="expression" rank="0" priority="764" equalAverage="0" aboveAverage="0" dxfId="1" text="" percent="0" bottom="0">
      <formula>AND(M191&gt;=10,M191&lt;20)</formula>
    </cfRule>
    <cfRule type="expression" rank="0" priority="765" equalAverage="0" aboveAverage="0" dxfId="2" text="" percent="0" bottom="0">
      <formula>AND(M191&gt;=5,M191&lt;10)</formula>
    </cfRule>
    <cfRule type="expression" rank="0" priority="766" equalAverage="0" aboveAverage="0" dxfId="3" text="" percent="0" bottom="0">
      <formula>AND(M191&gt;=1,M191&lt;5)</formula>
    </cfRule>
  </conditionalFormatting>
  <conditionalFormatting sqref="M192">
    <cfRule type="expression" rank="0" priority="767" equalAverage="0" aboveAverage="0" dxfId="0" text="" percent="0" bottom="0">
      <formula>M192&gt;=20</formula>
    </cfRule>
    <cfRule type="expression" rank="0" priority="768" equalAverage="0" aboveAverage="0" dxfId="1" text="" percent="0" bottom="0">
      <formula>AND(M192&gt;=10,M192&lt;20)</formula>
    </cfRule>
    <cfRule type="expression" rank="0" priority="769" equalAverage="0" aboveAverage="0" dxfId="2" text="" percent="0" bottom="0">
      <formula>AND(M192&gt;=5,M192&lt;10)</formula>
    </cfRule>
    <cfRule type="expression" rank="0" priority="770" equalAverage="0" aboveAverage="0" dxfId="3" text="" percent="0" bottom="0">
      <formula>AND(M192&gt;=1,M192&lt;5)</formula>
    </cfRule>
  </conditionalFormatting>
  <conditionalFormatting sqref="M193">
    <cfRule type="expression" rank="0" priority="771" equalAverage="0" aboveAverage="0" dxfId="0" text="" percent="0" bottom="0">
      <formula>M193&gt;=20</formula>
    </cfRule>
    <cfRule type="expression" rank="0" priority="772" equalAverage="0" aboveAverage="0" dxfId="1" text="" percent="0" bottom="0">
      <formula>AND(M193&gt;=10,M193&lt;20)</formula>
    </cfRule>
    <cfRule type="expression" rank="0" priority="773" equalAverage="0" aboveAverage="0" dxfId="2" text="" percent="0" bottom="0">
      <formula>AND(M193&gt;=5,M193&lt;10)</formula>
    </cfRule>
    <cfRule type="expression" rank="0" priority="774" equalAverage="0" aboveAverage="0" dxfId="3" text="" percent="0" bottom="0">
      <formula>AND(M193&gt;=1,M193&lt;5)</formula>
    </cfRule>
  </conditionalFormatting>
  <conditionalFormatting sqref="M194">
    <cfRule type="expression" rank="0" priority="775" equalAverage="0" aboveAverage="0" dxfId="0" text="" percent="0" bottom="0">
      <formula>M194&gt;=20</formula>
    </cfRule>
    <cfRule type="expression" rank="0" priority="776" equalAverage="0" aboveAverage="0" dxfId="1" text="" percent="0" bottom="0">
      <formula>AND(M194&gt;=10,M194&lt;20)</formula>
    </cfRule>
    <cfRule type="expression" rank="0" priority="777" equalAverage="0" aboveAverage="0" dxfId="2" text="" percent="0" bottom="0">
      <formula>AND(M194&gt;=5,M194&lt;10)</formula>
    </cfRule>
    <cfRule type="expression" rank="0" priority="778" equalAverage="0" aboveAverage="0" dxfId="3" text="" percent="0" bottom="0">
      <formula>AND(M194&gt;=1,M194&lt;5)</formula>
    </cfRule>
  </conditionalFormatting>
  <conditionalFormatting sqref="M195">
    <cfRule type="expression" rank="0" priority="779" equalAverage="0" aboveAverage="0" dxfId="0" text="" percent="0" bottom="0">
      <formula>M195&gt;=20</formula>
    </cfRule>
    <cfRule type="expression" rank="0" priority="780" equalAverage="0" aboveAverage="0" dxfId="1" text="" percent="0" bottom="0">
      <formula>AND(M195&gt;=10,M195&lt;20)</formula>
    </cfRule>
    <cfRule type="expression" rank="0" priority="781" equalAverage="0" aboveAverage="0" dxfId="2" text="" percent="0" bottom="0">
      <formula>AND(M195&gt;=5,M195&lt;10)</formula>
    </cfRule>
    <cfRule type="expression" rank="0" priority="782" equalAverage="0" aboveAverage="0" dxfId="3" text="" percent="0" bottom="0">
      <formula>AND(M195&gt;=1,M195&lt;5)</formula>
    </cfRule>
  </conditionalFormatting>
  <conditionalFormatting sqref="M196">
    <cfRule type="expression" rank="0" priority="783" equalAverage="0" aboveAverage="0" dxfId="0" text="" percent="0" bottom="0">
      <formula>M196&gt;=20</formula>
    </cfRule>
    <cfRule type="expression" rank="0" priority="784" equalAverage="0" aboveAverage="0" dxfId="1" text="" percent="0" bottom="0">
      <formula>AND(M196&gt;=10,M196&lt;20)</formula>
    </cfRule>
    <cfRule type="expression" rank="0" priority="785" equalAverage="0" aboveAverage="0" dxfId="2" text="" percent="0" bottom="0">
      <formula>AND(M196&gt;=5,M196&lt;10)</formula>
    </cfRule>
    <cfRule type="expression" rank="0" priority="786" equalAverage="0" aboveAverage="0" dxfId="3" text="" percent="0" bottom="0">
      <formula>AND(M196&gt;=1,M196&lt;5)</formula>
    </cfRule>
  </conditionalFormatting>
  <conditionalFormatting sqref="M197">
    <cfRule type="expression" rank="0" priority="787" equalAverage="0" aboveAverage="0" dxfId="0" text="" percent="0" bottom="0">
      <formula>M197&gt;=20</formula>
    </cfRule>
    <cfRule type="expression" rank="0" priority="788" equalAverage="0" aboveAverage="0" dxfId="1" text="" percent="0" bottom="0">
      <formula>AND(M197&gt;=10,M197&lt;20)</formula>
    </cfRule>
    <cfRule type="expression" rank="0" priority="789" equalAverage="0" aboveAverage="0" dxfId="2" text="" percent="0" bottom="0">
      <formula>AND(M197&gt;=5,M197&lt;10)</formula>
    </cfRule>
    <cfRule type="expression" rank="0" priority="790" equalAverage="0" aboveAverage="0" dxfId="3" text="" percent="0" bottom="0">
      <formula>AND(M197&gt;=1,M197&lt;5)</formula>
    </cfRule>
  </conditionalFormatting>
  <conditionalFormatting sqref="M198">
    <cfRule type="expression" rank="0" priority="791" equalAverage="0" aboveAverage="0" dxfId="0" text="" percent="0" bottom="0">
      <formula>M198&gt;=20</formula>
    </cfRule>
    <cfRule type="expression" rank="0" priority="792" equalAverage="0" aboveAverage="0" dxfId="1" text="" percent="0" bottom="0">
      <formula>AND(M198&gt;=10,M198&lt;20)</formula>
    </cfRule>
    <cfRule type="expression" rank="0" priority="793" equalAverage="0" aboveAverage="0" dxfId="2" text="" percent="0" bottom="0">
      <formula>AND(M198&gt;=5,M198&lt;10)</formula>
    </cfRule>
    <cfRule type="expression" rank="0" priority="794" equalAverage="0" aboveAverage="0" dxfId="3" text="" percent="0" bottom="0">
      <formula>AND(M198&gt;=1,M198&lt;5)</formula>
    </cfRule>
  </conditionalFormatting>
  <conditionalFormatting sqref="M199">
    <cfRule type="expression" rank="0" priority="795" equalAverage="0" aboveAverage="0" dxfId="0" text="" percent="0" bottom="0">
      <formula>M199&gt;=20</formula>
    </cfRule>
    <cfRule type="expression" rank="0" priority="796" equalAverage="0" aboveAverage="0" dxfId="1" text="" percent="0" bottom="0">
      <formula>AND(M199&gt;=10,M199&lt;20)</formula>
    </cfRule>
    <cfRule type="expression" rank="0" priority="797" equalAverage="0" aboveAverage="0" dxfId="2" text="" percent="0" bottom="0">
      <formula>AND(M199&gt;=5,M199&lt;10)</formula>
    </cfRule>
    <cfRule type="expression" rank="0" priority="798" equalAverage="0" aboveAverage="0" dxfId="3" text="" percent="0" bottom="0">
      <formula>AND(M199&gt;=1,M199&lt;5)</formula>
    </cfRule>
  </conditionalFormatting>
  <conditionalFormatting sqref="M200">
    <cfRule type="expression" rank="0" priority="799" equalAverage="0" aboveAverage="0" dxfId="0" text="" percent="0" bottom="0">
      <formula>M200&gt;=20</formula>
    </cfRule>
    <cfRule type="expression" rank="0" priority="800" equalAverage="0" aboveAverage="0" dxfId="1" text="" percent="0" bottom="0">
      <formula>AND(M200&gt;=10,M200&lt;20)</formula>
    </cfRule>
    <cfRule type="expression" rank="0" priority="801" equalAverage="0" aboveAverage="0" dxfId="2" text="" percent="0" bottom="0">
      <formula>AND(M200&gt;=5,M200&lt;10)</formula>
    </cfRule>
    <cfRule type="expression" rank="0" priority="802" equalAverage="0" aboveAverage="0" dxfId="3" text="" percent="0" bottom="0">
      <formula>AND(M200&gt;=1,M200&lt;5)</formula>
    </cfRule>
  </conditionalFormatting>
  <conditionalFormatting sqref="M201">
    <cfRule type="expression" rank="0" priority="803" equalAverage="0" aboveAverage="0" dxfId="0" text="" percent="0" bottom="0">
      <formula>M201&gt;=20</formula>
    </cfRule>
    <cfRule type="expression" rank="0" priority="804" equalAverage="0" aboveAverage="0" dxfId="1" text="" percent="0" bottom="0">
      <formula>AND(M201&gt;=10,M201&lt;20)</formula>
    </cfRule>
    <cfRule type="expression" rank="0" priority="805" equalAverage="0" aboveAverage="0" dxfId="2" text="" percent="0" bottom="0">
      <formula>AND(M201&gt;=5,M201&lt;10)</formula>
    </cfRule>
    <cfRule type="expression" rank="0" priority="806" equalAverage="0" aboveAverage="0" dxfId="3" text="" percent="0" bottom="0">
      <formula>AND(M201&gt;=1,M201&lt;5)</formula>
    </cfRule>
  </conditionalFormatting>
  <conditionalFormatting sqref="M202">
    <cfRule type="expression" rank="0" priority="807" equalAverage="0" aboveAverage="0" dxfId="0" text="" percent="0" bottom="0">
      <formula>M202&gt;=20</formula>
    </cfRule>
    <cfRule type="expression" rank="0" priority="808" equalAverage="0" aboveAverage="0" dxfId="1" text="" percent="0" bottom="0">
      <formula>AND(M202&gt;=10,M202&lt;20)</formula>
    </cfRule>
    <cfRule type="expression" rank="0" priority="809" equalAverage="0" aboveAverage="0" dxfId="2" text="" percent="0" bottom="0">
      <formula>AND(M202&gt;=5,M202&lt;10)</formula>
    </cfRule>
    <cfRule type="expression" rank="0" priority="810" equalAverage="0" aboveAverage="0" dxfId="3" text="" percent="0" bottom="0">
      <formula>AND(M202&gt;=1,M202&lt;5)</formula>
    </cfRule>
  </conditionalFormatting>
  <conditionalFormatting sqref="M203">
    <cfRule type="expression" rank="0" priority="811" equalAverage="0" aboveAverage="0" dxfId="0" text="" percent="0" bottom="0">
      <formula>M203&gt;=20</formula>
    </cfRule>
    <cfRule type="expression" rank="0" priority="812" equalAverage="0" aboveAverage="0" dxfId="1" text="" percent="0" bottom="0">
      <formula>AND(M203&gt;=10,M203&lt;20)</formula>
    </cfRule>
    <cfRule type="expression" rank="0" priority="813" equalAverage="0" aboveAverage="0" dxfId="2" text="" percent="0" bottom="0">
      <formula>AND(M203&gt;=5,M203&lt;10)</formula>
    </cfRule>
    <cfRule type="expression" rank="0" priority="814" equalAverage="0" aboveAverage="0" dxfId="3" text="" percent="0" bottom="0">
      <formula>AND(M203&gt;=1,M203&lt;5)</formula>
    </cfRule>
  </conditionalFormatting>
  <conditionalFormatting sqref="M204">
    <cfRule type="expression" rank="0" priority="815" equalAverage="0" aboveAverage="0" dxfId="0" text="" percent="0" bottom="0">
      <formula>M204&gt;=20</formula>
    </cfRule>
    <cfRule type="expression" rank="0" priority="816" equalAverage="0" aboveAverage="0" dxfId="1" text="" percent="0" bottom="0">
      <formula>AND(M204&gt;=10,M204&lt;20)</formula>
    </cfRule>
    <cfRule type="expression" rank="0" priority="817" equalAverage="0" aboveAverage="0" dxfId="2" text="" percent="0" bottom="0">
      <formula>AND(M204&gt;=5,M204&lt;10)</formula>
    </cfRule>
    <cfRule type="expression" rank="0" priority="818" equalAverage="0" aboveAverage="0" dxfId="3" text="" percent="0" bottom="0">
      <formula>AND(M204&gt;=1,M204&lt;5)</formula>
    </cfRule>
  </conditionalFormatting>
  <conditionalFormatting sqref="M205">
    <cfRule type="expression" rank="0" priority="819" equalAverage="0" aboveAverage="0" dxfId="0" text="" percent="0" bottom="0">
      <formula>M205&gt;=20</formula>
    </cfRule>
    <cfRule type="expression" rank="0" priority="820" equalAverage="0" aboveAverage="0" dxfId="1" text="" percent="0" bottom="0">
      <formula>AND(M205&gt;=10,M205&lt;20)</formula>
    </cfRule>
    <cfRule type="expression" rank="0" priority="821" equalAverage="0" aboveAverage="0" dxfId="2" text="" percent="0" bottom="0">
      <formula>AND(M205&gt;=5,M205&lt;10)</formula>
    </cfRule>
    <cfRule type="expression" rank="0" priority="822" equalAverage="0" aboveAverage="0" dxfId="3" text="" percent="0" bottom="0">
      <formula>AND(M205&gt;=1,M205&lt;5)</formula>
    </cfRule>
  </conditionalFormatting>
  <conditionalFormatting sqref="M206">
    <cfRule type="expression" rank="0" priority="823" equalAverage="0" aboveAverage="0" dxfId="0" text="" percent="0" bottom="0">
      <formula>M206&gt;=20</formula>
    </cfRule>
    <cfRule type="expression" rank="0" priority="824" equalAverage="0" aboveAverage="0" dxfId="1" text="" percent="0" bottom="0">
      <formula>AND(M206&gt;=10,M206&lt;20)</formula>
    </cfRule>
    <cfRule type="expression" rank="0" priority="825" equalAverage="0" aboveAverage="0" dxfId="2" text="" percent="0" bottom="0">
      <formula>AND(M206&gt;=5,M206&lt;10)</formula>
    </cfRule>
    <cfRule type="expression" rank="0" priority="826" equalAverage="0" aboveAverage="0" dxfId="3" text="" percent="0" bottom="0">
      <formula>AND(M206&gt;=1,M206&lt;5)</formula>
    </cfRule>
  </conditionalFormatting>
  <conditionalFormatting sqref="M207">
    <cfRule type="expression" rank="0" priority="827" equalAverage="0" aboveAverage="0" dxfId="0" text="" percent="0" bottom="0">
      <formula>M207&gt;=20</formula>
    </cfRule>
    <cfRule type="expression" rank="0" priority="828" equalAverage="0" aboveAverage="0" dxfId="1" text="" percent="0" bottom="0">
      <formula>AND(M207&gt;=10,M207&lt;20)</formula>
    </cfRule>
    <cfRule type="expression" rank="0" priority="829" equalAverage="0" aboveAverage="0" dxfId="2" text="" percent="0" bottom="0">
      <formula>AND(M207&gt;=5,M207&lt;10)</formula>
    </cfRule>
    <cfRule type="expression" rank="0" priority="830" equalAverage="0" aboveAverage="0" dxfId="3" text="" percent="0" bottom="0">
      <formula>AND(M207&gt;=1,M207&lt;5)</formula>
    </cfRule>
  </conditionalFormatting>
  <conditionalFormatting sqref="M208">
    <cfRule type="expression" rank="0" priority="831" equalAverage="0" aboveAverage="0" dxfId="0" text="" percent="0" bottom="0">
      <formula>M208&gt;=20</formula>
    </cfRule>
    <cfRule type="expression" rank="0" priority="832" equalAverage="0" aboveAverage="0" dxfId="1" text="" percent="0" bottom="0">
      <formula>AND(M208&gt;=10,M208&lt;20)</formula>
    </cfRule>
    <cfRule type="expression" rank="0" priority="833" equalAverage="0" aboveAverage="0" dxfId="2" text="" percent="0" bottom="0">
      <formula>AND(M208&gt;=5,M208&lt;10)</formula>
    </cfRule>
    <cfRule type="expression" rank="0" priority="834" equalAverage="0" aboveAverage="0" dxfId="3" text="" percent="0" bottom="0">
      <formula>AND(M208&gt;=1,M208&lt;5)</formula>
    </cfRule>
  </conditionalFormatting>
  <conditionalFormatting sqref="M209">
    <cfRule type="expression" rank="0" priority="835" equalAverage="0" aboveAverage="0" dxfId="0" text="" percent="0" bottom="0">
      <formula>M209&gt;=20</formula>
    </cfRule>
    <cfRule type="expression" rank="0" priority="836" equalAverage="0" aboveAverage="0" dxfId="1" text="" percent="0" bottom="0">
      <formula>AND(M209&gt;=10,M209&lt;20)</formula>
    </cfRule>
    <cfRule type="expression" rank="0" priority="837" equalAverage="0" aboveAverage="0" dxfId="2" text="" percent="0" bottom="0">
      <formula>AND(M209&gt;=5,M209&lt;10)</formula>
    </cfRule>
    <cfRule type="expression" rank="0" priority="838" equalAverage="0" aboveAverage="0" dxfId="3" text="" percent="0" bottom="0">
      <formula>AND(M209&gt;=1,M209&lt;5)</formula>
    </cfRule>
  </conditionalFormatting>
  <conditionalFormatting sqref="M210">
    <cfRule type="expression" rank="0" priority="839" equalAverage="0" aboveAverage="0" dxfId="0" text="" percent="0" bottom="0">
      <formula>M210&gt;=20</formula>
    </cfRule>
    <cfRule type="expression" rank="0" priority="840" equalAverage="0" aboveAverage="0" dxfId="1" text="" percent="0" bottom="0">
      <formula>AND(M210&gt;=10,M210&lt;20)</formula>
    </cfRule>
    <cfRule type="expression" rank="0" priority="841" equalAverage="0" aboveAverage="0" dxfId="2" text="" percent="0" bottom="0">
      <formula>AND(M210&gt;=5,M210&lt;10)</formula>
    </cfRule>
    <cfRule type="expression" rank="0" priority="842" equalAverage="0" aboveAverage="0" dxfId="3" text="" percent="0" bottom="0">
      <formula>AND(M210&gt;=1,M210&lt;5)</formula>
    </cfRule>
  </conditionalFormatting>
  <conditionalFormatting sqref="M211">
    <cfRule type="expression" rank="0" priority="843" equalAverage="0" aboveAverage="0" dxfId="0" text="" percent="0" bottom="0">
      <formula>M211&gt;=20</formula>
    </cfRule>
    <cfRule type="expression" rank="0" priority="844" equalAverage="0" aboveAverage="0" dxfId="1" text="" percent="0" bottom="0">
      <formula>AND(M211&gt;=10,M211&lt;20)</formula>
    </cfRule>
    <cfRule type="expression" rank="0" priority="845" equalAverage="0" aboveAverage="0" dxfId="2" text="" percent="0" bottom="0">
      <formula>AND(M211&gt;=5,M211&lt;10)</formula>
    </cfRule>
    <cfRule type="expression" rank="0" priority="846" equalAverage="0" aboveAverage="0" dxfId="3" text="" percent="0" bottom="0">
      <formula>AND(M211&gt;=1,M211&lt;5)</formula>
    </cfRule>
  </conditionalFormatting>
  <conditionalFormatting sqref="M212">
    <cfRule type="expression" rank="0" priority="847" equalAverage="0" aboveAverage="0" dxfId="0" text="" percent="0" bottom="0">
      <formula>M212&gt;=20</formula>
    </cfRule>
    <cfRule type="expression" rank="0" priority="848" equalAverage="0" aboveAverage="0" dxfId="1" text="" percent="0" bottom="0">
      <formula>AND(M212&gt;=10,M212&lt;20)</formula>
    </cfRule>
    <cfRule type="expression" rank="0" priority="849" equalAverage="0" aboveAverage="0" dxfId="2" text="" percent="0" bottom="0">
      <formula>AND(M212&gt;=5,M212&lt;10)</formula>
    </cfRule>
    <cfRule type="expression" rank="0" priority="850" equalAverage="0" aboveAverage="0" dxfId="3" text="" percent="0" bottom="0">
      <formula>AND(M212&gt;=1,M212&lt;5)</formula>
    </cfRule>
  </conditionalFormatting>
  <conditionalFormatting sqref="M213">
    <cfRule type="expression" rank="0" priority="851" equalAverage="0" aboveAverage="0" dxfId="0" text="" percent="0" bottom="0">
      <formula>M213&gt;=20</formula>
    </cfRule>
    <cfRule type="expression" rank="0" priority="852" equalAverage="0" aboveAverage="0" dxfId="1" text="" percent="0" bottom="0">
      <formula>AND(M213&gt;=10,M213&lt;20)</formula>
    </cfRule>
    <cfRule type="expression" rank="0" priority="853" equalAverage="0" aboveAverage="0" dxfId="2" text="" percent="0" bottom="0">
      <formula>AND(M213&gt;=5,M213&lt;10)</formula>
    </cfRule>
    <cfRule type="expression" rank="0" priority="854" equalAverage="0" aboveAverage="0" dxfId="3" text="" percent="0" bottom="0">
      <formula>AND(M213&gt;=1,M213&lt;5)</formula>
    </cfRule>
  </conditionalFormatting>
  <conditionalFormatting sqref="M214">
    <cfRule type="expression" rank="0" priority="855" equalAverage="0" aboveAverage="0" dxfId="0" text="" percent="0" bottom="0">
      <formula>M214&gt;=20</formula>
    </cfRule>
    <cfRule type="expression" rank="0" priority="856" equalAverage="0" aboveAverage="0" dxfId="1" text="" percent="0" bottom="0">
      <formula>AND(M214&gt;=10,M214&lt;20)</formula>
    </cfRule>
    <cfRule type="expression" rank="0" priority="857" equalAverage="0" aboveAverage="0" dxfId="2" text="" percent="0" bottom="0">
      <formula>AND(M214&gt;=5,M214&lt;10)</formula>
    </cfRule>
    <cfRule type="expression" rank="0" priority="858" equalAverage="0" aboveAverage="0" dxfId="3" text="" percent="0" bottom="0">
      <formula>AND(M214&gt;=1,M214&lt;5)</formula>
    </cfRule>
  </conditionalFormatting>
  <conditionalFormatting sqref="M215">
    <cfRule type="expression" rank="0" priority="859" equalAverage="0" aboveAverage="0" dxfId="0" text="" percent="0" bottom="0">
      <formula>M215&gt;=20</formula>
    </cfRule>
    <cfRule type="expression" rank="0" priority="860" equalAverage="0" aboveAverage="0" dxfId="1" text="" percent="0" bottom="0">
      <formula>AND(M215&gt;=10,M215&lt;20)</formula>
    </cfRule>
    <cfRule type="expression" rank="0" priority="861" equalAverage="0" aboveAverage="0" dxfId="2" text="" percent="0" bottom="0">
      <formula>AND(M215&gt;=5,M215&lt;10)</formula>
    </cfRule>
    <cfRule type="expression" rank="0" priority="862" equalAverage="0" aboveAverage="0" dxfId="3" text="" percent="0" bottom="0">
      <formula>AND(M215&gt;=1,M215&lt;5)</formula>
    </cfRule>
  </conditionalFormatting>
  <conditionalFormatting sqref="M216">
    <cfRule type="expression" rank="0" priority="863" equalAverage="0" aboveAverage="0" dxfId="0" text="" percent="0" bottom="0">
      <formula>M216&gt;=20</formula>
    </cfRule>
    <cfRule type="expression" rank="0" priority="864" equalAverage="0" aboveAverage="0" dxfId="1" text="" percent="0" bottom="0">
      <formula>AND(M216&gt;=10,M216&lt;20)</formula>
    </cfRule>
    <cfRule type="expression" rank="0" priority="865" equalAverage="0" aboveAverage="0" dxfId="2" text="" percent="0" bottom="0">
      <formula>AND(M216&gt;=5,M216&lt;10)</formula>
    </cfRule>
    <cfRule type="expression" rank="0" priority="866" equalAverage="0" aboveAverage="0" dxfId="3" text="" percent="0" bottom="0">
      <formula>AND(M216&gt;=1,M216&lt;5)</formula>
    </cfRule>
  </conditionalFormatting>
  <conditionalFormatting sqref="M217">
    <cfRule type="expression" rank="0" priority="867" equalAverage="0" aboveAverage="0" dxfId="0" text="" percent="0" bottom="0">
      <formula>M217&gt;=20</formula>
    </cfRule>
    <cfRule type="expression" rank="0" priority="868" equalAverage="0" aboveAverage="0" dxfId="1" text="" percent="0" bottom="0">
      <formula>AND(M217&gt;=10,M217&lt;20)</formula>
    </cfRule>
    <cfRule type="expression" rank="0" priority="869" equalAverage="0" aboveAverage="0" dxfId="2" text="" percent="0" bottom="0">
      <formula>AND(M217&gt;=5,M217&lt;10)</formula>
    </cfRule>
    <cfRule type="expression" rank="0" priority="870" equalAverage="0" aboveAverage="0" dxfId="3" text="" percent="0" bottom="0">
      <formula>AND(M217&gt;=1,M217&lt;5)</formula>
    </cfRule>
  </conditionalFormatting>
  <conditionalFormatting sqref="M218">
    <cfRule type="expression" rank="0" priority="871" equalAverage="0" aboveAverage="0" dxfId="0" text="" percent="0" bottom="0">
      <formula>M218&gt;=20</formula>
    </cfRule>
    <cfRule type="expression" rank="0" priority="872" equalAverage="0" aboveAverage="0" dxfId="1" text="" percent="0" bottom="0">
      <formula>AND(M218&gt;=10,M218&lt;20)</formula>
    </cfRule>
    <cfRule type="expression" rank="0" priority="873" equalAverage="0" aboveAverage="0" dxfId="2" text="" percent="0" bottom="0">
      <formula>AND(M218&gt;=5,M218&lt;10)</formula>
    </cfRule>
    <cfRule type="expression" rank="0" priority="874" equalAverage="0" aboveAverage="0" dxfId="3" text="" percent="0" bottom="0">
      <formula>AND(M218&gt;=1,M218&lt;5)</formula>
    </cfRule>
  </conditionalFormatting>
  <conditionalFormatting sqref="M219">
    <cfRule type="expression" rank="0" priority="875" equalAverage="0" aboveAverage="0" dxfId="0" text="" percent="0" bottom="0">
      <formula>M219&gt;=20</formula>
    </cfRule>
    <cfRule type="expression" rank="0" priority="876" equalAverage="0" aboveAverage="0" dxfId="1" text="" percent="0" bottom="0">
      <formula>AND(M219&gt;=10,M219&lt;20)</formula>
    </cfRule>
    <cfRule type="expression" rank="0" priority="877" equalAverage="0" aboveAverage="0" dxfId="2" text="" percent="0" bottom="0">
      <formula>AND(M219&gt;=5,M219&lt;10)</formula>
    </cfRule>
    <cfRule type="expression" rank="0" priority="878" equalAverage="0" aboveAverage="0" dxfId="3" text="" percent="0" bottom="0">
      <formula>AND(M219&gt;=1,M219&lt;5)</formula>
    </cfRule>
  </conditionalFormatting>
  <conditionalFormatting sqref="M220">
    <cfRule type="expression" rank="0" priority="879" equalAverage="0" aboveAverage="0" dxfId="0" text="" percent="0" bottom="0">
      <formula>M220&gt;=20</formula>
    </cfRule>
    <cfRule type="expression" rank="0" priority="880" equalAverage="0" aboveAverage="0" dxfId="1" text="" percent="0" bottom="0">
      <formula>AND(M220&gt;=10,M220&lt;20)</formula>
    </cfRule>
    <cfRule type="expression" rank="0" priority="881" equalAverage="0" aboveAverage="0" dxfId="2" text="" percent="0" bottom="0">
      <formula>AND(M220&gt;=5,M220&lt;10)</formula>
    </cfRule>
    <cfRule type="expression" rank="0" priority="882" equalAverage="0" aboveAverage="0" dxfId="3" text="" percent="0" bottom="0">
      <formula>AND(M220&gt;=1,M220&lt;5)</formula>
    </cfRule>
  </conditionalFormatting>
  <conditionalFormatting sqref="M221">
    <cfRule type="expression" rank="0" priority="883" equalAverage="0" aboveAverage="0" dxfId="0" text="" percent="0" bottom="0">
      <formula>M221&gt;=20</formula>
    </cfRule>
    <cfRule type="expression" rank="0" priority="884" equalAverage="0" aboveAverage="0" dxfId="1" text="" percent="0" bottom="0">
      <formula>AND(M221&gt;=10,M221&lt;20)</formula>
    </cfRule>
    <cfRule type="expression" rank="0" priority="885" equalAverage="0" aboveAverage="0" dxfId="2" text="" percent="0" bottom="0">
      <formula>AND(M221&gt;=5,M221&lt;10)</formula>
    </cfRule>
    <cfRule type="expression" rank="0" priority="886" equalAverage="0" aboveAverage="0" dxfId="3" text="" percent="0" bottom="0">
      <formula>AND(M221&gt;=1,M221&lt;5)</formula>
    </cfRule>
  </conditionalFormatting>
  <conditionalFormatting sqref="M222">
    <cfRule type="expression" rank="0" priority="887" equalAverage="0" aboveAverage="0" dxfId="0" text="" percent="0" bottom="0">
      <formula>M222&gt;=20</formula>
    </cfRule>
    <cfRule type="expression" rank="0" priority="888" equalAverage="0" aboveAverage="0" dxfId="1" text="" percent="0" bottom="0">
      <formula>AND(M222&gt;=10,M222&lt;20)</formula>
    </cfRule>
    <cfRule type="expression" rank="0" priority="889" equalAverage="0" aboveAverage="0" dxfId="2" text="" percent="0" bottom="0">
      <formula>AND(M222&gt;=5,M222&lt;10)</formula>
    </cfRule>
    <cfRule type="expression" rank="0" priority="890" equalAverage="0" aboveAverage="0" dxfId="3" text="" percent="0" bottom="0">
      <formula>AND(M222&gt;=1,M222&lt;5)</formula>
    </cfRule>
  </conditionalFormatting>
  <conditionalFormatting sqref="M223">
    <cfRule type="expression" rank="0" priority="891" equalAverage="0" aboveAverage="0" dxfId="0" text="" percent="0" bottom="0">
      <formula>M223&gt;=20</formula>
    </cfRule>
    <cfRule type="expression" rank="0" priority="892" equalAverage="0" aboveAverage="0" dxfId="1" text="" percent="0" bottom="0">
      <formula>AND(M223&gt;=10,M223&lt;20)</formula>
    </cfRule>
    <cfRule type="expression" rank="0" priority="893" equalAverage="0" aboveAverage="0" dxfId="2" text="" percent="0" bottom="0">
      <formula>AND(M223&gt;=5,M223&lt;10)</formula>
    </cfRule>
    <cfRule type="expression" rank="0" priority="894" equalAverage="0" aboveAverage="0" dxfId="3" text="" percent="0" bottom="0">
      <formula>AND(M223&gt;=1,M223&lt;5)</formula>
    </cfRule>
  </conditionalFormatting>
  <conditionalFormatting sqref="M224">
    <cfRule type="expression" rank="0" priority="895" equalAverage="0" aboveAverage="0" dxfId="0" text="" percent="0" bottom="0">
      <formula>M224&gt;=20</formula>
    </cfRule>
    <cfRule type="expression" rank="0" priority="896" equalAverage="0" aboveAverage="0" dxfId="1" text="" percent="0" bottom="0">
      <formula>AND(M224&gt;=10,M224&lt;20)</formula>
    </cfRule>
    <cfRule type="expression" rank="0" priority="897" equalAverage="0" aboveAverage="0" dxfId="2" text="" percent="0" bottom="0">
      <formula>AND(M224&gt;=5,M224&lt;10)</formula>
    </cfRule>
    <cfRule type="expression" rank="0" priority="898" equalAverage="0" aboveAverage="0" dxfId="3" text="" percent="0" bottom="0">
      <formula>AND(M224&gt;=1,M224&lt;5)</formula>
    </cfRule>
  </conditionalFormatting>
  <conditionalFormatting sqref="M225">
    <cfRule type="expression" rank="0" priority="899" equalAverage="0" aboveAverage="0" dxfId="0" text="" percent="0" bottom="0">
      <formula>M225&gt;=20</formula>
    </cfRule>
    <cfRule type="expression" rank="0" priority="900" equalAverage="0" aboveAverage="0" dxfId="1" text="" percent="0" bottom="0">
      <formula>AND(M225&gt;=10,M225&lt;20)</formula>
    </cfRule>
    <cfRule type="expression" rank="0" priority="901" equalAverage="0" aboveAverage="0" dxfId="2" text="" percent="0" bottom="0">
      <formula>AND(M225&gt;=5,M225&lt;10)</formula>
    </cfRule>
    <cfRule type="expression" rank="0" priority="902" equalAverage="0" aboveAverage="0" dxfId="3" text="" percent="0" bottom="0">
      <formula>AND(M225&gt;=1,M225&lt;5)</formula>
    </cfRule>
  </conditionalFormatting>
  <conditionalFormatting sqref="M226">
    <cfRule type="expression" rank="0" priority="903" equalAverage="0" aboveAverage="0" dxfId="0" text="" percent="0" bottom="0">
      <formula>M226&gt;=20</formula>
    </cfRule>
    <cfRule type="expression" rank="0" priority="904" equalAverage="0" aboveAverage="0" dxfId="1" text="" percent="0" bottom="0">
      <formula>AND(M226&gt;=10,M226&lt;20)</formula>
    </cfRule>
    <cfRule type="expression" rank="0" priority="905" equalAverage="0" aboveAverage="0" dxfId="2" text="" percent="0" bottom="0">
      <formula>AND(M226&gt;=5,M226&lt;10)</formula>
    </cfRule>
    <cfRule type="expression" rank="0" priority="906" equalAverage="0" aboveAverage="0" dxfId="3" text="" percent="0" bottom="0">
      <formula>AND(M226&gt;=1,M226&lt;5)</formula>
    </cfRule>
  </conditionalFormatting>
  <conditionalFormatting sqref="M227">
    <cfRule type="expression" rank="0" priority="907" equalAverage="0" aboveAverage="0" dxfId="0" text="" percent="0" bottom="0">
      <formula>M227&gt;=20</formula>
    </cfRule>
    <cfRule type="expression" rank="0" priority="908" equalAverage="0" aboveAverage="0" dxfId="1" text="" percent="0" bottom="0">
      <formula>AND(M227&gt;=10,M227&lt;20)</formula>
    </cfRule>
    <cfRule type="expression" rank="0" priority="909" equalAverage="0" aboveAverage="0" dxfId="2" text="" percent="0" bottom="0">
      <formula>AND(M227&gt;=5,M227&lt;10)</formula>
    </cfRule>
    <cfRule type="expression" rank="0" priority="910" equalAverage="0" aboveAverage="0" dxfId="3" text="" percent="0" bottom="0">
      <formula>AND(M227&gt;=1,M227&lt;5)</formula>
    </cfRule>
  </conditionalFormatting>
  <conditionalFormatting sqref="M228">
    <cfRule type="expression" rank="0" priority="911" equalAverage="0" aboveAverage="0" dxfId="0" text="" percent="0" bottom="0">
      <formula>M228&gt;=20</formula>
    </cfRule>
    <cfRule type="expression" rank="0" priority="912" equalAverage="0" aboveAverage="0" dxfId="1" text="" percent="0" bottom="0">
      <formula>AND(M228&gt;=10,M228&lt;20)</formula>
    </cfRule>
    <cfRule type="expression" rank="0" priority="913" equalAverage="0" aboveAverage="0" dxfId="2" text="" percent="0" bottom="0">
      <formula>AND(M228&gt;=5,M228&lt;10)</formula>
    </cfRule>
    <cfRule type="expression" rank="0" priority="914" equalAverage="0" aboveAverage="0" dxfId="3" text="" percent="0" bottom="0">
      <formula>AND(M228&gt;=1,M228&lt;5)</formula>
    </cfRule>
  </conditionalFormatting>
  <conditionalFormatting sqref="M229">
    <cfRule type="expression" rank="0" priority="915" equalAverage="0" aboveAverage="0" dxfId="0" text="" percent="0" bottom="0">
      <formula>M229&gt;=20</formula>
    </cfRule>
    <cfRule type="expression" rank="0" priority="916" equalAverage="0" aboveAverage="0" dxfId="1" text="" percent="0" bottom="0">
      <formula>AND(M229&gt;=10,M229&lt;20)</formula>
    </cfRule>
    <cfRule type="expression" rank="0" priority="917" equalAverage="0" aboveAverage="0" dxfId="2" text="" percent="0" bottom="0">
      <formula>AND(M229&gt;=5,M229&lt;10)</formula>
    </cfRule>
    <cfRule type="expression" rank="0" priority="918" equalAverage="0" aboveAverage="0" dxfId="3" text="" percent="0" bottom="0">
      <formula>AND(M229&gt;=1,M229&lt;5)</formula>
    </cfRule>
  </conditionalFormatting>
  <conditionalFormatting sqref="M230">
    <cfRule type="expression" rank="0" priority="919" equalAverage="0" aboveAverage="0" dxfId="0" text="" percent="0" bottom="0">
      <formula>M230&gt;=20</formula>
    </cfRule>
    <cfRule type="expression" rank="0" priority="920" equalAverage="0" aboveAverage="0" dxfId="1" text="" percent="0" bottom="0">
      <formula>AND(M230&gt;=10,M230&lt;20)</formula>
    </cfRule>
    <cfRule type="expression" rank="0" priority="921" equalAverage="0" aboveAverage="0" dxfId="2" text="" percent="0" bottom="0">
      <formula>AND(M230&gt;=5,M230&lt;10)</formula>
    </cfRule>
    <cfRule type="expression" rank="0" priority="922" equalAverage="0" aboveAverage="0" dxfId="3" text="" percent="0" bottom="0">
      <formula>AND(M230&gt;=1,M230&lt;5)</formula>
    </cfRule>
  </conditionalFormatting>
  <conditionalFormatting sqref="M231">
    <cfRule type="expression" rank="0" priority="923" equalAverage="0" aboveAverage="0" dxfId="0" text="" percent="0" bottom="0">
      <formula>M231&gt;=20</formula>
    </cfRule>
    <cfRule type="expression" rank="0" priority="924" equalAverage="0" aboveAverage="0" dxfId="1" text="" percent="0" bottom="0">
      <formula>AND(M231&gt;=10,M231&lt;20)</formula>
    </cfRule>
    <cfRule type="expression" rank="0" priority="925" equalAverage="0" aboveAverage="0" dxfId="2" text="" percent="0" bottom="0">
      <formula>AND(M231&gt;=5,M231&lt;10)</formula>
    </cfRule>
    <cfRule type="expression" rank="0" priority="926" equalAverage="0" aboveAverage="0" dxfId="3" text="" percent="0" bottom="0">
      <formula>AND(M231&gt;=1,M231&lt;5)</formula>
    </cfRule>
  </conditionalFormatting>
  <conditionalFormatting sqref="M232">
    <cfRule type="expression" rank="0" priority="927" equalAverage="0" aboveAverage="0" dxfId="0" text="" percent="0" bottom="0">
      <formula>M232&gt;=20</formula>
    </cfRule>
    <cfRule type="expression" rank="0" priority="928" equalAverage="0" aboveAverage="0" dxfId="1" text="" percent="0" bottom="0">
      <formula>AND(M232&gt;=10,M232&lt;20)</formula>
    </cfRule>
    <cfRule type="expression" rank="0" priority="929" equalAverage="0" aboveAverage="0" dxfId="2" text="" percent="0" bottom="0">
      <formula>AND(M232&gt;=5,M232&lt;10)</formula>
    </cfRule>
    <cfRule type="expression" rank="0" priority="930" equalAverage="0" aboveAverage="0" dxfId="3" text="" percent="0" bottom="0">
      <formula>AND(M232&gt;=1,M232&lt;5)</formula>
    </cfRule>
  </conditionalFormatting>
  <conditionalFormatting sqref="M233">
    <cfRule type="expression" rank="0" priority="931" equalAverage="0" aboveAverage="0" dxfId="0" text="" percent="0" bottom="0">
      <formula>M233&gt;=20</formula>
    </cfRule>
    <cfRule type="expression" rank="0" priority="932" equalAverage="0" aboveAverage="0" dxfId="1" text="" percent="0" bottom="0">
      <formula>AND(M233&gt;=10,M233&lt;20)</formula>
    </cfRule>
    <cfRule type="expression" rank="0" priority="933" equalAverage="0" aboveAverage="0" dxfId="2" text="" percent="0" bottom="0">
      <formula>AND(M233&gt;=5,M233&lt;10)</formula>
    </cfRule>
    <cfRule type="expression" rank="0" priority="934" equalAverage="0" aboveAverage="0" dxfId="3" text="" percent="0" bottom="0">
      <formula>AND(M233&gt;=1,M233&lt;5)</formula>
    </cfRule>
  </conditionalFormatting>
  <conditionalFormatting sqref="M234">
    <cfRule type="expression" rank="0" priority="935" equalAverage="0" aboveAverage="0" dxfId="0" text="" percent="0" bottom="0">
      <formula>M234&gt;=20</formula>
    </cfRule>
    <cfRule type="expression" rank="0" priority="936" equalAverage="0" aboveAverage="0" dxfId="1" text="" percent="0" bottom="0">
      <formula>AND(M234&gt;=10,M234&lt;20)</formula>
    </cfRule>
    <cfRule type="expression" rank="0" priority="937" equalAverage="0" aboveAverage="0" dxfId="2" text="" percent="0" bottom="0">
      <formula>AND(M234&gt;=5,M234&lt;10)</formula>
    </cfRule>
    <cfRule type="expression" rank="0" priority="938" equalAverage="0" aboveAverage="0" dxfId="3" text="" percent="0" bottom="0">
      <formula>AND(M234&gt;=1,M234&lt;5)</formula>
    </cfRule>
  </conditionalFormatting>
  <conditionalFormatting sqref="M235">
    <cfRule type="expression" rank="0" priority="939" equalAverage="0" aboveAverage="0" dxfId="0" text="" percent="0" bottom="0">
      <formula>M235&gt;=20</formula>
    </cfRule>
    <cfRule type="expression" rank="0" priority="940" equalAverage="0" aboveAverage="0" dxfId="1" text="" percent="0" bottom="0">
      <formula>AND(M235&gt;=10,M235&lt;20)</formula>
    </cfRule>
    <cfRule type="expression" rank="0" priority="941" equalAverage="0" aboveAverage="0" dxfId="2" text="" percent="0" bottom="0">
      <formula>AND(M235&gt;=5,M235&lt;10)</formula>
    </cfRule>
    <cfRule type="expression" rank="0" priority="942" equalAverage="0" aboveAverage="0" dxfId="3" text="" percent="0" bottom="0">
      <formula>AND(M235&gt;=1,M235&lt;5)</formula>
    </cfRule>
  </conditionalFormatting>
  <conditionalFormatting sqref="M236">
    <cfRule type="expression" rank="0" priority="943" equalAverage="0" aboveAverage="0" dxfId="0" text="" percent="0" bottom="0">
      <formula>M236&gt;=20</formula>
    </cfRule>
    <cfRule type="expression" rank="0" priority="944" equalAverage="0" aboveAverage="0" dxfId="1" text="" percent="0" bottom="0">
      <formula>AND(M236&gt;=10,M236&lt;20)</formula>
    </cfRule>
    <cfRule type="expression" rank="0" priority="945" equalAverage="0" aboveAverage="0" dxfId="2" text="" percent="0" bottom="0">
      <formula>AND(M236&gt;=5,M236&lt;10)</formula>
    </cfRule>
    <cfRule type="expression" rank="0" priority="946" equalAverage="0" aboveAverage="0" dxfId="3" text="" percent="0" bottom="0">
      <formula>AND(M236&gt;=1,M236&lt;5)</formula>
    </cfRule>
  </conditionalFormatting>
  <conditionalFormatting sqref="M237">
    <cfRule type="expression" rank="0" priority="947" equalAverage="0" aboveAverage="0" dxfId="0" text="" percent="0" bottom="0">
      <formula>M237&gt;=20</formula>
    </cfRule>
    <cfRule type="expression" rank="0" priority="948" equalAverage="0" aboveAverage="0" dxfId="1" text="" percent="0" bottom="0">
      <formula>AND(M237&gt;=10,M237&lt;20)</formula>
    </cfRule>
    <cfRule type="expression" rank="0" priority="949" equalAverage="0" aboveAverage="0" dxfId="2" text="" percent="0" bottom="0">
      <formula>AND(M237&gt;=5,M237&lt;10)</formula>
    </cfRule>
    <cfRule type="expression" rank="0" priority="950" equalAverage="0" aboveAverage="0" dxfId="3" text="" percent="0" bottom="0">
      <formula>AND(M237&gt;=1,M237&lt;5)</formula>
    </cfRule>
  </conditionalFormatting>
  <conditionalFormatting sqref="M238">
    <cfRule type="expression" rank="0" priority="951" equalAverage="0" aboveAverage="0" dxfId="0" text="" percent="0" bottom="0">
      <formula>M238&gt;=20</formula>
    </cfRule>
    <cfRule type="expression" rank="0" priority="952" equalAverage="0" aboveAverage="0" dxfId="1" text="" percent="0" bottom="0">
      <formula>AND(M238&gt;=10,M238&lt;20)</formula>
    </cfRule>
    <cfRule type="expression" rank="0" priority="953" equalAverage="0" aboveAverage="0" dxfId="2" text="" percent="0" bottom="0">
      <formula>AND(M238&gt;=5,M238&lt;10)</formula>
    </cfRule>
    <cfRule type="expression" rank="0" priority="954" equalAverage="0" aboveAverage="0" dxfId="3" text="" percent="0" bottom="0">
      <formula>AND(M238&gt;=1,M238&lt;5)</formula>
    </cfRule>
  </conditionalFormatting>
  <conditionalFormatting sqref="M239">
    <cfRule type="expression" rank="0" priority="955" equalAverage="0" aboveAverage="0" dxfId="0" text="" percent="0" bottom="0">
      <formula>M239&gt;=20</formula>
    </cfRule>
    <cfRule type="expression" rank="0" priority="956" equalAverage="0" aboveAverage="0" dxfId="1" text="" percent="0" bottom="0">
      <formula>AND(M239&gt;=10,M239&lt;20)</formula>
    </cfRule>
    <cfRule type="expression" rank="0" priority="957" equalAverage="0" aboveAverage="0" dxfId="2" text="" percent="0" bottom="0">
      <formula>AND(M239&gt;=5,M239&lt;10)</formula>
    </cfRule>
    <cfRule type="expression" rank="0" priority="958" equalAverage="0" aboveAverage="0" dxfId="3" text="" percent="0" bottom="0">
      <formula>AND(M239&gt;=1,M239&lt;5)</formula>
    </cfRule>
  </conditionalFormatting>
  <conditionalFormatting sqref="M240">
    <cfRule type="expression" rank="0" priority="959" equalAverage="0" aboveAverage="0" dxfId="0" text="" percent="0" bottom="0">
      <formula>M240&gt;=20</formula>
    </cfRule>
    <cfRule type="expression" rank="0" priority="960" equalAverage="0" aboveAverage="0" dxfId="1" text="" percent="0" bottom="0">
      <formula>AND(M240&gt;=10,M240&lt;20)</formula>
    </cfRule>
    <cfRule type="expression" rank="0" priority="961" equalAverage="0" aboveAverage="0" dxfId="2" text="" percent="0" bottom="0">
      <formula>AND(M240&gt;=5,M240&lt;10)</formula>
    </cfRule>
    <cfRule type="expression" rank="0" priority="962" equalAverage="0" aboveAverage="0" dxfId="3" text="" percent="0" bottom="0">
      <formula>AND(M240&gt;=1,M240&lt;5)</formula>
    </cfRule>
  </conditionalFormatting>
  <conditionalFormatting sqref="M241">
    <cfRule type="expression" rank="0" priority="963" equalAverage="0" aboveAverage="0" dxfId="0" text="" percent="0" bottom="0">
      <formula>M241&gt;=20</formula>
    </cfRule>
    <cfRule type="expression" rank="0" priority="964" equalAverage="0" aboveAverage="0" dxfId="1" text="" percent="0" bottom="0">
      <formula>AND(M241&gt;=10,M241&lt;20)</formula>
    </cfRule>
    <cfRule type="expression" rank="0" priority="965" equalAverage="0" aboveAverage="0" dxfId="2" text="" percent="0" bottom="0">
      <formula>AND(M241&gt;=5,M241&lt;10)</formula>
    </cfRule>
    <cfRule type="expression" rank="0" priority="966" equalAverage="0" aboveAverage="0" dxfId="3" text="" percent="0" bottom="0">
      <formula>AND(M241&gt;=1,M241&lt;5)</formula>
    </cfRule>
  </conditionalFormatting>
  <conditionalFormatting sqref="M242">
    <cfRule type="expression" rank="0" priority="967" equalAverage="0" aboveAverage="0" dxfId="0" text="" percent="0" bottom="0">
      <formula>M242&gt;=20</formula>
    </cfRule>
    <cfRule type="expression" rank="0" priority="968" equalAverage="0" aboveAverage="0" dxfId="1" text="" percent="0" bottom="0">
      <formula>AND(M242&gt;=10,M242&lt;20)</formula>
    </cfRule>
    <cfRule type="expression" rank="0" priority="969" equalAverage="0" aboveAverage="0" dxfId="2" text="" percent="0" bottom="0">
      <formula>AND(M242&gt;=5,M242&lt;10)</formula>
    </cfRule>
    <cfRule type="expression" rank="0" priority="970" equalAverage="0" aboveAverage="0" dxfId="3" text="" percent="0" bottom="0">
      <formula>AND(M242&gt;=1,M242&lt;5)</formula>
    </cfRule>
  </conditionalFormatting>
  <conditionalFormatting sqref="M243">
    <cfRule type="expression" rank="0" priority="971" equalAverage="0" aboveAverage="0" dxfId="0" text="" percent="0" bottom="0">
      <formula>M243&gt;=20</formula>
    </cfRule>
    <cfRule type="expression" rank="0" priority="972" equalAverage="0" aboveAverage="0" dxfId="1" text="" percent="0" bottom="0">
      <formula>AND(M243&gt;=10,M243&lt;20)</formula>
    </cfRule>
    <cfRule type="expression" rank="0" priority="973" equalAverage="0" aboveAverage="0" dxfId="2" text="" percent="0" bottom="0">
      <formula>AND(M243&gt;=5,M243&lt;10)</formula>
    </cfRule>
    <cfRule type="expression" rank="0" priority="974" equalAverage="0" aboveAverage="0" dxfId="3" text="" percent="0" bottom="0">
      <formula>AND(M243&gt;=1,M243&lt;5)</formula>
    </cfRule>
  </conditionalFormatting>
  <conditionalFormatting sqref="M244">
    <cfRule type="expression" rank="0" priority="975" equalAverage="0" aboveAverage="0" dxfId="0" text="" percent="0" bottom="0">
      <formula>M244&gt;=20</formula>
    </cfRule>
    <cfRule type="expression" rank="0" priority="976" equalAverage="0" aboveAverage="0" dxfId="1" text="" percent="0" bottom="0">
      <formula>AND(M244&gt;=10,M244&lt;20)</formula>
    </cfRule>
    <cfRule type="expression" rank="0" priority="977" equalAverage="0" aboveAverage="0" dxfId="2" text="" percent="0" bottom="0">
      <formula>AND(M244&gt;=5,M244&lt;10)</formula>
    </cfRule>
    <cfRule type="expression" rank="0" priority="978" equalAverage="0" aboveAverage="0" dxfId="3" text="" percent="0" bottom="0">
      <formula>AND(M244&gt;=1,M244&lt;5)</formula>
    </cfRule>
  </conditionalFormatting>
  <conditionalFormatting sqref="M245">
    <cfRule type="expression" rank="0" priority="979" equalAverage="0" aboveAverage="0" dxfId="0" text="" percent="0" bottom="0">
      <formula>M245&gt;=20</formula>
    </cfRule>
    <cfRule type="expression" rank="0" priority="980" equalAverage="0" aboveAverage="0" dxfId="1" text="" percent="0" bottom="0">
      <formula>AND(M245&gt;=10,M245&lt;20)</formula>
    </cfRule>
    <cfRule type="expression" rank="0" priority="981" equalAverage="0" aboveAverage="0" dxfId="2" text="" percent="0" bottom="0">
      <formula>AND(M245&gt;=5,M245&lt;10)</formula>
    </cfRule>
    <cfRule type="expression" rank="0" priority="982" equalAverage="0" aboveAverage="0" dxfId="3" text="" percent="0" bottom="0">
      <formula>AND(M245&gt;=1,M245&lt;5)</formula>
    </cfRule>
  </conditionalFormatting>
  <conditionalFormatting sqref="M246">
    <cfRule type="expression" rank="0" priority="983" equalAverage="0" aboveAverage="0" dxfId="0" text="" percent="0" bottom="0">
      <formula>M246&gt;=20</formula>
    </cfRule>
    <cfRule type="expression" rank="0" priority="984" equalAverage="0" aboveAverage="0" dxfId="1" text="" percent="0" bottom="0">
      <formula>AND(M246&gt;=10,M246&lt;20)</formula>
    </cfRule>
    <cfRule type="expression" rank="0" priority="985" equalAverage="0" aboveAverage="0" dxfId="2" text="" percent="0" bottom="0">
      <formula>AND(M246&gt;=5,M246&lt;10)</formula>
    </cfRule>
    <cfRule type="expression" rank="0" priority="986" equalAverage="0" aboveAverage="0" dxfId="3" text="" percent="0" bottom="0">
      <formula>AND(M246&gt;=1,M246&lt;5)</formula>
    </cfRule>
  </conditionalFormatting>
  <conditionalFormatting sqref="M247">
    <cfRule type="expression" rank="0" priority="987" equalAverage="0" aboveAverage="0" dxfId="0" text="" percent="0" bottom="0">
      <formula>M247&gt;=20</formula>
    </cfRule>
    <cfRule type="expression" rank="0" priority="988" equalAverage="0" aboveAverage="0" dxfId="1" text="" percent="0" bottom="0">
      <formula>AND(M247&gt;=10,M247&lt;20)</formula>
    </cfRule>
    <cfRule type="expression" rank="0" priority="989" equalAverage="0" aboveAverage="0" dxfId="2" text="" percent="0" bottom="0">
      <formula>AND(M247&gt;=5,M247&lt;10)</formula>
    </cfRule>
    <cfRule type="expression" rank="0" priority="990" equalAverage="0" aboveAverage="0" dxfId="3" text="" percent="0" bottom="0">
      <formula>AND(M247&gt;=1,M247&lt;5)</formula>
    </cfRule>
  </conditionalFormatting>
  <conditionalFormatting sqref="M248">
    <cfRule type="expression" rank="0" priority="991" equalAverage="0" aboveAverage="0" dxfId="0" text="" percent="0" bottom="0">
      <formula>M248&gt;=20</formula>
    </cfRule>
    <cfRule type="expression" rank="0" priority="992" equalAverage="0" aboveAverage="0" dxfId="1" text="" percent="0" bottom="0">
      <formula>AND(M248&gt;=10,M248&lt;20)</formula>
    </cfRule>
    <cfRule type="expression" rank="0" priority="993" equalAverage="0" aboveAverage="0" dxfId="2" text="" percent="0" bottom="0">
      <formula>AND(M248&gt;=5,M248&lt;10)</formula>
    </cfRule>
    <cfRule type="expression" rank="0" priority="994" equalAverage="0" aboveAverage="0" dxfId="3" text="" percent="0" bottom="0">
      <formula>AND(M248&gt;=1,M248&lt;5)</formula>
    </cfRule>
  </conditionalFormatting>
  <conditionalFormatting sqref="M249">
    <cfRule type="expression" rank="0" priority="995" equalAverage="0" aboveAverage="0" dxfId="0" text="" percent="0" bottom="0">
      <formula>M249&gt;=20</formula>
    </cfRule>
    <cfRule type="expression" rank="0" priority="996" equalAverage="0" aboveAverage="0" dxfId="1" text="" percent="0" bottom="0">
      <formula>AND(M249&gt;=10,M249&lt;20)</formula>
    </cfRule>
    <cfRule type="expression" rank="0" priority="997" equalAverage="0" aboveAverage="0" dxfId="2" text="" percent="0" bottom="0">
      <formula>AND(M249&gt;=5,M249&lt;10)</formula>
    </cfRule>
    <cfRule type="expression" rank="0" priority="998" equalAverage="0" aboveAverage="0" dxfId="3" text="" percent="0" bottom="0">
      <formula>AND(M249&gt;=1,M249&lt;5)</formula>
    </cfRule>
  </conditionalFormatting>
  <conditionalFormatting sqref="M250">
    <cfRule type="expression" rank="0" priority="999" equalAverage="0" aboveAverage="0" dxfId="0" text="" percent="0" bottom="0">
      <formula>M250&gt;=20</formula>
    </cfRule>
    <cfRule type="expression" rank="0" priority="1000" equalAverage="0" aboveAverage="0" dxfId="1" text="" percent="0" bottom="0">
      <formula>AND(M250&gt;=10,M250&lt;20)</formula>
    </cfRule>
    <cfRule type="expression" rank="0" priority="1001" equalAverage="0" aboveAverage="0" dxfId="2" text="" percent="0" bottom="0">
      <formula>AND(M250&gt;=5,M250&lt;10)</formula>
    </cfRule>
    <cfRule type="expression" rank="0" priority="1002" equalAverage="0" aboveAverage="0" dxfId="3" text="" percent="0" bottom="0">
      <formula>AND(M250&gt;=1,M250&lt;5)</formula>
    </cfRule>
  </conditionalFormatting>
  <conditionalFormatting sqref="M251">
    <cfRule type="expression" rank="0" priority="1003" equalAverage="0" aboveAverage="0" dxfId="0" text="" percent="0" bottom="0">
      <formula>M251&gt;=20</formula>
    </cfRule>
    <cfRule type="expression" rank="0" priority="1004" equalAverage="0" aboveAverage="0" dxfId="1" text="" percent="0" bottom="0">
      <formula>AND(M251&gt;=10,M251&lt;20)</formula>
    </cfRule>
    <cfRule type="expression" rank="0" priority="1005" equalAverage="0" aboveAverage="0" dxfId="2" text="" percent="0" bottom="0">
      <formula>AND(M251&gt;=5,M251&lt;10)</formula>
    </cfRule>
    <cfRule type="expression" rank="0" priority="1006" equalAverage="0" aboveAverage="0" dxfId="3" text="" percent="0" bottom="0">
      <formula>AND(M251&gt;=1,M251&lt;5)</formula>
    </cfRule>
  </conditionalFormatting>
  <conditionalFormatting sqref="M252">
    <cfRule type="expression" rank="0" priority="1007" equalAverage="0" aboveAverage="0" dxfId="0" text="" percent="0" bottom="0">
      <formula>M252&gt;=20</formula>
    </cfRule>
    <cfRule type="expression" rank="0" priority="1008" equalAverage="0" aboveAverage="0" dxfId="1" text="" percent="0" bottom="0">
      <formula>AND(M252&gt;=10,M252&lt;20)</formula>
    </cfRule>
    <cfRule type="expression" rank="0" priority="1009" equalAverage="0" aboveAverage="0" dxfId="2" text="" percent="0" bottom="0">
      <formula>AND(M252&gt;=5,M252&lt;10)</formula>
    </cfRule>
    <cfRule type="expression" rank="0" priority="1010" equalAverage="0" aboveAverage="0" dxfId="3" text="" percent="0" bottom="0">
      <formula>AND(M252&gt;=1,M252&lt;5)</formula>
    </cfRule>
  </conditionalFormatting>
  <conditionalFormatting sqref="M253">
    <cfRule type="expression" rank="0" priority="1011" equalAverage="0" aboveAverage="0" dxfId="0" text="" percent="0" bottom="0">
      <formula>M253&gt;=20</formula>
    </cfRule>
    <cfRule type="expression" rank="0" priority="1012" equalAverage="0" aboveAverage="0" dxfId="1" text="" percent="0" bottom="0">
      <formula>AND(M253&gt;=10,M253&lt;20)</formula>
    </cfRule>
    <cfRule type="expression" rank="0" priority="1013" equalAverage="0" aboveAverage="0" dxfId="2" text="" percent="0" bottom="0">
      <formula>AND(M253&gt;=5,M253&lt;10)</formula>
    </cfRule>
    <cfRule type="expression" rank="0" priority="1014" equalAverage="0" aboveAverage="0" dxfId="3" text="" percent="0" bottom="0">
      <formula>AND(M253&gt;=1,M253&lt;5)</formula>
    </cfRule>
  </conditionalFormatting>
  <conditionalFormatting sqref="M254">
    <cfRule type="expression" rank="0" priority="1015" equalAverage="0" aboveAverage="0" dxfId="0" text="" percent="0" bottom="0">
      <formula>M254&gt;=20</formula>
    </cfRule>
    <cfRule type="expression" rank="0" priority="1016" equalAverage="0" aboveAverage="0" dxfId="1" text="" percent="0" bottom="0">
      <formula>AND(M254&gt;=10,M254&lt;20)</formula>
    </cfRule>
    <cfRule type="expression" rank="0" priority="1017" equalAverage="0" aboveAverage="0" dxfId="2" text="" percent="0" bottom="0">
      <formula>AND(M254&gt;=5,M254&lt;10)</formula>
    </cfRule>
    <cfRule type="expression" rank="0" priority="1018" equalAverage="0" aboveAverage="0" dxfId="3" text="" percent="0" bottom="0">
      <formula>AND(M254&gt;=1,M254&lt;5)</formula>
    </cfRule>
  </conditionalFormatting>
  <conditionalFormatting sqref="M255">
    <cfRule type="expression" rank="0" priority="1019" equalAverage="0" aboveAverage="0" dxfId="0" text="" percent="0" bottom="0">
      <formula>M255&gt;=20</formula>
    </cfRule>
    <cfRule type="expression" rank="0" priority="1020" equalAverage="0" aboveAverage="0" dxfId="1" text="" percent="0" bottom="0">
      <formula>AND(M255&gt;=10,M255&lt;20)</formula>
    </cfRule>
    <cfRule type="expression" rank="0" priority="1021" equalAverage="0" aboveAverage="0" dxfId="2" text="" percent="0" bottom="0">
      <formula>AND(M255&gt;=5,M255&lt;10)</formula>
    </cfRule>
    <cfRule type="expression" rank="0" priority="1022" equalAverage="0" aboveAverage="0" dxfId="3" text="" percent="0" bottom="0">
      <formula>AND(M255&gt;=1,M255&lt;5)</formula>
    </cfRule>
  </conditionalFormatting>
  <conditionalFormatting sqref="M256">
    <cfRule type="expression" rank="0" priority="1023" equalAverage="0" aboveAverage="0" dxfId="0" text="" percent="0" bottom="0">
      <formula>M256&gt;=20</formula>
    </cfRule>
    <cfRule type="expression" rank="0" priority="1024" equalAverage="0" aboveAverage="0" dxfId="1" text="" percent="0" bottom="0">
      <formula>AND(M256&gt;=10,M256&lt;20)</formula>
    </cfRule>
    <cfRule type="expression" rank="0" priority="1025" equalAverage="0" aboveAverage="0" dxfId="2" text="" percent="0" bottom="0">
      <formula>AND(M256&gt;=5,M256&lt;10)</formula>
    </cfRule>
    <cfRule type="expression" rank="0" priority="1026" equalAverage="0" aboveAverage="0" dxfId="3" text="" percent="0" bottom="0">
      <formula>AND(M256&gt;=1,M256&lt;5)</formula>
    </cfRule>
  </conditionalFormatting>
  <conditionalFormatting sqref="M257">
    <cfRule type="expression" rank="0" priority="1027" equalAverage="0" aboveAverage="0" dxfId="0" text="" percent="0" bottom="0">
      <formula>M257&gt;=20</formula>
    </cfRule>
    <cfRule type="expression" rank="0" priority="1028" equalAverage="0" aboveAverage="0" dxfId="1" text="" percent="0" bottom="0">
      <formula>AND(M257&gt;=10,M257&lt;20)</formula>
    </cfRule>
    <cfRule type="expression" rank="0" priority="1029" equalAverage="0" aboveAverage="0" dxfId="2" text="" percent="0" bottom="0">
      <formula>AND(M257&gt;=5,M257&lt;10)</formula>
    </cfRule>
    <cfRule type="expression" rank="0" priority="1030" equalAverage="0" aboveAverage="0" dxfId="3" text="" percent="0" bottom="0">
      <formula>AND(M257&gt;=1,M257&lt;5)</formula>
    </cfRule>
  </conditionalFormatting>
  <conditionalFormatting sqref="M258">
    <cfRule type="expression" rank="0" priority="1031" equalAverage="0" aboveAverage="0" dxfId="0" text="" percent="0" bottom="0">
      <formula>M258&gt;=20</formula>
    </cfRule>
    <cfRule type="expression" rank="0" priority="1032" equalAverage="0" aboveAverage="0" dxfId="1" text="" percent="0" bottom="0">
      <formula>AND(M258&gt;=10,M258&lt;20)</formula>
    </cfRule>
    <cfRule type="expression" rank="0" priority="1033" equalAverage="0" aboveAverage="0" dxfId="2" text="" percent="0" bottom="0">
      <formula>AND(M258&gt;=5,M258&lt;10)</formula>
    </cfRule>
    <cfRule type="expression" rank="0" priority="1034" equalAverage="0" aboveAverage="0" dxfId="3" text="" percent="0" bottom="0">
      <formula>AND(M258&gt;=1,M258&lt;5)</formula>
    </cfRule>
  </conditionalFormatting>
  <conditionalFormatting sqref="M259">
    <cfRule type="expression" rank="0" priority="1035" equalAverage="0" aboveAverage="0" dxfId="0" text="" percent="0" bottom="0">
      <formula>M259&gt;=20</formula>
    </cfRule>
    <cfRule type="expression" rank="0" priority="1036" equalAverage="0" aboveAverage="0" dxfId="1" text="" percent="0" bottom="0">
      <formula>AND(M259&gt;=10,M259&lt;20)</formula>
    </cfRule>
    <cfRule type="expression" rank="0" priority="1037" equalAverage="0" aboveAverage="0" dxfId="2" text="" percent="0" bottom="0">
      <formula>AND(M259&gt;=5,M259&lt;10)</formula>
    </cfRule>
    <cfRule type="expression" rank="0" priority="1038" equalAverage="0" aboveAverage="0" dxfId="3" text="" percent="0" bottom="0">
      <formula>AND(M259&gt;=1,M259&lt;5)</formula>
    </cfRule>
  </conditionalFormatting>
  <conditionalFormatting sqref="M260">
    <cfRule type="expression" rank="0" priority="1039" equalAverage="0" aboveAverage="0" dxfId="0" text="" percent="0" bottom="0">
      <formula>M260&gt;=20</formula>
    </cfRule>
    <cfRule type="expression" rank="0" priority="1040" equalAverage="0" aboveAverage="0" dxfId="1" text="" percent="0" bottom="0">
      <formula>AND(M260&gt;=10,M260&lt;20)</formula>
    </cfRule>
    <cfRule type="expression" rank="0" priority="1041" equalAverage="0" aboveAverage="0" dxfId="2" text="" percent="0" bottom="0">
      <formula>AND(M260&gt;=5,M260&lt;10)</formula>
    </cfRule>
    <cfRule type="expression" rank="0" priority="1042" equalAverage="0" aboveAverage="0" dxfId="3" text="" percent="0" bottom="0">
      <formula>AND(M260&gt;=1,M260&lt;5)</formula>
    </cfRule>
  </conditionalFormatting>
  <conditionalFormatting sqref="M261">
    <cfRule type="expression" rank="0" priority="1043" equalAverage="0" aboveAverage="0" dxfId="0" text="" percent="0" bottom="0">
      <formula>M261&gt;=20</formula>
    </cfRule>
    <cfRule type="expression" rank="0" priority="1044" equalAverage="0" aboveAverage="0" dxfId="1" text="" percent="0" bottom="0">
      <formula>AND(M261&gt;=10,M261&lt;20)</formula>
    </cfRule>
    <cfRule type="expression" rank="0" priority="1045" equalAverage="0" aboveAverage="0" dxfId="2" text="" percent="0" bottom="0">
      <formula>AND(M261&gt;=5,M261&lt;10)</formula>
    </cfRule>
    <cfRule type="expression" rank="0" priority="1046" equalAverage="0" aboveAverage="0" dxfId="3" text="" percent="0" bottom="0">
      <formula>AND(M261&gt;=1,M261&lt;5)</formula>
    </cfRule>
  </conditionalFormatting>
  <conditionalFormatting sqref="M262">
    <cfRule type="expression" rank="0" priority="1047" equalAverage="0" aboveAverage="0" dxfId="0" text="" percent="0" bottom="0">
      <formula>M262&gt;=20</formula>
    </cfRule>
    <cfRule type="expression" rank="0" priority="1048" equalAverage="0" aboveAverage="0" dxfId="1" text="" percent="0" bottom="0">
      <formula>AND(M262&gt;=10,M262&lt;20)</formula>
    </cfRule>
    <cfRule type="expression" rank="0" priority="1049" equalAverage="0" aboveAverage="0" dxfId="2" text="" percent="0" bottom="0">
      <formula>AND(M262&gt;=5,M262&lt;10)</formula>
    </cfRule>
    <cfRule type="expression" rank="0" priority="1050" equalAverage="0" aboveAverage="0" dxfId="3" text="" percent="0" bottom="0">
      <formula>AND(M262&gt;=1,M262&lt;5)</formula>
    </cfRule>
  </conditionalFormatting>
  <conditionalFormatting sqref="M263">
    <cfRule type="expression" rank="0" priority="1051" equalAverage="0" aboveAverage="0" dxfId="0" text="" percent="0" bottom="0">
      <formula>M263&gt;=20</formula>
    </cfRule>
    <cfRule type="expression" rank="0" priority="1052" equalAverage="0" aboveAverage="0" dxfId="1" text="" percent="0" bottom="0">
      <formula>AND(M263&gt;=10,M263&lt;20)</formula>
    </cfRule>
    <cfRule type="expression" rank="0" priority="1053" equalAverage="0" aboveAverage="0" dxfId="2" text="" percent="0" bottom="0">
      <formula>AND(M263&gt;=5,M263&lt;10)</formula>
    </cfRule>
    <cfRule type="expression" rank="0" priority="1054" equalAverage="0" aboveAverage="0" dxfId="3" text="" percent="0" bottom="0">
      <formula>AND(M263&gt;=1,M263&lt;5)</formula>
    </cfRule>
  </conditionalFormatting>
  <conditionalFormatting sqref="M264">
    <cfRule type="expression" rank="0" priority="1055" equalAverage="0" aboveAverage="0" dxfId="0" text="" percent="0" bottom="0">
      <formula>M264&gt;=20</formula>
    </cfRule>
    <cfRule type="expression" rank="0" priority="1056" equalAverage="0" aboveAverage="0" dxfId="1" text="" percent="0" bottom="0">
      <formula>AND(M264&gt;=10,M264&lt;20)</formula>
    </cfRule>
    <cfRule type="expression" rank="0" priority="1057" equalAverage="0" aboveAverage="0" dxfId="2" text="" percent="0" bottom="0">
      <formula>AND(M264&gt;=5,M264&lt;10)</formula>
    </cfRule>
    <cfRule type="expression" rank="0" priority="1058" equalAverage="0" aboveAverage="0" dxfId="3" text="" percent="0" bottom="0">
      <formula>AND(M264&gt;=1,M264&lt;5)</formula>
    </cfRule>
  </conditionalFormatting>
  <conditionalFormatting sqref="M265">
    <cfRule type="expression" rank="0" priority="1059" equalAverage="0" aboveAverage="0" dxfId="0" text="" percent="0" bottom="0">
      <formula>M265&gt;=20</formula>
    </cfRule>
    <cfRule type="expression" rank="0" priority="1060" equalAverage="0" aboveAverage="0" dxfId="1" text="" percent="0" bottom="0">
      <formula>AND(M265&gt;=10,M265&lt;20)</formula>
    </cfRule>
    <cfRule type="expression" rank="0" priority="1061" equalAverage="0" aboveAverage="0" dxfId="2" text="" percent="0" bottom="0">
      <formula>AND(M265&gt;=5,M265&lt;10)</formula>
    </cfRule>
    <cfRule type="expression" rank="0" priority="1062" equalAverage="0" aboveAverage="0" dxfId="3" text="" percent="0" bottom="0">
      <formula>AND(M265&gt;=1,M265&lt;5)</formula>
    </cfRule>
  </conditionalFormatting>
  <conditionalFormatting sqref="M266">
    <cfRule type="expression" rank="0" priority="1063" equalAverage="0" aboveAverage="0" dxfId="0" text="" percent="0" bottom="0">
      <formula>M266&gt;=20</formula>
    </cfRule>
    <cfRule type="expression" rank="0" priority="1064" equalAverage="0" aboveAverage="0" dxfId="1" text="" percent="0" bottom="0">
      <formula>AND(M266&gt;=10,M266&lt;20)</formula>
    </cfRule>
    <cfRule type="expression" rank="0" priority="1065" equalAverage="0" aboveAverage="0" dxfId="2" text="" percent="0" bottom="0">
      <formula>AND(M266&gt;=5,M266&lt;10)</formula>
    </cfRule>
    <cfRule type="expression" rank="0" priority="1066" equalAverage="0" aboveAverage="0" dxfId="3" text="" percent="0" bottom="0">
      <formula>AND(M266&gt;=1,M266&lt;5)</formula>
    </cfRule>
  </conditionalFormatting>
  <conditionalFormatting sqref="M267">
    <cfRule type="expression" rank="0" priority="1067" equalAverage="0" aboveAverage="0" dxfId="0" text="" percent="0" bottom="0">
      <formula>M267&gt;=20</formula>
    </cfRule>
    <cfRule type="expression" rank="0" priority="1068" equalAverage="0" aboveAverage="0" dxfId="1" text="" percent="0" bottom="0">
      <formula>AND(M267&gt;=10,M267&lt;20)</formula>
    </cfRule>
    <cfRule type="expression" rank="0" priority="1069" equalAverage="0" aboveAverage="0" dxfId="2" text="" percent="0" bottom="0">
      <formula>AND(M267&gt;=5,M267&lt;10)</formula>
    </cfRule>
    <cfRule type="expression" rank="0" priority="1070" equalAverage="0" aboveAverage="0" dxfId="3" text="" percent="0" bottom="0">
      <formula>AND(M267&gt;=1,M267&lt;5)</formula>
    </cfRule>
  </conditionalFormatting>
  <conditionalFormatting sqref="M268">
    <cfRule type="expression" rank="0" priority="1071" equalAverage="0" aboveAverage="0" dxfId="0" text="" percent="0" bottom="0">
      <formula>M268&gt;=20</formula>
    </cfRule>
    <cfRule type="expression" rank="0" priority="1072" equalAverage="0" aboveAverage="0" dxfId="1" text="" percent="0" bottom="0">
      <formula>AND(M268&gt;=10,M268&lt;20)</formula>
    </cfRule>
    <cfRule type="expression" rank="0" priority="1073" equalAverage="0" aboveAverage="0" dxfId="2" text="" percent="0" bottom="0">
      <formula>AND(M268&gt;=5,M268&lt;10)</formula>
    </cfRule>
    <cfRule type="expression" rank="0" priority="1074" equalAverage="0" aboveAverage="0" dxfId="3" text="" percent="0" bottom="0">
      <formula>AND(M268&gt;=1,M268&lt;5)</formula>
    </cfRule>
  </conditionalFormatting>
  <conditionalFormatting sqref="M269">
    <cfRule type="expression" rank="0" priority="1075" equalAverage="0" aboveAverage="0" dxfId="0" text="" percent="0" bottom="0">
      <formula>M269&gt;=20</formula>
    </cfRule>
    <cfRule type="expression" rank="0" priority="1076" equalAverage="0" aboveAverage="0" dxfId="1" text="" percent="0" bottom="0">
      <formula>AND(M269&gt;=10,M269&lt;20)</formula>
    </cfRule>
    <cfRule type="expression" rank="0" priority="1077" equalAverage="0" aboveAverage="0" dxfId="2" text="" percent="0" bottom="0">
      <formula>AND(M269&gt;=5,M269&lt;10)</formula>
    </cfRule>
    <cfRule type="expression" rank="0" priority="1078" equalAverage="0" aboveAverage="0" dxfId="3" text="" percent="0" bottom="0">
      <formula>AND(M269&gt;=1,M269&lt;5)</formula>
    </cfRule>
  </conditionalFormatting>
  <conditionalFormatting sqref="M270">
    <cfRule type="expression" rank="0" priority="1079" equalAverage="0" aboveAverage="0" dxfId="0" text="" percent="0" bottom="0">
      <formula>M270&gt;=20</formula>
    </cfRule>
    <cfRule type="expression" rank="0" priority="1080" equalAverage="0" aboveAverage="0" dxfId="1" text="" percent="0" bottom="0">
      <formula>AND(M270&gt;=10,M270&lt;20)</formula>
    </cfRule>
    <cfRule type="expression" rank="0" priority="1081" equalAverage="0" aboveAverage="0" dxfId="2" text="" percent="0" bottom="0">
      <formula>AND(M270&gt;=5,M270&lt;10)</formula>
    </cfRule>
    <cfRule type="expression" rank="0" priority="1082" equalAverage="0" aboveAverage="0" dxfId="3" text="" percent="0" bottom="0">
      <formula>AND(M270&gt;=1,M270&lt;5)</formula>
    </cfRule>
  </conditionalFormatting>
  <conditionalFormatting sqref="M271">
    <cfRule type="expression" rank="0" priority="1083" equalAverage="0" aboveAverage="0" dxfId="0" text="" percent="0" bottom="0">
      <formula>M271&gt;=20</formula>
    </cfRule>
    <cfRule type="expression" rank="0" priority="1084" equalAverage="0" aboveAverage="0" dxfId="1" text="" percent="0" bottom="0">
      <formula>AND(M271&gt;=10,M271&lt;20)</formula>
    </cfRule>
    <cfRule type="expression" rank="0" priority="1085" equalAverage="0" aboveAverage="0" dxfId="2" text="" percent="0" bottom="0">
      <formula>AND(M271&gt;=5,M271&lt;10)</formula>
    </cfRule>
    <cfRule type="expression" rank="0" priority="1086" equalAverage="0" aboveAverage="0" dxfId="3" text="" percent="0" bottom="0">
      <formula>AND(M271&gt;=1,M271&lt;5)</formula>
    </cfRule>
  </conditionalFormatting>
  <conditionalFormatting sqref="M272">
    <cfRule type="expression" rank="0" priority="1087" equalAverage="0" aboveAverage="0" dxfId="0" text="" percent="0" bottom="0">
      <formula>M272&gt;=20</formula>
    </cfRule>
    <cfRule type="expression" rank="0" priority="1088" equalAverage="0" aboveAverage="0" dxfId="1" text="" percent="0" bottom="0">
      <formula>AND(M272&gt;=10,M272&lt;20)</formula>
    </cfRule>
    <cfRule type="expression" rank="0" priority="1089" equalAverage="0" aboveAverage="0" dxfId="2" text="" percent="0" bottom="0">
      <formula>AND(M272&gt;=5,M272&lt;10)</formula>
    </cfRule>
    <cfRule type="expression" rank="0" priority="1090" equalAverage="0" aboveAverage="0" dxfId="3" text="" percent="0" bottom="0">
      <formula>AND(M272&gt;=1,M272&lt;5)</formula>
    </cfRule>
  </conditionalFormatting>
  <conditionalFormatting sqref="M273">
    <cfRule type="expression" rank="0" priority="1091" equalAverage="0" aboveAverage="0" dxfId="0" text="" percent="0" bottom="0">
      <formula>M273&gt;=20</formula>
    </cfRule>
    <cfRule type="expression" rank="0" priority="1092" equalAverage="0" aboveAverage="0" dxfId="1" text="" percent="0" bottom="0">
      <formula>AND(M273&gt;=10,M273&lt;20)</formula>
    </cfRule>
    <cfRule type="expression" rank="0" priority="1093" equalAverage="0" aboveAverage="0" dxfId="2" text="" percent="0" bottom="0">
      <formula>AND(M273&gt;=5,M273&lt;10)</formula>
    </cfRule>
    <cfRule type="expression" rank="0" priority="1094" equalAverage="0" aboveAverage="0" dxfId="3" text="" percent="0" bottom="0">
      <formula>AND(M273&gt;=1,M273&lt;5)</formula>
    </cfRule>
  </conditionalFormatting>
  <conditionalFormatting sqref="M274">
    <cfRule type="expression" rank="0" priority="1095" equalAverage="0" aboveAverage="0" dxfId="0" text="" percent="0" bottom="0">
      <formula>M274&gt;=20</formula>
    </cfRule>
    <cfRule type="expression" rank="0" priority="1096" equalAverage="0" aboveAverage="0" dxfId="1" text="" percent="0" bottom="0">
      <formula>AND(M274&gt;=10,M274&lt;20)</formula>
    </cfRule>
    <cfRule type="expression" rank="0" priority="1097" equalAverage="0" aboveAverage="0" dxfId="2" text="" percent="0" bottom="0">
      <formula>AND(M274&gt;=5,M274&lt;10)</formula>
    </cfRule>
    <cfRule type="expression" rank="0" priority="1098" equalAverage="0" aboveAverage="0" dxfId="3" text="" percent="0" bottom="0">
      <formula>AND(M274&gt;=1,M274&lt;5)</formula>
    </cfRule>
  </conditionalFormatting>
  <conditionalFormatting sqref="M275">
    <cfRule type="expression" rank="0" priority="1099" equalAverage="0" aboveAverage="0" dxfId="0" text="" percent="0" bottom="0">
      <formula>M275&gt;=20</formula>
    </cfRule>
    <cfRule type="expression" rank="0" priority="1100" equalAverage="0" aboveAverage="0" dxfId="1" text="" percent="0" bottom="0">
      <formula>AND(M275&gt;=10,M275&lt;20)</formula>
    </cfRule>
    <cfRule type="expression" rank="0" priority="1101" equalAverage="0" aboveAverage="0" dxfId="2" text="" percent="0" bottom="0">
      <formula>AND(M275&gt;=5,M275&lt;10)</formula>
    </cfRule>
    <cfRule type="expression" rank="0" priority="1102" equalAverage="0" aboveAverage="0" dxfId="3" text="" percent="0" bottom="0">
      <formula>AND(M275&gt;=1,M275&lt;5)</formula>
    </cfRule>
  </conditionalFormatting>
  <conditionalFormatting sqref="M276">
    <cfRule type="expression" rank="0" priority="1103" equalAverage="0" aboveAverage="0" dxfId="0" text="" percent="0" bottom="0">
      <formula>M276&gt;=20</formula>
    </cfRule>
    <cfRule type="expression" rank="0" priority="1104" equalAverage="0" aboveAverage="0" dxfId="1" text="" percent="0" bottom="0">
      <formula>AND(M276&gt;=10,M276&lt;20)</formula>
    </cfRule>
    <cfRule type="expression" rank="0" priority="1105" equalAverage="0" aboveAverage="0" dxfId="2" text="" percent="0" bottom="0">
      <formula>AND(M276&gt;=5,M276&lt;10)</formula>
    </cfRule>
    <cfRule type="expression" rank="0" priority="1106" equalAverage="0" aboveAverage="0" dxfId="3" text="" percent="0" bottom="0">
      <formula>AND(M276&gt;=1,M276&lt;5)</formula>
    </cfRule>
  </conditionalFormatting>
  <conditionalFormatting sqref="M277">
    <cfRule type="expression" rank="0" priority="1107" equalAverage="0" aboveAverage="0" dxfId="0" text="" percent="0" bottom="0">
      <formula>M277&gt;=20</formula>
    </cfRule>
    <cfRule type="expression" rank="0" priority="1108" equalAverage="0" aboveAverage="0" dxfId="1" text="" percent="0" bottom="0">
      <formula>AND(M277&gt;=10,M277&lt;20)</formula>
    </cfRule>
    <cfRule type="expression" rank="0" priority="1109" equalAverage="0" aboveAverage="0" dxfId="2" text="" percent="0" bottom="0">
      <formula>AND(M277&gt;=5,M277&lt;10)</formula>
    </cfRule>
    <cfRule type="expression" rank="0" priority="1110" equalAverage="0" aboveAverage="0" dxfId="3" text="" percent="0" bottom="0">
      <formula>AND(M277&gt;=1,M277&lt;5)</formula>
    </cfRule>
  </conditionalFormatting>
  <conditionalFormatting sqref="M278">
    <cfRule type="expression" rank="0" priority="1111" equalAverage="0" aboveAverage="0" dxfId="0" text="" percent="0" bottom="0">
      <formula>M278&gt;=20</formula>
    </cfRule>
    <cfRule type="expression" rank="0" priority="1112" equalAverage="0" aboveAverage="0" dxfId="1" text="" percent="0" bottom="0">
      <formula>AND(M278&gt;=10,M278&lt;20)</formula>
    </cfRule>
    <cfRule type="expression" rank="0" priority="1113" equalAverage="0" aboveAverage="0" dxfId="2" text="" percent="0" bottom="0">
      <formula>AND(M278&gt;=5,M278&lt;10)</formula>
    </cfRule>
    <cfRule type="expression" rank="0" priority="1114" equalAverage="0" aboveAverage="0" dxfId="3" text="" percent="0" bottom="0">
      <formula>AND(M278&gt;=1,M278&lt;5)</formula>
    </cfRule>
  </conditionalFormatting>
  <conditionalFormatting sqref="M279">
    <cfRule type="expression" rank="0" priority="1115" equalAverage="0" aboveAverage="0" dxfId="0" text="" percent="0" bottom="0">
      <formula>M279&gt;=20</formula>
    </cfRule>
    <cfRule type="expression" rank="0" priority="1116" equalAverage="0" aboveAverage="0" dxfId="1" text="" percent="0" bottom="0">
      <formula>AND(M279&gt;=10,M279&lt;20)</formula>
    </cfRule>
    <cfRule type="expression" rank="0" priority="1117" equalAverage="0" aboveAverage="0" dxfId="2" text="" percent="0" bottom="0">
      <formula>AND(M279&gt;=5,M279&lt;10)</formula>
    </cfRule>
    <cfRule type="expression" rank="0" priority="1118" equalAverage="0" aboveAverage="0" dxfId="3" text="" percent="0" bottom="0">
      <formula>AND(M279&gt;=1,M279&lt;5)</formula>
    </cfRule>
  </conditionalFormatting>
  <conditionalFormatting sqref="M280">
    <cfRule type="expression" rank="0" priority="1119" equalAverage="0" aboveAverage="0" dxfId="0" text="" percent="0" bottom="0">
      <formula>M280&gt;=20</formula>
    </cfRule>
    <cfRule type="expression" rank="0" priority="1120" equalAverage="0" aboveAverage="0" dxfId="1" text="" percent="0" bottom="0">
      <formula>AND(M280&gt;=10,M280&lt;20)</formula>
    </cfRule>
    <cfRule type="expression" rank="0" priority="1121" equalAverage="0" aboveAverage="0" dxfId="2" text="" percent="0" bottom="0">
      <formula>AND(M280&gt;=5,M280&lt;10)</formula>
    </cfRule>
    <cfRule type="expression" rank="0" priority="1122" equalAverage="0" aboveAverage="0" dxfId="3" text="" percent="0" bottom="0">
      <formula>AND(M280&gt;=1,M280&lt;5)</formula>
    </cfRule>
  </conditionalFormatting>
  <conditionalFormatting sqref="M281">
    <cfRule type="expression" rank="0" priority="1123" equalAverage="0" aboveAverage="0" dxfId="0" text="" percent="0" bottom="0">
      <formula>M281&gt;=20</formula>
    </cfRule>
    <cfRule type="expression" rank="0" priority="1124" equalAverage="0" aboveAverage="0" dxfId="1" text="" percent="0" bottom="0">
      <formula>AND(M281&gt;=10,M281&lt;20)</formula>
    </cfRule>
    <cfRule type="expression" rank="0" priority="1125" equalAverage="0" aboveAverage="0" dxfId="2" text="" percent="0" bottom="0">
      <formula>AND(M281&gt;=5,M281&lt;10)</formula>
    </cfRule>
    <cfRule type="expression" rank="0" priority="1126" equalAverage="0" aboveAverage="0" dxfId="3" text="" percent="0" bottom="0">
      <formula>AND(M281&gt;=1,M281&lt;5)</formula>
    </cfRule>
  </conditionalFormatting>
  <conditionalFormatting sqref="M282">
    <cfRule type="expression" rank="0" priority="1127" equalAverage="0" aboveAverage="0" dxfId="0" text="" percent="0" bottom="0">
      <formula>M282&gt;=20</formula>
    </cfRule>
    <cfRule type="expression" rank="0" priority="1128" equalAverage="0" aboveAverage="0" dxfId="1" text="" percent="0" bottom="0">
      <formula>AND(M282&gt;=10,M282&lt;20)</formula>
    </cfRule>
    <cfRule type="expression" rank="0" priority="1129" equalAverage="0" aboveAverage="0" dxfId="2" text="" percent="0" bottom="0">
      <formula>AND(M282&gt;=5,M282&lt;10)</formula>
    </cfRule>
    <cfRule type="expression" rank="0" priority="1130" equalAverage="0" aboveAverage="0" dxfId="3" text="" percent="0" bottom="0">
      <formula>AND(M282&gt;=1,M282&lt;5)</formula>
    </cfRule>
  </conditionalFormatting>
  <conditionalFormatting sqref="M283">
    <cfRule type="expression" rank="0" priority="1131" equalAverage="0" aboveAverage="0" dxfId="0" text="" percent="0" bottom="0">
      <formula>M283&gt;=20</formula>
    </cfRule>
    <cfRule type="expression" rank="0" priority="1132" equalAverage="0" aboveAverage="0" dxfId="1" text="" percent="0" bottom="0">
      <formula>AND(M283&gt;=10,M283&lt;20)</formula>
    </cfRule>
    <cfRule type="expression" rank="0" priority="1133" equalAverage="0" aboveAverage="0" dxfId="2" text="" percent="0" bottom="0">
      <formula>AND(M283&gt;=5,M283&lt;10)</formula>
    </cfRule>
    <cfRule type="expression" rank="0" priority="1134" equalAverage="0" aboveAverage="0" dxfId="3" text="" percent="0" bottom="0">
      <formula>AND(M283&gt;=1,M283&lt;5)</formula>
    </cfRule>
  </conditionalFormatting>
  <conditionalFormatting sqref="M284">
    <cfRule type="expression" rank="0" priority="1135" equalAverage="0" aboveAverage="0" dxfId="0" text="" percent="0" bottom="0">
      <formula>M284&gt;=20</formula>
    </cfRule>
    <cfRule type="expression" rank="0" priority="1136" equalAverage="0" aboveAverage="0" dxfId="1" text="" percent="0" bottom="0">
      <formula>AND(M284&gt;=10,M284&lt;20)</formula>
    </cfRule>
    <cfRule type="expression" rank="0" priority="1137" equalAverage="0" aboveAverage="0" dxfId="2" text="" percent="0" bottom="0">
      <formula>AND(M284&gt;=5,M284&lt;10)</formula>
    </cfRule>
    <cfRule type="expression" rank="0" priority="1138" equalAverage="0" aboveAverage="0" dxfId="3" text="" percent="0" bottom="0">
      <formula>AND(M284&gt;=1,M284&lt;5)</formula>
    </cfRule>
  </conditionalFormatting>
  <conditionalFormatting sqref="M285">
    <cfRule type="expression" rank="0" priority="1139" equalAverage="0" aboveAverage="0" dxfId="0" text="" percent="0" bottom="0">
      <formula>M285&gt;=20</formula>
    </cfRule>
    <cfRule type="expression" rank="0" priority="1140" equalAverage="0" aboveAverage="0" dxfId="1" text="" percent="0" bottom="0">
      <formula>AND(M285&gt;=10,M285&lt;20)</formula>
    </cfRule>
    <cfRule type="expression" rank="0" priority="1141" equalAverage="0" aboveAverage="0" dxfId="2" text="" percent="0" bottom="0">
      <formula>AND(M285&gt;=5,M285&lt;10)</formula>
    </cfRule>
    <cfRule type="expression" rank="0" priority="1142" equalAverage="0" aboveAverage="0" dxfId="3" text="" percent="0" bottom="0">
      <formula>AND(M285&gt;=1,M285&lt;5)</formula>
    </cfRule>
  </conditionalFormatting>
  <conditionalFormatting sqref="M286">
    <cfRule type="expression" rank="0" priority="1143" equalAverage="0" aboveAverage="0" dxfId="0" text="" percent="0" bottom="0">
      <formula>M286&gt;=20</formula>
    </cfRule>
    <cfRule type="expression" rank="0" priority="1144" equalAverage="0" aboveAverage="0" dxfId="1" text="" percent="0" bottom="0">
      <formula>AND(M286&gt;=10,M286&lt;20)</formula>
    </cfRule>
    <cfRule type="expression" rank="0" priority="1145" equalAverage="0" aboveAverage="0" dxfId="2" text="" percent="0" bottom="0">
      <formula>AND(M286&gt;=5,M286&lt;10)</formula>
    </cfRule>
    <cfRule type="expression" rank="0" priority="1146" equalAverage="0" aboveAverage="0" dxfId="3" text="" percent="0" bottom="0">
      <formula>AND(M286&gt;=1,M286&lt;5)</formula>
    </cfRule>
  </conditionalFormatting>
  <conditionalFormatting sqref="M287">
    <cfRule type="expression" rank="0" priority="1147" equalAverage="0" aboveAverage="0" dxfId="0" text="" percent="0" bottom="0">
      <formula>M287&gt;=20</formula>
    </cfRule>
    <cfRule type="expression" rank="0" priority="1148" equalAverage="0" aboveAverage="0" dxfId="1" text="" percent="0" bottom="0">
      <formula>AND(M287&gt;=10,M287&lt;20)</formula>
    </cfRule>
    <cfRule type="expression" rank="0" priority="1149" equalAverage="0" aboveAverage="0" dxfId="2" text="" percent="0" bottom="0">
      <formula>AND(M287&gt;=5,M287&lt;10)</formula>
    </cfRule>
    <cfRule type="expression" rank="0" priority="1150" equalAverage="0" aboveAverage="0" dxfId="3" text="" percent="0" bottom="0">
      <formula>AND(M287&gt;=1,M287&lt;5)</formula>
    </cfRule>
  </conditionalFormatting>
  <conditionalFormatting sqref="M288">
    <cfRule type="expression" rank="0" priority="1151" equalAverage="0" aboveAverage="0" dxfId="0" text="" percent="0" bottom="0">
      <formula>M288&gt;=20</formula>
    </cfRule>
    <cfRule type="expression" rank="0" priority="1152" equalAverage="0" aboveAverage="0" dxfId="1" text="" percent="0" bottom="0">
      <formula>AND(M288&gt;=10,M288&lt;20)</formula>
    </cfRule>
    <cfRule type="expression" rank="0" priority="1153" equalAverage="0" aboveAverage="0" dxfId="2" text="" percent="0" bottom="0">
      <formula>AND(M288&gt;=5,M288&lt;10)</formula>
    </cfRule>
    <cfRule type="expression" rank="0" priority="1154" equalAverage="0" aboveAverage="0" dxfId="3" text="" percent="0" bottom="0">
      <formula>AND(M288&gt;=1,M288&lt;5)</formula>
    </cfRule>
  </conditionalFormatting>
  <conditionalFormatting sqref="M289">
    <cfRule type="expression" rank="0" priority="1155" equalAverage="0" aboveAverage="0" dxfId="0" text="" percent="0" bottom="0">
      <formula>M289&gt;=20</formula>
    </cfRule>
    <cfRule type="expression" rank="0" priority="1156" equalAverage="0" aboveAverage="0" dxfId="1" text="" percent="0" bottom="0">
      <formula>AND(M289&gt;=10,M289&lt;20)</formula>
    </cfRule>
    <cfRule type="expression" rank="0" priority="1157" equalAverage="0" aboveAverage="0" dxfId="2" text="" percent="0" bottom="0">
      <formula>AND(M289&gt;=5,M289&lt;10)</formula>
    </cfRule>
    <cfRule type="expression" rank="0" priority="1158" equalAverage="0" aboveAverage="0" dxfId="3" text="" percent="0" bottom="0">
      <formula>AND(M289&gt;=1,M289&lt;5)</formula>
    </cfRule>
  </conditionalFormatting>
  <conditionalFormatting sqref="M290">
    <cfRule type="expression" rank="0" priority="1159" equalAverage="0" aboveAverage="0" dxfId="0" text="" percent="0" bottom="0">
      <formula>M290&gt;=20</formula>
    </cfRule>
    <cfRule type="expression" rank="0" priority="1160" equalAverage="0" aboveAverage="0" dxfId="1" text="" percent="0" bottom="0">
      <formula>AND(M290&gt;=10,M290&lt;20)</formula>
    </cfRule>
    <cfRule type="expression" rank="0" priority="1161" equalAverage="0" aboveAverage="0" dxfId="2" text="" percent="0" bottom="0">
      <formula>AND(M290&gt;=5,M290&lt;10)</formula>
    </cfRule>
    <cfRule type="expression" rank="0" priority="1162" equalAverage="0" aboveAverage="0" dxfId="3" text="" percent="0" bottom="0">
      <formula>AND(M290&gt;=1,M290&lt;5)</formula>
    </cfRule>
  </conditionalFormatting>
  <conditionalFormatting sqref="M291">
    <cfRule type="expression" rank="0" priority="1163" equalAverage="0" aboveAverage="0" dxfId="0" text="" percent="0" bottom="0">
      <formula>M291&gt;=20</formula>
    </cfRule>
    <cfRule type="expression" rank="0" priority="1164" equalAverage="0" aboveAverage="0" dxfId="1" text="" percent="0" bottom="0">
      <formula>AND(M291&gt;=10,M291&lt;20)</formula>
    </cfRule>
    <cfRule type="expression" rank="0" priority="1165" equalAverage="0" aboveAverage="0" dxfId="2" text="" percent="0" bottom="0">
      <formula>AND(M291&gt;=5,M291&lt;10)</formula>
    </cfRule>
    <cfRule type="expression" rank="0" priority="1166" equalAverage="0" aboveAverage="0" dxfId="3" text="" percent="0" bottom="0">
      <formula>AND(M291&gt;=1,M291&lt;5)</formula>
    </cfRule>
  </conditionalFormatting>
  <conditionalFormatting sqref="M292">
    <cfRule type="expression" rank="0" priority="1167" equalAverage="0" aboveAverage="0" dxfId="0" text="" percent="0" bottom="0">
      <formula>M292&gt;=20</formula>
    </cfRule>
    <cfRule type="expression" rank="0" priority="1168" equalAverage="0" aboveAverage="0" dxfId="1" text="" percent="0" bottom="0">
      <formula>AND(M292&gt;=10,M292&lt;20)</formula>
    </cfRule>
    <cfRule type="expression" rank="0" priority="1169" equalAverage="0" aboveAverage="0" dxfId="2" text="" percent="0" bottom="0">
      <formula>AND(M292&gt;=5,M292&lt;10)</formula>
    </cfRule>
    <cfRule type="expression" rank="0" priority="1170" equalAverage="0" aboveAverage="0" dxfId="3" text="" percent="0" bottom="0">
      <formula>AND(M292&gt;=1,M292&lt;5)</formula>
    </cfRule>
  </conditionalFormatting>
  <conditionalFormatting sqref="M293">
    <cfRule type="expression" rank="0" priority="1171" equalAverage="0" aboveAverage="0" dxfId="0" text="" percent="0" bottom="0">
      <formula>M293&gt;=20</formula>
    </cfRule>
    <cfRule type="expression" rank="0" priority="1172" equalAverage="0" aboveAverage="0" dxfId="1" text="" percent="0" bottom="0">
      <formula>AND(M293&gt;=10,M293&lt;20)</formula>
    </cfRule>
    <cfRule type="expression" rank="0" priority="1173" equalAverage="0" aboveAverage="0" dxfId="2" text="" percent="0" bottom="0">
      <formula>AND(M293&gt;=5,M293&lt;10)</formula>
    </cfRule>
    <cfRule type="expression" rank="0" priority="1174" equalAverage="0" aboveAverage="0" dxfId="3" text="" percent="0" bottom="0">
      <formula>AND(M293&gt;=1,M293&lt;5)</formula>
    </cfRule>
  </conditionalFormatting>
  <conditionalFormatting sqref="M294">
    <cfRule type="expression" rank="0" priority="1175" equalAverage="0" aboveAverage="0" dxfId="0" text="" percent="0" bottom="0">
      <formula>M294&gt;=20</formula>
    </cfRule>
    <cfRule type="expression" rank="0" priority="1176" equalAverage="0" aboveAverage="0" dxfId="1" text="" percent="0" bottom="0">
      <formula>AND(M294&gt;=10,M294&lt;20)</formula>
    </cfRule>
    <cfRule type="expression" rank="0" priority="1177" equalAverage="0" aboveAverage="0" dxfId="2" text="" percent="0" bottom="0">
      <formula>AND(M294&gt;=5,M294&lt;10)</formula>
    </cfRule>
    <cfRule type="expression" rank="0" priority="1178" equalAverage="0" aboveAverage="0" dxfId="3" text="" percent="0" bottom="0">
      <formula>AND(M294&gt;=1,M294&lt;5)</formula>
    </cfRule>
  </conditionalFormatting>
  <conditionalFormatting sqref="M295">
    <cfRule type="expression" rank="0" priority="1179" equalAverage="0" aboveAverage="0" dxfId="0" text="" percent="0" bottom="0">
      <formula>M295&gt;=20</formula>
    </cfRule>
    <cfRule type="expression" rank="0" priority="1180" equalAverage="0" aboveAverage="0" dxfId="1" text="" percent="0" bottom="0">
      <formula>AND(M295&gt;=10,M295&lt;20)</formula>
    </cfRule>
    <cfRule type="expression" rank="0" priority="1181" equalAverage="0" aboveAverage="0" dxfId="2" text="" percent="0" bottom="0">
      <formula>AND(M295&gt;=5,M295&lt;10)</formula>
    </cfRule>
    <cfRule type="expression" rank="0" priority="1182" equalAverage="0" aboveAverage="0" dxfId="3" text="" percent="0" bottom="0">
      <formula>AND(M295&gt;=1,M295&lt;5)</formula>
    </cfRule>
  </conditionalFormatting>
  <conditionalFormatting sqref="M296">
    <cfRule type="expression" rank="0" priority="1183" equalAverage="0" aboveAverage="0" dxfId="0" text="" percent="0" bottom="0">
      <formula>M296&gt;=20</formula>
    </cfRule>
    <cfRule type="expression" rank="0" priority="1184" equalAverage="0" aboveAverage="0" dxfId="1" text="" percent="0" bottom="0">
      <formula>AND(M296&gt;=10,M296&lt;20)</formula>
    </cfRule>
    <cfRule type="expression" rank="0" priority="1185" equalAverage="0" aboveAverage="0" dxfId="2" text="" percent="0" bottom="0">
      <formula>AND(M296&gt;=5,M296&lt;10)</formula>
    </cfRule>
    <cfRule type="expression" rank="0" priority="1186" equalAverage="0" aboveAverage="0" dxfId="3" text="" percent="0" bottom="0">
      <formula>AND(M296&gt;=1,M296&lt;5)</formula>
    </cfRule>
  </conditionalFormatting>
  <conditionalFormatting sqref="M297">
    <cfRule type="expression" rank="0" priority="1187" equalAverage="0" aboveAverage="0" dxfId="0" text="" percent="0" bottom="0">
      <formula>M297&gt;=20</formula>
    </cfRule>
    <cfRule type="expression" rank="0" priority="1188" equalAverage="0" aboveAverage="0" dxfId="1" text="" percent="0" bottom="0">
      <formula>AND(M297&gt;=10,M297&lt;20)</formula>
    </cfRule>
    <cfRule type="expression" rank="0" priority="1189" equalAverage="0" aboveAverage="0" dxfId="2" text="" percent="0" bottom="0">
      <formula>AND(M297&gt;=5,M297&lt;10)</formula>
    </cfRule>
    <cfRule type="expression" rank="0" priority="1190" equalAverage="0" aboveAverage="0" dxfId="3" text="" percent="0" bottom="0">
      <formula>AND(M297&gt;=1,M297&lt;5)</formula>
    </cfRule>
  </conditionalFormatting>
  <conditionalFormatting sqref="M298">
    <cfRule type="expression" rank="0" priority="1191" equalAverage="0" aboveAverage="0" dxfId="0" text="" percent="0" bottom="0">
      <formula>M298&gt;=20</formula>
    </cfRule>
    <cfRule type="expression" rank="0" priority="1192" equalAverage="0" aboveAverage="0" dxfId="1" text="" percent="0" bottom="0">
      <formula>AND(M298&gt;=10,M298&lt;20)</formula>
    </cfRule>
    <cfRule type="expression" rank="0" priority="1193" equalAverage="0" aboveAverage="0" dxfId="2" text="" percent="0" bottom="0">
      <formula>AND(M298&gt;=5,M298&lt;10)</formula>
    </cfRule>
    <cfRule type="expression" rank="0" priority="1194" equalAverage="0" aboveAverage="0" dxfId="3" text="" percent="0" bottom="0">
      <formula>AND(M298&gt;=1,M298&lt;5)</formula>
    </cfRule>
  </conditionalFormatting>
  <conditionalFormatting sqref="M299">
    <cfRule type="expression" rank="0" priority="1195" equalAverage="0" aboveAverage="0" dxfId="0" text="" percent="0" bottom="0">
      <formula>M299&gt;=20</formula>
    </cfRule>
    <cfRule type="expression" rank="0" priority="1196" equalAverage="0" aboveAverage="0" dxfId="1" text="" percent="0" bottom="0">
      <formula>AND(M299&gt;=10,M299&lt;20)</formula>
    </cfRule>
    <cfRule type="expression" rank="0" priority="1197" equalAverage="0" aboveAverage="0" dxfId="2" text="" percent="0" bottom="0">
      <formula>AND(M299&gt;=5,M299&lt;10)</formula>
    </cfRule>
    <cfRule type="expression" rank="0" priority="1198" equalAverage="0" aboveAverage="0" dxfId="3" text="" percent="0" bottom="0">
      <formula>AND(M299&gt;=1,M299&lt;5)</formula>
    </cfRule>
  </conditionalFormatting>
  <conditionalFormatting sqref="M300">
    <cfRule type="expression" rank="0" priority="1199" equalAverage="0" aboveAverage="0" dxfId="0" text="" percent="0" bottom="0">
      <formula>M300&gt;=20</formula>
    </cfRule>
    <cfRule type="expression" rank="0" priority="1200" equalAverage="0" aboveAverage="0" dxfId="1" text="" percent="0" bottom="0">
      <formula>AND(M300&gt;=10,M300&lt;20)</formula>
    </cfRule>
    <cfRule type="expression" rank="0" priority="1201" equalAverage="0" aboveAverage="0" dxfId="2" text="" percent="0" bottom="0">
      <formula>AND(M300&gt;=5,M300&lt;10)</formula>
    </cfRule>
    <cfRule type="expression" rank="0" priority="1202" equalAverage="0" aboveAverage="0" dxfId="3" text="" percent="0" bottom="0">
      <formula>AND(M300&gt;=1,M300&lt;5)</formula>
    </cfRule>
  </conditionalFormatting>
  <conditionalFormatting sqref="M301">
    <cfRule type="expression" rank="0" priority="1203" equalAverage="0" aboveAverage="0" dxfId="0" text="" percent="0" bottom="0">
      <formula>M301&gt;=20</formula>
    </cfRule>
    <cfRule type="expression" rank="0" priority="1204" equalAverage="0" aboveAverage="0" dxfId="1" text="" percent="0" bottom="0">
      <formula>AND(M301&gt;=10,M301&lt;20)</formula>
    </cfRule>
    <cfRule type="expression" rank="0" priority="1205" equalAverage="0" aboveAverage="0" dxfId="2" text="" percent="0" bottom="0">
      <formula>AND(M301&gt;=5,M301&lt;10)</formula>
    </cfRule>
    <cfRule type="expression" rank="0" priority="1206" equalAverage="0" aboveAverage="0" dxfId="3" text="" percent="0" bottom="0">
      <formula>AND(M301&gt;=1,M301&lt;5)</formula>
    </cfRule>
  </conditionalFormatting>
  <conditionalFormatting sqref="M302">
    <cfRule type="expression" rank="0" priority="1207" equalAverage="0" aboveAverage="0" dxfId="0" text="" percent="0" bottom="0">
      <formula>M302&gt;=20</formula>
    </cfRule>
    <cfRule type="expression" rank="0" priority="1208" equalAverage="0" aboveAverage="0" dxfId="1" text="" percent="0" bottom="0">
      <formula>AND(M302&gt;=10,M302&lt;20)</formula>
    </cfRule>
    <cfRule type="expression" rank="0" priority="1209" equalAverage="0" aboveAverage="0" dxfId="2" text="" percent="0" bottom="0">
      <formula>AND(M302&gt;=5,M302&lt;10)</formula>
    </cfRule>
    <cfRule type="expression" rank="0" priority="1210" equalAverage="0" aboveAverage="0" dxfId="3" text="" percent="0" bottom="0">
      <formula>AND(M302&gt;=1,M302&lt;5)</formula>
    </cfRule>
  </conditionalFormatting>
  <conditionalFormatting sqref="M303">
    <cfRule type="expression" rank="0" priority="1211" equalAverage="0" aboveAverage="0" dxfId="0" text="" percent="0" bottom="0">
      <formula>M303&gt;=20</formula>
    </cfRule>
    <cfRule type="expression" rank="0" priority="1212" equalAverage="0" aboveAverage="0" dxfId="1" text="" percent="0" bottom="0">
      <formula>AND(M303&gt;=10,M303&lt;20)</formula>
    </cfRule>
    <cfRule type="expression" rank="0" priority="1213" equalAverage="0" aboveAverage="0" dxfId="2" text="" percent="0" bottom="0">
      <formula>AND(M303&gt;=5,M303&lt;10)</formula>
    </cfRule>
    <cfRule type="expression" rank="0" priority="1214" equalAverage="0" aboveAverage="0" dxfId="3" text="" percent="0" bottom="0">
      <formula>AND(M303&gt;=1,M303&lt;5)</formula>
    </cfRule>
  </conditionalFormatting>
  <conditionalFormatting sqref="M304">
    <cfRule type="expression" rank="0" priority="1215" equalAverage="0" aboveAverage="0" dxfId="0" text="" percent="0" bottom="0">
      <formula>M304&gt;=20</formula>
    </cfRule>
    <cfRule type="expression" rank="0" priority="1216" equalAverage="0" aboveAverage="0" dxfId="1" text="" percent="0" bottom="0">
      <formula>AND(M304&gt;=10,M304&lt;20)</formula>
    </cfRule>
    <cfRule type="expression" rank="0" priority="1217" equalAverage="0" aboveAverage="0" dxfId="2" text="" percent="0" bottom="0">
      <formula>AND(M304&gt;=5,M304&lt;10)</formula>
    </cfRule>
    <cfRule type="expression" rank="0" priority="1218" equalAverage="0" aboveAverage="0" dxfId="3" text="" percent="0" bottom="0">
      <formula>AND(M304&gt;=1,M304&lt;5)</formula>
    </cfRule>
  </conditionalFormatting>
  <conditionalFormatting sqref="M305">
    <cfRule type="expression" rank="0" priority="1219" equalAverage="0" aboveAverage="0" dxfId="0" text="" percent="0" bottom="0">
      <formula>M305&gt;=20</formula>
    </cfRule>
    <cfRule type="expression" rank="0" priority="1220" equalAverage="0" aboveAverage="0" dxfId="1" text="" percent="0" bottom="0">
      <formula>AND(M305&gt;=10,M305&lt;20)</formula>
    </cfRule>
    <cfRule type="expression" rank="0" priority="1221" equalAverage="0" aboveAverage="0" dxfId="2" text="" percent="0" bottom="0">
      <formula>AND(M305&gt;=5,M305&lt;10)</formula>
    </cfRule>
    <cfRule type="expression" rank="0" priority="1222" equalAverage="0" aboveAverage="0" dxfId="3" text="" percent="0" bottom="0">
      <formula>AND(M305&gt;=1,M305&lt;5)</formula>
    </cfRule>
  </conditionalFormatting>
  <conditionalFormatting sqref="M306">
    <cfRule type="expression" rank="0" priority="1223" equalAverage="0" aboveAverage="0" dxfId="0" text="" percent="0" bottom="0">
      <formula>M306&gt;=20</formula>
    </cfRule>
    <cfRule type="expression" rank="0" priority="1224" equalAverage="0" aboveAverage="0" dxfId="1" text="" percent="0" bottom="0">
      <formula>AND(M306&gt;=10,M306&lt;20)</formula>
    </cfRule>
    <cfRule type="expression" rank="0" priority="1225" equalAverage="0" aboveAverage="0" dxfId="2" text="" percent="0" bottom="0">
      <formula>AND(M306&gt;=5,M306&lt;10)</formula>
    </cfRule>
    <cfRule type="expression" rank="0" priority="1226" equalAverage="0" aboveAverage="0" dxfId="3" text="" percent="0" bottom="0">
      <formula>AND(M306&gt;=1,M306&lt;5)</formula>
    </cfRule>
  </conditionalFormatting>
  <conditionalFormatting sqref="M307">
    <cfRule type="expression" rank="0" priority="1227" equalAverage="0" aboveAverage="0" dxfId="0" text="" percent="0" bottom="0">
      <formula>M307&gt;=20</formula>
    </cfRule>
    <cfRule type="expression" rank="0" priority="1228" equalAverage="0" aboveAverage="0" dxfId="1" text="" percent="0" bottom="0">
      <formula>AND(M307&gt;=10,M307&lt;20)</formula>
    </cfRule>
    <cfRule type="expression" rank="0" priority="1229" equalAverage="0" aboveAverage="0" dxfId="2" text="" percent="0" bottom="0">
      <formula>AND(M307&gt;=5,M307&lt;10)</formula>
    </cfRule>
    <cfRule type="expression" rank="0" priority="1230" equalAverage="0" aboveAverage="0" dxfId="3" text="" percent="0" bottom="0">
      <formula>AND(M307&gt;=1,M307&lt;5)</formula>
    </cfRule>
  </conditionalFormatting>
  <conditionalFormatting sqref="M308">
    <cfRule type="expression" rank="0" priority="1231" equalAverage="0" aboveAverage="0" dxfId="0" text="" percent="0" bottom="0">
      <formula>M308&gt;=20</formula>
    </cfRule>
    <cfRule type="expression" rank="0" priority="1232" equalAverage="0" aboveAverage="0" dxfId="1" text="" percent="0" bottom="0">
      <formula>AND(M308&gt;=10,M308&lt;20)</formula>
    </cfRule>
    <cfRule type="expression" rank="0" priority="1233" equalAverage="0" aboveAverage="0" dxfId="2" text="" percent="0" bottom="0">
      <formula>AND(M308&gt;=5,M308&lt;10)</formula>
    </cfRule>
    <cfRule type="expression" rank="0" priority="1234" equalAverage="0" aboveAverage="0" dxfId="3" text="" percent="0" bottom="0">
      <formula>AND(M308&gt;=1,M308&lt;5)</formula>
    </cfRule>
  </conditionalFormatting>
  <conditionalFormatting sqref="M309">
    <cfRule type="expression" rank="0" priority="1235" equalAverage="0" aboveAverage="0" dxfId="0" text="" percent="0" bottom="0">
      <formula>M309&gt;=20</formula>
    </cfRule>
    <cfRule type="expression" rank="0" priority="1236" equalAverage="0" aboveAverage="0" dxfId="1" text="" percent="0" bottom="0">
      <formula>AND(M309&gt;=10,M309&lt;20)</formula>
    </cfRule>
    <cfRule type="expression" rank="0" priority="1237" equalAverage="0" aboveAverage="0" dxfId="2" text="" percent="0" bottom="0">
      <formula>AND(M309&gt;=5,M309&lt;10)</formula>
    </cfRule>
    <cfRule type="expression" rank="0" priority="1238" equalAverage="0" aboveAverage="0" dxfId="3" text="" percent="0" bottom="0">
      <formula>AND(M309&gt;=1,M309&lt;5)</formula>
    </cfRule>
  </conditionalFormatting>
  <conditionalFormatting sqref="M310">
    <cfRule type="expression" rank="0" priority="1239" equalAverage="0" aboveAverage="0" dxfId="0" text="" percent="0" bottom="0">
      <formula>M310&gt;=20</formula>
    </cfRule>
    <cfRule type="expression" rank="0" priority="1240" equalAverage="0" aboveAverage="0" dxfId="1" text="" percent="0" bottom="0">
      <formula>AND(M310&gt;=10,M310&lt;20)</formula>
    </cfRule>
    <cfRule type="expression" rank="0" priority="1241" equalAverage="0" aboveAverage="0" dxfId="2" text="" percent="0" bottom="0">
      <formula>AND(M310&gt;=5,M310&lt;10)</formula>
    </cfRule>
    <cfRule type="expression" rank="0" priority="1242" equalAverage="0" aboveAverage="0" dxfId="3" text="" percent="0" bottom="0">
      <formula>AND(M310&gt;=1,M310&lt;5)</formula>
    </cfRule>
  </conditionalFormatting>
  <conditionalFormatting sqref="M311">
    <cfRule type="expression" rank="0" priority="1243" equalAverage="0" aboveAverage="0" dxfId="0" text="" percent="0" bottom="0">
      <formula>M311&gt;=20</formula>
    </cfRule>
    <cfRule type="expression" rank="0" priority="1244" equalAverage="0" aboveAverage="0" dxfId="1" text="" percent="0" bottom="0">
      <formula>AND(M311&gt;=10,M311&lt;20)</formula>
    </cfRule>
    <cfRule type="expression" rank="0" priority="1245" equalAverage="0" aboveAverage="0" dxfId="2" text="" percent="0" bottom="0">
      <formula>AND(M311&gt;=5,M311&lt;10)</formula>
    </cfRule>
    <cfRule type="expression" rank="0" priority="1246" equalAverage="0" aboveAverage="0" dxfId="3" text="" percent="0" bottom="0">
      <formula>AND(M311&gt;=1,M311&lt;5)</formula>
    </cfRule>
  </conditionalFormatting>
  <conditionalFormatting sqref="M312">
    <cfRule type="expression" rank="0" priority="1247" equalAverage="0" aboveAverage="0" dxfId="0" text="" percent="0" bottom="0">
      <formula>M312&gt;=20</formula>
    </cfRule>
    <cfRule type="expression" rank="0" priority="1248" equalAverage="0" aboveAverage="0" dxfId="1" text="" percent="0" bottom="0">
      <formula>AND(M312&gt;=10,M312&lt;20)</formula>
    </cfRule>
    <cfRule type="expression" rank="0" priority="1249" equalAverage="0" aboveAverage="0" dxfId="2" text="" percent="0" bottom="0">
      <formula>AND(M312&gt;=5,M312&lt;10)</formula>
    </cfRule>
    <cfRule type="expression" rank="0" priority="1250" equalAverage="0" aboveAverage="0" dxfId="3" text="" percent="0" bottom="0">
      <formula>AND(M312&gt;=1,M312&lt;5)</formula>
    </cfRule>
  </conditionalFormatting>
  <conditionalFormatting sqref="M313">
    <cfRule type="expression" rank="0" priority="1251" equalAverage="0" aboveAverage="0" dxfId="0" text="" percent="0" bottom="0">
      <formula>M313&gt;=20</formula>
    </cfRule>
    <cfRule type="expression" rank="0" priority="1252" equalAverage="0" aboveAverage="0" dxfId="1" text="" percent="0" bottom="0">
      <formula>AND(M313&gt;=10,M313&lt;20)</formula>
    </cfRule>
    <cfRule type="expression" rank="0" priority="1253" equalAverage="0" aboveAverage="0" dxfId="2" text="" percent="0" bottom="0">
      <formula>AND(M313&gt;=5,M313&lt;10)</formula>
    </cfRule>
    <cfRule type="expression" rank="0" priority="1254" equalAverage="0" aboveAverage="0" dxfId="3" text="" percent="0" bottom="0">
      <formula>AND(M313&gt;=1,M313&lt;5)</formula>
    </cfRule>
  </conditionalFormatting>
  <conditionalFormatting sqref="M314">
    <cfRule type="expression" rank="0" priority="1255" equalAverage="0" aboveAverage="0" dxfId="0" text="" percent="0" bottom="0">
      <formula>M314&gt;=20</formula>
    </cfRule>
    <cfRule type="expression" rank="0" priority="1256" equalAverage="0" aboveAverage="0" dxfId="1" text="" percent="0" bottom="0">
      <formula>AND(M314&gt;=10,M314&lt;20)</formula>
    </cfRule>
    <cfRule type="expression" rank="0" priority="1257" equalAverage="0" aboveAverage="0" dxfId="2" text="" percent="0" bottom="0">
      <formula>AND(M314&gt;=5,M314&lt;10)</formula>
    </cfRule>
    <cfRule type="expression" rank="0" priority="1258" equalAverage="0" aboveAverage="0" dxfId="3" text="" percent="0" bottom="0">
      <formula>AND(M314&gt;=1,M314&lt;5)</formula>
    </cfRule>
  </conditionalFormatting>
  <conditionalFormatting sqref="M315">
    <cfRule type="expression" rank="0" priority="1259" equalAverage="0" aboveAverage="0" dxfId="0" text="" percent="0" bottom="0">
      <formula>M315&gt;=20</formula>
    </cfRule>
    <cfRule type="expression" rank="0" priority="1260" equalAverage="0" aboveAverage="0" dxfId="1" text="" percent="0" bottom="0">
      <formula>AND(M315&gt;=10,M315&lt;20)</formula>
    </cfRule>
    <cfRule type="expression" rank="0" priority="1261" equalAverage="0" aboveAverage="0" dxfId="2" text="" percent="0" bottom="0">
      <formula>AND(M315&gt;=5,M315&lt;10)</formula>
    </cfRule>
    <cfRule type="expression" rank="0" priority="1262" equalAverage="0" aboveAverage="0" dxfId="3" text="" percent="0" bottom="0">
      <formula>AND(M315&gt;=1,M315&lt;5)</formula>
    </cfRule>
  </conditionalFormatting>
  <conditionalFormatting sqref="M316">
    <cfRule type="expression" rank="0" priority="1263" equalAverage="0" aboveAverage="0" dxfId="0" text="" percent="0" bottom="0">
      <formula>M316&gt;=20</formula>
    </cfRule>
    <cfRule type="expression" rank="0" priority="1264" equalAverage="0" aboveAverage="0" dxfId="1" text="" percent="0" bottom="0">
      <formula>AND(M316&gt;=10,M316&lt;20)</formula>
    </cfRule>
    <cfRule type="expression" rank="0" priority="1265" equalAverage="0" aboveAverage="0" dxfId="2" text="" percent="0" bottom="0">
      <formula>AND(M316&gt;=5,M316&lt;10)</formula>
    </cfRule>
    <cfRule type="expression" rank="0" priority="1266" equalAverage="0" aboveAverage="0" dxfId="3" text="" percent="0" bottom="0">
      <formula>AND(M316&gt;=1,M316&lt;5)</formula>
    </cfRule>
  </conditionalFormatting>
  <conditionalFormatting sqref="M317">
    <cfRule type="expression" rank="0" priority="1267" equalAverage="0" aboveAverage="0" dxfId="0" text="" percent="0" bottom="0">
      <formula>M317&gt;=20</formula>
    </cfRule>
    <cfRule type="expression" rank="0" priority="1268" equalAverage="0" aboveAverage="0" dxfId="1" text="" percent="0" bottom="0">
      <formula>AND(M317&gt;=10,M317&lt;20)</formula>
    </cfRule>
    <cfRule type="expression" rank="0" priority="1269" equalAverage="0" aboveAverage="0" dxfId="2" text="" percent="0" bottom="0">
      <formula>AND(M317&gt;=5,M317&lt;10)</formula>
    </cfRule>
    <cfRule type="expression" rank="0" priority="1270" equalAverage="0" aboveAverage="0" dxfId="3" text="" percent="0" bottom="0">
      <formula>AND(M317&gt;=1,M317&lt;5)</formula>
    </cfRule>
  </conditionalFormatting>
  <conditionalFormatting sqref="M318">
    <cfRule type="expression" rank="0" priority="1271" equalAverage="0" aboveAverage="0" dxfId="0" text="" percent="0" bottom="0">
      <formula>M318&gt;=20</formula>
    </cfRule>
    <cfRule type="expression" rank="0" priority="1272" equalAverage="0" aboveAverage="0" dxfId="1" text="" percent="0" bottom="0">
      <formula>AND(M318&gt;=10,M318&lt;20)</formula>
    </cfRule>
    <cfRule type="expression" rank="0" priority="1273" equalAverage="0" aboveAverage="0" dxfId="2" text="" percent="0" bottom="0">
      <formula>AND(M318&gt;=5,M318&lt;10)</formula>
    </cfRule>
    <cfRule type="expression" rank="0" priority="1274" equalAverage="0" aboveAverage="0" dxfId="3" text="" percent="0" bottom="0">
      <formula>AND(M318&gt;=1,M318&lt;5)</formula>
    </cfRule>
  </conditionalFormatting>
  <conditionalFormatting sqref="M319">
    <cfRule type="expression" rank="0" priority="1275" equalAverage="0" aboveAverage="0" dxfId="0" text="" percent="0" bottom="0">
      <formula>M319&gt;=20</formula>
    </cfRule>
    <cfRule type="expression" rank="0" priority="1276" equalAverage="0" aboveAverage="0" dxfId="1" text="" percent="0" bottom="0">
      <formula>AND(M319&gt;=10,M319&lt;20)</formula>
    </cfRule>
    <cfRule type="expression" rank="0" priority="1277" equalAverage="0" aboveAverage="0" dxfId="2" text="" percent="0" bottom="0">
      <formula>AND(M319&gt;=5,M319&lt;10)</formula>
    </cfRule>
    <cfRule type="expression" rank="0" priority="1278" equalAverage="0" aboveAverage="0" dxfId="3" text="" percent="0" bottom="0">
      <formula>AND(M319&gt;=1,M319&lt;5)</formula>
    </cfRule>
  </conditionalFormatting>
  <conditionalFormatting sqref="M320">
    <cfRule type="expression" rank="0" priority="1279" equalAverage="0" aboveAverage="0" dxfId="0" text="" percent="0" bottom="0">
      <formula>M320&gt;=20</formula>
    </cfRule>
    <cfRule type="expression" rank="0" priority="1280" equalAverage="0" aboveAverage="0" dxfId="1" text="" percent="0" bottom="0">
      <formula>AND(M320&gt;=10,M320&lt;20)</formula>
    </cfRule>
    <cfRule type="expression" rank="0" priority="1281" equalAverage="0" aboveAverage="0" dxfId="2" text="" percent="0" bottom="0">
      <formula>AND(M320&gt;=5,M320&lt;10)</formula>
    </cfRule>
    <cfRule type="expression" rank="0" priority="1282" equalAverage="0" aboveAverage="0" dxfId="3" text="" percent="0" bottom="0">
      <formula>AND(M320&gt;=1,M320&lt;5)</formula>
    </cfRule>
  </conditionalFormatting>
  <conditionalFormatting sqref="M321">
    <cfRule type="expression" rank="0" priority="1283" equalAverage="0" aboveAverage="0" dxfId="0" text="" percent="0" bottom="0">
      <formula>M321&gt;=20</formula>
    </cfRule>
    <cfRule type="expression" rank="0" priority="1284" equalAverage="0" aboveAverage="0" dxfId="1" text="" percent="0" bottom="0">
      <formula>AND(M321&gt;=10,M321&lt;20)</formula>
    </cfRule>
    <cfRule type="expression" rank="0" priority="1285" equalAverage="0" aboveAverage="0" dxfId="2" text="" percent="0" bottom="0">
      <formula>AND(M321&gt;=5,M321&lt;10)</formula>
    </cfRule>
    <cfRule type="expression" rank="0" priority="1286" equalAverage="0" aboveAverage="0" dxfId="3" text="" percent="0" bottom="0">
      <formula>AND(M321&gt;=1,M321&lt;5)</formula>
    </cfRule>
  </conditionalFormatting>
  <conditionalFormatting sqref="M322">
    <cfRule type="expression" rank="0" priority="1287" equalAverage="0" aboveAverage="0" dxfId="0" text="" percent="0" bottom="0">
      <formula>M322&gt;=20</formula>
    </cfRule>
    <cfRule type="expression" rank="0" priority="1288" equalAverage="0" aboveAverage="0" dxfId="1" text="" percent="0" bottom="0">
      <formula>AND(M322&gt;=10,M322&lt;20)</formula>
    </cfRule>
    <cfRule type="expression" rank="0" priority="1289" equalAverage="0" aboveAverage="0" dxfId="2" text="" percent="0" bottom="0">
      <formula>AND(M322&gt;=5,M322&lt;10)</formula>
    </cfRule>
    <cfRule type="expression" rank="0" priority="1290" equalAverage="0" aboveAverage="0" dxfId="3" text="" percent="0" bottom="0">
      <formula>AND(M322&gt;=1,M322&lt;5)</formula>
    </cfRule>
  </conditionalFormatting>
  <conditionalFormatting sqref="M323">
    <cfRule type="expression" rank="0" priority="1291" equalAverage="0" aboveAverage="0" dxfId="0" text="" percent="0" bottom="0">
      <formula>M323&gt;=20</formula>
    </cfRule>
    <cfRule type="expression" rank="0" priority="1292" equalAverage="0" aboveAverage="0" dxfId="1" text="" percent="0" bottom="0">
      <formula>AND(M323&gt;=10,M323&lt;20)</formula>
    </cfRule>
    <cfRule type="expression" rank="0" priority="1293" equalAverage="0" aboveAverage="0" dxfId="2" text="" percent="0" bottom="0">
      <formula>AND(M323&gt;=5,M323&lt;10)</formula>
    </cfRule>
    <cfRule type="expression" rank="0" priority="1294" equalAverage="0" aboveAverage="0" dxfId="3" text="" percent="0" bottom="0">
      <formula>AND(M323&gt;=1,M323&lt;5)</formula>
    </cfRule>
  </conditionalFormatting>
  <conditionalFormatting sqref="M324">
    <cfRule type="expression" rank="0" priority="1295" equalAverage="0" aboveAverage="0" dxfId="0" text="" percent="0" bottom="0">
      <formula>M324&gt;=20</formula>
    </cfRule>
    <cfRule type="expression" rank="0" priority="1296" equalAverage="0" aboveAverage="0" dxfId="1" text="" percent="0" bottom="0">
      <formula>AND(M324&gt;=10,M324&lt;20)</formula>
    </cfRule>
    <cfRule type="expression" rank="0" priority="1297" equalAverage="0" aboveAverage="0" dxfId="2" text="" percent="0" bottom="0">
      <formula>AND(M324&gt;=5,M324&lt;10)</formula>
    </cfRule>
    <cfRule type="expression" rank="0" priority="1298" equalAverage="0" aboveAverage="0" dxfId="3" text="" percent="0" bottom="0">
      <formula>AND(M324&gt;=1,M324&lt;5)</formula>
    </cfRule>
  </conditionalFormatting>
  <conditionalFormatting sqref="M325">
    <cfRule type="expression" rank="0" priority="1299" equalAverage="0" aboveAverage="0" dxfId="0" text="" percent="0" bottom="0">
      <formula>M325&gt;=20</formula>
    </cfRule>
    <cfRule type="expression" rank="0" priority="1300" equalAverage="0" aboveAverage="0" dxfId="1" text="" percent="0" bottom="0">
      <formula>AND(M325&gt;=10,M325&lt;20)</formula>
    </cfRule>
    <cfRule type="expression" rank="0" priority="1301" equalAverage="0" aboveAverage="0" dxfId="2" text="" percent="0" bottom="0">
      <formula>AND(M325&gt;=5,M325&lt;10)</formula>
    </cfRule>
    <cfRule type="expression" rank="0" priority="1302" equalAverage="0" aboveAverage="0" dxfId="3" text="" percent="0" bottom="0">
      <formula>AND(M325&gt;=1,M325&lt;5)</formula>
    </cfRule>
  </conditionalFormatting>
  <conditionalFormatting sqref="M326">
    <cfRule type="expression" rank="0" priority="1303" equalAverage="0" aboveAverage="0" dxfId="0" text="" percent="0" bottom="0">
      <formula>M326&gt;=20</formula>
    </cfRule>
    <cfRule type="expression" rank="0" priority="1304" equalAverage="0" aboveAverage="0" dxfId="1" text="" percent="0" bottom="0">
      <formula>AND(M326&gt;=10,M326&lt;20)</formula>
    </cfRule>
    <cfRule type="expression" rank="0" priority="1305" equalAverage="0" aboveAverage="0" dxfId="2" text="" percent="0" bottom="0">
      <formula>AND(M326&gt;=5,M326&lt;10)</formula>
    </cfRule>
    <cfRule type="expression" rank="0" priority="1306" equalAverage="0" aboveAverage="0" dxfId="3" text="" percent="0" bottom="0">
      <formula>AND(M326&gt;=1,M326&lt;5)</formula>
    </cfRule>
  </conditionalFormatting>
  <conditionalFormatting sqref="M327">
    <cfRule type="expression" rank="0" priority="1307" equalAverage="0" aboveAverage="0" dxfId="0" text="" percent="0" bottom="0">
      <formula>M327&gt;=20</formula>
    </cfRule>
    <cfRule type="expression" rank="0" priority="1308" equalAverage="0" aboveAverage="0" dxfId="1" text="" percent="0" bottom="0">
      <formula>AND(M327&gt;=10,M327&lt;20)</formula>
    </cfRule>
    <cfRule type="expression" rank="0" priority="1309" equalAverage="0" aboveAverage="0" dxfId="2" text="" percent="0" bottom="0">
      <formula>AND(M327&gt;=5,M327&lt;10)</formula>
    </cfRule>
    <cfRule type="expression" rank="0" priority="1310" equalAverage="0" aboveAverage="0" dxfId="3" text="" percent="0" bottom="0">
      <formula>AND(M327&gt;=1,M327&lt;5)</formula>
    </cfRule>
  </conditionalFormatting>
  <conditionalFormatting sqref="M328">
    <cfRule type="expression" rank="0" priority="1311" equalAverage="0" aboveAverage="0" dxfId="0" text="" percent="0" bottom="0">
      <formula>M328&gt;=20</formula>
    </cfRule>
    <cfRule type="expression" rank="0" priority="1312" equalAverage="0" aboveAverage="0" dxfId="1" text="" percent="0" bottom="0">
      <formula>AND(M328&gt;=10,M328&lt;20)</formula>
    </cfRule>
    <cfRule type="expression" rank="0" priority="1313" equalAverage="0" aboveAverage="0" dxfId="2" text="" percent="0" bottom="0">
      <formula>AND(M328&gt;=5,M328&lt;10)</formula>
    </cfRule>
    <cfRule type="expression" rank="0" priority="1314" equalAverage="0" aboveAverage="0" dxfId="3" text="" percent="0" bottom="0">
      <formula>AND(M328&gt;=1,M328&lt;5)</formula>
    </cfRule>
  </conditionalFormatting>
  <conditionalFormatting sqref="M329">
    <cfRule type="expression" rank="0" priority="1315" equalAverage="0" aboveAverage="0" dxfId="0" text="" percent="0" bottom="0">
      <formula>M329&gt;=20</formula>
    </cfRule>
    <cfRule type="expression" rank="0" priority="1316" equalAverage="0" aboveAverage="0" dxfId="1" text="" percent="0" bottom="0">
      <formula>AND(M329&gt;=10,M329&lt;20)</formula>
    </cfRule>
    <cfRule type="expression" rank="0" priority="1317" equalAverage="0" aboveAverage="0" dxfId="2" text="" percent="0" bottom="0">
      <formula>AND(M329&gt;=5,M329&lt;10)</formula>
    </cfRule>
    <cfRule type="expression" rank="0" priority="1318" equalAverage="0" aboveAverage="0" dxfId="3" text="" percent="0" bottom="0">
      <formula>AND(M329&gt;=1,M329&lt;5)</formula>
    </cfRule>
  </conditionalFormatting>
  <conditionalFormatting sqref="M330">
    <cfRule type="expression" rank="0" priority="1319" equalAverage="0" aboveAverage="0" dxfId="0" text="" percent="0" bottom="0">
      <formula>M330&gt;=20</formula>
    </cfRule>
    <cfRule type="expression" rank="0" priority="1320" equalAverage="0" aboveAverage="0" dxfId="1" text="" percent="0" bottom="0">
      <formula>AND(M330&gt;=10,M330&lt;20)</formula>
    </cfRule>
    <cfRule type="expression" rank="0" priority="1321" equalAverage="0" aboveAverage="0" dxfId="2" text="" percent="0" bottom="0">
      <formula>AND(M330&gt;=5,M330&lt;10)</formula>
    </cfRule>
    <cfRule type="expression" rank="0" priority="1322" equalAverage="0" aboveAverage="0" dxfId="3" text="" percent="0" bottom="0">
      <formula>AND(M330&gt;=1,M330&lt;5)</formula>
    </cfRule>
  </conditionalFormatting>
  <conditionalFormatting sqref="M331">
    <cfRule type="expression" rank="0" priority="1323" equalAverage="0" aboveAverage="0" dxfId="0" text="" percent="0" bottom="0">
      <formula>M331&gt;=20</formula>
    </cfRule>
    <cfRule type="expression" rank="0" priority="1324" equalAverage="0" aboveAverage="0" dxfId="1" text="" percent="0" bottom="0">
      <formula>AND(M331&gt;=10,M331&lt;20)</formula>
    </cfRule>
    <cfRule type="expression" rank="0" priority="1325" equalAverage="0" aboveAverage="0" dxfId="2" text="" percent="0" bottom="0">
      <formula>AND(M331&gt;=5,M331&lt;10)</formula>
    </cfRule>
    <cfRule type="expression" rank="0" priority="1326" equalAverage="0" aboveAverage="0" dxfId="3" text="" percent="0" bottom="0">
      <formula>AND(M331&gt;=1,M331&lt;5)</formula>
    </cfRule>
  </conditionalFormatting>
  <conditionalFormatting sqref="M332">
    <cfRule type="expression" rank="0" priority="1327" equalAverage="0" aboveAverage="0" dxfId="0" text="" percent="0" bottom="0">
      <formula>M332&gt;=20</formula>
    </cfRule>
    <cfRule type="expression" rank="0" priority="1328" equalAverage="0" aboveAverage="0" dxfId="1" text="" percent="0" bottom="0">
      <formula>AND(M332&gt;=10,M332&lt;20)</formula>
    </cfRule>
    <cfRule type="expression" rank="0" priority="1329" equalAverage="0" aboveAverage="0" dxfId="2" text="" percent="0" bottom="0">
      <formula>AND(M332&gt;=5,M332&lt;10)</formula>
    </cfRule>
    <cfRule type="expression" rank="0" priority="1330" equalAverage="0" aboveAverage="0" dxfId="3" text="" percent="0" bottom="0">
      <formula>AND(M332&gt;=1,M332&lt;5)</formula>
    </cfRule>
  </conditionalFormatting>
  <conditionalFormatting sqref="M333">
    <cfRule type="expression" rank="0" priority="1331" equalAverage="0" aboveAverage="0" dxfId="0" text="" percent="0" bottom="0">
      <formula>M333&gt;=20</formula>
    </cfRule>
    <cfRule type="expression" rank="0" priority="1332" equalAverage="0" aboveAverage="0" dxfId="1" text="" percent="0" bottom="0">
      <formula>AND(M333&gt;=10,M333&lt;20)</formula>
    </cfRule>
    <cfRule type="expression" rank="0" priority="1333" equalAverage="0" aboveAverage="0" dxfId="2" text="" percent="0" bottom="0">
      <formula>AND(M333&gt;=5,M333&lt;10)</formula>
    </cfRule>
    <cfRule type="expression" rank="0" priority="1334" equalAverage="0" aboveAverage="0" dxfId="3" text="" percent="0" bottom="0">
      <formula>AND(M333&gt;=1,M333&lt;5)</formula>
    </cfRule>
  </conditionalFormatting>
  <conditionalFormatting sqref="M334">
    <cfRule type="expression" rank="0" priority="1335" equalAverage="0" aboveAverage="0" dxfId="0" text="" percent="0" bottom="0">
      <formula>M334&gt;=20</formula>
    </cfRule>
    <cfRule type="expression" rank="0" priority="1336" equalAverage="0" aboveAverage="0" dxfId="1" text="" percent="0" bottom="0">
      <formula>AND(M334&gt;=10,M334&lt;20)</formula>
    </cfRule>
    <cfRule type="expression" rank="0" priority="1337" equalAverage="0" aboveAverage="0" dxfId="2" text="" percent="0" bottom="0">
      <formula>AND(M334&gt;=5,M334&lt;10)</formula>
    </cfRule>
    <cfRule type="expression" rank="0" priority="1338" equalAverage="0" aboveAverage="0" dxfId="3" text="" percent="0" bottom="0">
      <formula>AND(M334&gt;=1,M334&lt;5)</formula>
    </cfRule>
  </conditionalFormatting>
  <conditionalFormatting sqref="M335">
    <cfRule type="expression" rank="0" priority="1339" equalAverage="0" aboveAverage="0" dxfId="0" text="" percent="0" bottom="0">
      <formula>M335&gt;=20</formula>
    </cfRule>
    <cfRule type="expression" rank="0" priority="1340" equalAverage="0" aboveAverage="0" dxfId="1" text="" percent="0" bottom="0">
      <formula>AND(M335&gt;=10,M335&lt;20)</formula>
    </cfRule>
    <cfRule type="expression" rank="0" priority="1341" equalAverage="0" aboveAverage="0" dxfId="2" text="" percent="0" bottom="0">
      <formula>AND(M335&gt;=5,M335&lt;10)</formula>
    </cfRule>
    <cfRule type="expression" rank="0" priority="1342" equalAverage="0" aboveAverage="0" dxfId="3" text="" percent="0" bottom="0">
      <formula>AND(M335&gt;=1,M335&lt;5)</formula>
    </cfRule>
  </conditionalFormatting>
  <conditionalFormatting sqref="M336">
    <cfRule type="expression" rank="0" priority="1343" equalAverage="0" aboveAverage="0" dxfId="0" text="" percent="0" bottom="0">
      <formula>M336&gt;=20</formula>
    </cfRule>
    <cfRule type="expression" rank="0" priority="1344" equalAverage="0" aboveAverage="0" dxfId="1" text="" percent="0" bottom="0">
      <formula>AND(M336&gt;=10,M336&lt;20)</formula>
    </cfRule>
    <cfRule type="expression" rank="0" priority="1345" equalAverage="0" aboveAverage="0" dxfId="2" text="" percent="0" bottom="0">
      <formula>AND(M336&gt;=5,M336&lt;10)</formula>
    </cfRule>
    <cfRule type="expression" rank="0" priority="1346" equalAverage="0" aboveAverage="0" dxfId="3" text="" percent="0" bottom="0">
      <formula>AND(M336&gt;=1,M336&lt;5)</formula>
    </cfRule>
  </conditionalFormatting>
  <conditionalFormatting sqref="M337">
    <cfRule type="expression" rank="0" priority="1347" equalAverage="0" aboveAverage="0" dxfId="0" text="" percent="0" bottom="0">
      <formula>M337&gt;=20</formula>
    </cfRule>
    <cfRule type="expression" rank="0" priority="1348" equalAverage="0" aboveAverage="0" dxfId="1" text="" percent="0" bottom="0">
      <formula>AND(M337&gt;=10,M337&lt;20)</formula>
    </cfRule>
    <cfRule type="expression" rank="0" priority="1349" equalAverage="0" aboveAverage="0" dxfId="2" text="" percent="0" bottom="0">
      <formula>AND(M337&gt;=5,M337&lt;10)</formula>
    </cfRule>
    <cfRule type="expression" rank="0" priority="1350" equalAverage="0" aboveAverage="0" dxfId="3" text="" percent="0" bottom="0">
      <formula>AND(M337&gt;=1,M337&lt;5)</formula>
    </cfRule>
  </conditionalFormatting>
  <conditionalFormatting sqref="M338">
    <cfRule type="expression" rank="0" priority="1351" equalAverage="0" aboveAverage="0" dxfId="0" text="" percent="0" bottom="0">
      <formula>M338&gt;=20</formula>
    </cfRule>
    <cfRule type="expression" rank="0" priority="1352" equalAverage="0" aboveAverage="0" dxfId="1" text="" percent="0" bottom="0">
      <formula>AND(M338&gt;=10,M338&lt;20)</formula>
    </cfRule>
    <cfRule type="expression" rank="0" priority="1353" equalAverage="0" aboveAverage="0" dxfId="2" text="" percent="0" bottom="0">
      <formula>AND(M338&gt;=5,M338&lt;10)</formula>
    </cfRule>
    <cfRule type="expression" rank="0" priority="1354" equalAverage="0" aboveAverage="0" dxfId="3" text="" percent="0" bottom="0">
      <formula>AND(M338&gt;=1,M338&lt;5)</formula>
    </cfRule>
  </conditionalFormatting>
  <conditionalFormatting sqref="M339">
    <cfRule type="expression" rank="0" priority="1355" equalAverage="0" aboveAverage="0" dxfId="0" text="" percent="0" bottom="0">
      <formula>M339&gt;=20</formula>
    </cfRule>
    <cfRule type="expression" rank="0" priority="1356" equalAverage="0" aboveAverage="0" dxfId="1" text="" percent="0" bottom="0">
      <formula>AND(M339&gt;=10,M339&lt;20)</formula>
    </cfRule>
    <cfRule type="expression" rank="0" priority="1357" equalAverage="0" aboveAverage="0" dxfId="2" text="" percent="0" bottom="0">
      <formula>AND(M339&gt;=5,M339&lt;10)</formula>
    </cfRule>
    <cfRule type="expression" rank="0" priority="1358" equalAverage="0" aboveAverage="0" dxfId="3" text="" percent="0" bottom="0">
      <formula>AND(M339&gt;=1,M339&lt;5)</formula>
    </cfRule>
  </conditionalFormatting>
  <conditionalFormatting sqref="M340">
    <cfRule type="expression" rank="0" priority="1359" equalAverage="0" aboveAverage="0" dxfId="0" text="" percent="0" bottom="0">
      <formula>M340&gt;=20</formula>
    </cfRule>
    <cfRule type="expression" rank="0" priority="1360" equalAverage="0" aboveAverage="0" dxfId="1" text="" percent="0" bottom="0">
      <formula>AND(M340&gt;=10,M340&lt;20)</formula>
    </cfRule>
    <cfRule type="expression" rank="0" priority="1361" equalAverage="0" aboveAverage="0" dxfId="2" text="" percent="0" bottom="0">
      <formula>AND(M340&gt;=5,M340&lt;10)</formula>
    </cfRule>
    <cfRule type="expression" rank="0" priority="1362" equalAverage="0" aboveAverage="0" dxfId="3" text="" percent="0" bottom="0">
      <formula>AND(M340&gt;=1,M340&lt;5)</formula>
    </cfRule>
  </conditionalFormatting>
  <conditionalFormatting sqref="M341">
    <cfRule type="expression" rank="0" priority="1363" equalAverage="0" aboveAverage="0" dxfId="0" text="" percent="0" bottom="0">
      <formula>M341&gt;=20</formula>
    </cfRule>
    <cfRule type="expression" rank="0" priority="1364" equalAverage="0" aboveAverage="0" dxfId="1" text="" percent="0" bottom="0">
      <formula>AND(M341&gt;=10,M341&lt;20)</formula>
    </cfRule>
    <cfRule type="expression" rank="0" priority="1365" equalAverage="0" aboveAverage="0" dxfId="2" text="" percent="0" bottom="0">
      <formula>AND(M341&gt;=5,M341&lt;10)</formula>
    </cfRule>
    <cfRule type="expression" rank="0" priority="1366" equalAverage="0" aboveAverage="0" dxfId="3" text="" percent="0" bottom="0">
      <formula>AND(M341&gt;=1,M341&lt;5)</formula>
    </cfRule>
  </conditionalFormatting>
  <conditionalFormatting sqref="M342">
    <cfRule type="expression" rank="0" priority="1367" equalAverage="0" aboveAverage="0" dxfId="0" text="" percent="0" bottom="0">
      <formula>M342&gt;=20</formula>
    </cfRule>
    <cfRule type="expression" rank="0" priority="1368" equalAverage="0" aboveAverage="0" dxfId="1" text="" percent="0" bottom="0">
      <formula>AND(M342&gt;=10,M342&lt;20)</formula>
    </cfRule>
    <cfRule type="expression" rank="0" priority="1369" equalAverage="0" aboveAverage="0" dxfId="2" text="" percent="0" bottom="0">
      <formula>AND(M342&gt;=5,M342&lt;10)</formula>
    </cfRule>
    <cfRule type="expression" rank="0" priority="1370" equalAverage="0" aboveAverage="0" dxfId="3" text="" percent="0" bottom="0">
      <formula>AND(M342&gt;=1,M342&lt;5)</formula>
    </cfRule>
  </conditionalFormatting>
  <conditionalFormatting sqref="M343">
    <cfRule type="expression" rank="0" priority="1371" equalAverage="0" aboveAverage="0" dxfId="0" text="" percent="0" bottom="0">
      <formula>M343&gt;=20</formula>
    </cfRule>
    <cfRule type="expression" rank="0" priority="1372" equalAverage="0" aboveAverage="0" dxfId="1" text="" percent="0" bottom="0">
      <formula>AND(M343&gt;=10,M343&lt;20)</formula>
    </cfRule>
    <cfRule type="expression" rank="0" priority="1373" equalAverage="0" aboveAverage="0" dxfId="2" text="" percent="0" bottom="0">
      <formula>AND(M343&gt;=5,M343&lt;10)</formula>
    </cfRule>
    <cfRule type="expression" rank="0" priority="1374" equalAverage="0" aboveAverage="0" dxfId="3" text="" percent="0" bottom="0">
      <formula>AND(M343&gt;=1,M343&lt;5)</formula>
    </cfRule>
  </conditionalFormatting>
  <conditionalFormatting sqref="M344">
    <cfRule type="expression" rank="0" priority="1375" equalAverage="0" aboveAverage="0" dxfId="0" text="" percent="0" bottom="0">
      <formula>M344&gt;=20</formula>
    </cfRule>
    <cfRule type="expression" rank="0" priority="1376" equalAverage="0" aboveAverage="0" dxfId="1" text="" percent="0" bottom="0">
      <formula>AND(M344&gt;=10,M344&lt;20)</formula>
    </cfRule>
    <cfRule type="expression" rank="0" priority="1377" equalAverage="0" aboveAverage="0" dxfId="2" text="" percent="0" bottom="0">
      <formula>AND(M344&gt;=5,M344&lt;10)</formula>
    </cfRule>
    <cfRule type="expression" rank="0" priority="1378" equalAverage="0" aboveAverage="0" dxfId="3" text="" percent="0" bottom="0">
      <formula>AND(M344&gt;=1,M344&lt;5)</formula>
    </cfRule>
  </conditionalFormatting>
  <conditionalFormatting sqref="M345">
    <cfRule type="expression" rank="0" priority="1379" equalAverage="0" aboveAverage="0" dxfId="0" text="" percent="0" bottom="0">
      <formula>M345&gt;=20</formula>
    </cfRule>
    <cfRule type="expression" rank="0" priority="1380" equalAverage="0" aboveAverage="0" dxfId="1" text="" percent="0" bottom="0">
      <formula>AND(M345&gt;=10,M345&lt;20)</formula>
    </cfRule>
    <cfRule type="expression" rank="0" priority="1381" equalAverage="0" aboveAverage="0" dxfId="2" text="" percent="0" bottom="0">
      <formula>AND(M345&gt;=5,M345&lt;10)</formula>
    </cfRule>
    <cfRule type="expression" rank="0" priority="1382" equalAverage="0" aboveAverage="0" dxfId="3" text="" percent="0" bottom="0">
      <formula>AND(M345&gt;=1,M345&lt;5)</formula>
    </cfRule>
  </conditionalFormatting>
  <conditionalFormatting sqref="M346">
    <cfRule type="expression" rank="0" priority="1383" equalAverage="0" aboveAverage="0" dxfId="0" text="" percent="0" bottom="0">
      <formula>M346&gt;=20</formula>
    </cfRule>
    <cfRule type="expression" rank="0" priority="1384" equalAverage="0" aboveAverage="0" dxfId="1" text="" percent="0" bottom="0">
      <formula>AND(M346&gt;=10,M346&lt;20)</formula>
    </cfRule>
    <cfRule type="expression" rank="0" priority="1385" equalAverage="0" aboveAverage="0" dxfId="2" text="" percent="0" bottom="0">
      <formula>AND(M346&gt;=5,M346&lt;10)</formula>
    </cfRule>
    <cfRule type="expression" rank="0" priority="1386" equalAverage="0" aboveAverage="0" dxfId="3" text="" percent="0" bottom="0">
      <formula>AND(M346&gt;=1,M346&lt;5)</formula>
    </cfRule>
  </conditionalFormatting>
  <conditionalFormatting sqref="M347">
    <cfRule type="expression" rank="0" priority="1387" equalAverage="0" aboveAverage="0" dxfId="0" text="" percent="0" bottom="0">
      <formula>M347&gt;=20</formula>
    </cfRule>
    <cfRule type="expression" rank="0" priority="1388" equalAverage="0" aboveAverage="0" dxfId="1" text="" percent="0" bottom="0">
      <formula>AND(M347&gt;=10,M347&lt;20)</formula>
    </cfRule>
    <cfRule type="expression" rank="0" priority="1389" equalAverage="0" aboveAverage="0" dxfId="2" text="" percent="0" bottom="0">
      <formula>AND(M347&gt;=5,M347&lt;10)</formula>
    </cfRule>
    <cfRule type="expression" rank="0" priority="1390" equalAverage="0" aboveAverage="0" dxfId="3" text="" percent="0" bottom="0">
      <formula>AND(M347&gt;=1,M347&lt;5)</formula>
    </cfRule>
  </conditionalFormatting>
  <conditionalFormatting sqref="M348">
    <cfRule type="expression" rank="0" priority="1391" equalAverage="0" aboveAverage="0" dxfId="0" text="" percent="0" bottom="0">
      <formula>M348&gt;=20</formula>
    </cfRule>
    <cfRule type="expression" rank="0" priority="1392" equalAverage="0" aboveAverage="0" dxfId="1" text="" percent="0" bottom="0">
      <formula>AND(M348&gt;=10,M348&lt;20)</formula>
    </cfRule>
    <cfRule type="expression" rank="0" priority="1393" equalAverage="0" aboveAverage="0" dxfId="2" text="" percent="0" bottom="0">
      <formula>AND(M348&gt;=5,M348&lt;10)</formula>
    </cfRule>
    <cfRule type="expression" rank="0" priority="1394" equalAverage="0" aboveAverage="0" dxfId="3" text="" percent="0" bottom="0">
      <formula>AND(M348&gt;=1,M348&lt;5)</formula>
    </cfRule>
  </conditionalFormatting>
  <conditionalFormatting sqref="M349">
    <cfRule type="expression" rank="0" priority="1395" equalAverage="0" aboveAverage="0" dxfId="0" text="" percent="0" bottom="0">
      <formula>M349&gt;=20</formula>
    </cfRule>
    <cfRule type="expression" rank="0" priority="1396" equalAverage="0" aboveAverage="0" dxfId="1" text="" percent="0" bottom="0">
      <formula>AND(M349&gt;=10,M349&lt;20)</formula>
    </cfRule>
    <cfRule type="expression" rank="0" priority="1397" equalAverage="0" aboveAverage="0" dxfId="2" text="" percent="0" bottom="0">
      <formula>AND(M349&gt;=5,M349&lt;10)</formula>
    </cfRule>
    <cfRule type="expression" rank="0" priority="1398" equalAverage="0" aboveAverage="0" dxfId="3" text="" percent="0" bottom="0">
      <formula>AND(M349&gt;=1,M349&lt;5)</formula>
    </cfRule>
  </conditionalFormatting>
  <conditionalFormatting sqref="M350">
    <cfRule type="expression" rank="0" priority="1399" equalAverage="0" aboveAverage="0" dxfId="0" text="" percent="0" bottom="0">
      <formula>M350&gt;=20</formula>
    </cfRule>
    <cfRule type="expression" rank="0" priority="1400" equalAverage="0" aboveAverage="0" dxfId="1" text="" percent="0" bottom="0">
      <formula>AND(M350&gt;=10,M350&lt;20)</formula>
    </cfRule>
    <cfRule type="expression" rank="0" priority="1401" equalAverage="0" aboveAverage="0" dxfId="2" text="" percent="0" bottom="0">
      <formula>AND(M350&gt;=5,M350&lt;10)</formula>
    </cfRule>
    <cfRule type="expression" rank="0" priority="1402" equalAverage="0" aboveAverage="0" dxfId="3" text="" percent="0" bottom="0">
      <formula>AND(M350&gt;=1,M350&lt;5)</formula>
    </cfRule>
  </conditionalFormatting>
  <conditionalFormatting sqref="M351">
    <cfRule type="expression" rank="0" priority="1403" equalAverage="0" aboveAverage="0" dxfId="0" text="" percent="0" bottom="0">
      <formula>M351&gt;=20</formula>
    </cfRule>
    <cfRule type="expression" rank="0" priority="1404" equalAverage="0" aboveAverage="0" dxfId="1" text="" percent="0" bottom="0">
      <formula>AND(M351&gt;=10,M351&lt;20)</formula>
    </cfRule>
    <cfRule type="expression" rank="0" priority="1405" equalAverage="0" aboveAverage="0" dxfId="2" text="" percent="0" bottom="0">
      <formula>AND(M351&gt;=5,M351&lt;10)</formula>
    </cfRule>
    <cfRule type="expression" rank="0" priority="1406" equalAverage="0" aboveAverage="0" dxfId="3" text="" percent="0" bottom="0">
      <formula>AND(M351&gt;=1,M351&lt;5)</formula>
    </cfRule>
  </conditionalFormatting>
  <conditionalFormatting sqref="M352">
    <cfRule type="expression" rank="0" priority="1407" equalAverage="0" aboveAverage="0" dxfId="0" text="" percent="0" bottom="0">
      <formula>M352&gt;=20</formula>
    </cfRule>
    <cfRule type="expression" rank="0" priority="1408" equalAverage="0" aboveAverage="0" dxfId="1" text="" percent="0" bottom="0">
      <formula>AND(M352&gt;=10,M352&lt;20)</formula>
    </cfRule>
    <cfRule type="expression" rank="0" priority="1409" equalAverage="0" aboveAverage="0" dxfId="2" text="" percent="0" bottom="0">
      <formula>AND(M352&gt;=5,M352&lt;10)</formula>
    </cfRule>
    <cfRule type="expression" rank="0" priority="1410" equalAverage="0" aboveAverage="0" dxfId="3" text="" percent="0" bottom="0">
      <formula>AND(M352&gt;=1,M352&lt;5)</formula>
    </cfRule>
  </conditionalFormatting>
  <conditionalFormatting sqref="M353">
    <cfRule type="expression" rank="0" priority="1411" equalAverage="0" aboveAverage="0" dxfId="0" text="" percent="0" bottom="0">
      <formula>M353&gt;=20</formula>
    </cfRule>
    <cfRule type="expression" rank="0" priority="1412" equalAverage="0" aboveAverage="0" dxfId="1" text="" percent="0" bottom="0">
      <formula>AND(M353&gt;=10,M353&lt;20)</formula>
    </cfRule>
    <cfRule type="expression" rank="0" priority="1413" equalAverage="0" aboveAverage="0" dxfId="2" text="" percent="0" bottom="0">
      <formula>AND(M353&gt;=5,M353&lt;10)</formula>
    </cfRule>
    <cfRule type="expression" rank="0" priority="1414" equalAverage="0" aboveAverage="0" dxfId="3" text="" percent="0" bottom="0">
      <formula>AND(M353&gt;=1,M353&lt;5)</formula>
    </cfRule>
  </conditionalFormatting>
  <conditionalFormatting sqref="M354">
    <cfRule type="expression" rank="0" priority="1415" equalAverage="0" aboveAverage="0" dxfId="0" text="" percent="0" bottom="0">
      <formula>M354&gt;=20</formula>
    </cfRule>
    <cfRule type="expression" rank="0" priority="1416" equalAverage="0" aboveAverage="0" dxfId="1" text="" percent="0" bottom="0">
      <formula>AND(M354&gt;=10,M354&lt;20)</formula>
    </cfRule>
    <cfRule type="expression" rank="0" priority="1417" equalAverage="0" aboveAverage="0" dxfId="2" text="" percent="0" bottom="0">
      <formula>AND(M354&gt;=5,M354&lt;10)</formula>
    </cfRule>
    <cfRule type="expression" rank="0" priority="1418" equalAverage="0" aboveAverage="0" dxfId="3" text="" percent="0" bottom="0">
      <formula>AND(M354&gt;=1,M354&lt;5)</formula>
    </cfRule>
  </conditionalFormatting>
  <conditionalFormatting sqref="M355">
    <cfRule type="expression" rank="0" priority="1419" equalAverage="0" aboveAverage="0" dxfId="0" text="" percent="0" bottom="0">
      <formula>M355&gt;=20</formula>
    </cfRule>
    <cfRule type="expression" rank="0" priority="1420" equalAverage="0" aboveAverage="0" dxfId="1" text="" percent="0" bottom="0">
      <formula>AND(M355&gt;=10,M355&lt;20)</formula>
    </cfRule>
    <cfRule type="expression" rank="0" priority="1421" equalAverage="0" aboveAverage="0" dxfId="2" text="" percent="0" bottom="0">
      <formula>AND(M355&gt;=5,M355&lt;10)</formula>
    </cfRule>
    <cfRule type="expression" rank="0" priority="1422" equalAverage="0" aboveAverage="0" dxfId="3" text="" percent="0" bottom="0">
      <formula>AND(M355&gt;=1,M355&lt;5)</formula>
    </cfRule>
  </conditionalFormatting>
  <conditionalFormatting sqref="M356">
    <cfRule type="expression" rank="0" priority="1423" equalAverage="0" aboveAverage="0" dxfId="0" text="" percent="0" bottom="0">
      <formula>M356&gt;=20</formula>
    </cfRule>
    <cfRule type="expression" rank="0" priority="1424" equalAverage="0" aboveAverage="0" dxfId="1" text="" percent="0" bottom="0">
      <formula>AND(M356&gt;=10,M356&lt;20)</formula>
    </cfRule>
    <cfRule type="expression" rank="0" priority="1425" equalAverage="0" aboveAverage="0" dxfId="2" text="" percent="0" bottom="0">
      <formula>AND(M356&gt;=5,M356&lt;10)</formula>
    </cfRule>
    <cfRule type="expression" rank="0" priority="1426" equalAverage="0" aboveAverage="0" dxfId="3" text="" percent="0" bottom="0">
      <formula>AND(M356&gt;=1,M356&lt;5)</formula>
    </cfRule>
  </conditionalFormatting>
  <conditionalFormatting sqref="M357">
    <cfRule type="expression" rank="0" priority="1427" equalAverage="0" aboveAverage="0" dxfId="0" text="" percent="0" bottom="0">
      <formula>M357&gt;=20</formula>
    </cfRule>
    <cfRule type="expression" rank="0" priority="1428" equalAverage="0" aboveAverage="0" dxfId="1" text="" percent="0" bottom="0">
      <formula>AND(M357&gt;=10,M357&lt;20)</formula>
    </cfRule>
    <cfRule type="expression" rank="0" priority="1429" equalAverage="0" aboveAverage="0" dxfId="2" text="" percent="0" bottom="0">
      <formula>AND(M357&gt;=5,M357&lt;10)</formula>
    </cfRule>
    <cfRule type="expression" rank="0" priority="1430" equalAverage="0" aboveAverage="0" dxfId="3" text="" percent="0" bottom="0">
      <formula>AND(M357&gt;=1,M357&lt;5)</formula>
    </cfRule>
  </conditionalFormatting>
  <conditionalFormatting sqref="M358">
    <cfRule type="expression" rank="0" priority="1431" equalAverage="0" aboveAverage="0" dxfId="0" text="" percent="0" bottom="0">
      <formula>M358&gt;=20</formula>
    </cfRule>
    <cfRule type="expression" rank="0" priority="1432" equalAverage="0" aboveAverage="0" dxfId="1" text="" percent="0" bottom="0">
      <formula>AND(M358&gt;=10,M358&lt;20)</formula>
    </cfRule>
    <cfRule type="expression" rank="0" priority="1433" equalAverage="0" aboveAverage="0" dxfId="2" text="" percent="0" bottom="0">
      <formula>AND(M358&gt;=5,M358&lt;10)</formula>
    </cfRule>
    <cfRule type="expression" rank="0" priority="1434" equalAverage="0" aboveAverage="0" dxfId="3" text="" percent="0" bottom="0">
      <formula>AND(M358&gt;=1,M358&lt;5)</formula>
    </cfRule>
  </conditionalFormatting>
  <conditionalFormatting sqref="M359">
    <cfRule type="expression" rank="0" priority="1435" equalAverage="0" aboveAverage="0" dxfId="0" text="" percent="0" bottom="0">
      <formula>M359&gt;=20</formula>
    </cfRule>
    <cfRule type="expression" rank="0" priority="1436" equalAverage="0" aboveAverage="0" dxfId="1" text="" percent="0" bottom="0">
      <formula>AND(M359&gt;=10,M359&lt;20)</formula>
    </cfRule>
    <cfRule type="expression" rank="0" priority="1437" equalAverage="0" aboveAverage="0" dxfId="2" text="" percent="0" bottom="0">
      <formula>AND(M359&gt;=5,M359&lt;10)</formula>
    </cfRule>
    <cfRule type="expression" rank="0" priority="1438" equalAverage="0" aboveAverage="0" dxfId="3" text="" percent="0" bottom="0">
      <formula>AND(M359&gt;=1,M359&lt;5)</formula>
    </cfRule>
  </conditionalFormatting>
  <conditionalFormatting sqref="M360">
    <cfRule type="expression" rank="0" priority="1439" equalAverage="0" aboveAverage="0" dxfId="0" text="" percent="0" bottom="0">
      <formula>M360&gt;=20</formula>
    </cfRule>
    <cfRule type="expression" rank="0" priority="1440" equalAverage="0" aboveAverage="0" dxfId="1" text="" percent="0" bottom="0">
      <formula>AND(M360&gt;=10,M360&lt;20)</formula>
    </cfRule>
    <cfRule type="expression" rank="0" priority="1441" equalAverage="0" aboveAverage="0" dxfId="2" text="" percent="0" bottom="0">
      <formula>AND(M360&gt;=5,M360&lt;10)</formula>
    </cfRule>
    <cfRule type="expression" rank="0" priority="1442" equalAverage="0" aboveAverage="0" dxfId="3" text="" percent="0" bottom="0">
      <formula>AND(M360&gt;=1,M360&lt;5)</formula>
    </cfRule>
  </conditionalFormatting>
  <conditionalFormatting sqref="M361">
    <cfRule type="expression" rank="0" priority="1443" equalAverage="0" aboveAverage="0" dxfId="0" text="" percent="0" bottom="0">
      <formula>M361&gt;=20</formula>
    </cfRule>
    <cfRule type="expression" rank="0" priority="1444" equalAverage="0" aboveAverage="0" dxfId="1" text="" percent="0" bottom="0">
      <formula>AND(M361&gt;=10,M361&lt;20)</formula>
    </cfRule>
    <cfRule type="expression" rank="0" priority="1445" equalAverage="0" aboveAverage="0" dxfId="2" text="" percent="0" bottom="0">
      <formula>AND(M361&gt;=5,M361&lt;10)</formula>
    </cfRule>
    <cfRule type="expression" rank="0" priority="1446" equalAverage="0" aboveAverage="0" dxfId="3" text="" percent="0" bottom="0">
      <formula>AND(M361&gt;=1,M361&lt;5)</formula>
    </cfRule>
  </conditionalFormatting>
  <conditionalFormatting sqref="M362">
    <cfRule type="expression" rank="0" priority="1447" equalAverage="0" aboveAverage="0" dxfId="0" text="" percent="0" bottom="0">
      <formula>M362&gt;=20</formula>
    </cfRule>
    <cfRule type="expression" rank="0" priority="1448" equalAverage="0" aboveAverage="0" dxfId="1" text="" percent="0" bottom="0">
      <formula>AND(M362&gt;=10,M362&lt;20)</formula>
    </cfRule>
    <cfRule type="expression" rank="0" priority="1449" equalAverage="0" aboveAverage="0" dxfId="2" text="" percent="0" bottom="0">
      <formula>AND(M362&gt;=5,M362&lt;10)</formula>
    </cfRule>
    <cfRule type="expression" rank="0" priority="1450" equalAverage="0" aboveAverage="0" dxfId="3" text="" percent="0" bottom="0">
      <formula>AND(M362&gt;=1,M362&lt;5)</formula>
    </cfRule>
  </conditionalFormatting>
  <conditionalFormatting sqref="M363">
    <cfRule type="expression" rank="0" priority="1451" equalAverage="0" aboveAverage="0" dxfId="0" text="" percent="0" bottom="0">
      <formula>M363&gt;=20</formula>
    </cfRule>
    <cfRule type="expression" rank="0" priority="1452" equalAverage="0" aboveAverage="0" dxfId="1" text="" percent="0" bottom="0">
      <formula>AND(M363&gt;=10,M363&lt;20)</formula>
    </cfRule>
    <cfRule type="expression" rank="0" priority="1453" equalAverage="0" aboveAverage="0" dxfId="2" text="" percent="0" bottom="0">
      <formula>AND(M363&gt;=5,M363&lt;10)</formula>
    </cfRule>
    <cfRule type="expression" rank="0" priority="1454" equalAverage="0" aboveAverage="0" dxfId="3" text="" percent="0" bottom="0">
      <formula>AND(M363&gt;=1,M363&lt;5)</formula>
    </cfRule>
  </conditionalFormatting>
  <conditionalFormatting sqref="M364">
    <cfRule type="expression" rank="0" priority="1455" equalAverage="0" aboveAverage="0" dxfId="0" text="" percent="0" bottom="0">
      <formula>M364&gt;=20</formula>
    </cfRule>
    <cfRule type="expression" rank="0" priority="1456" equalAverage="0" aboveAverage="0" dxfId="1" text="" percent="0" bottom="0">
      <formula>AND(M364&gt;=10,M364&lt;20)</formula>
    </cfRule>
    <cfRule type="expression" rank="0" priority="1457" equalAverage="0" aboveAverage="0" dxfId="2" text="" percent="0" bottom="0">
      <formula>AND(M364&gt;=5,M364&lt;10)</formula>
    </cfRule>
    <cfRule type="expression" rank="0" priority="1458" equalAverage="0" aboveAverage="0" dxfId="3" text="" percent="0" bottom="0">
      <formula>AND(M364&gt;=1,M364&lt;5)</formula>
    </cfRule>
  </conditionalFormatting>
  <conditionalFormatting sqref="M365">
    <cfRule type="expression" rank="0" priority="1459" equalAverage="0" aboveAverage="0" dxfId="0" text="" percent="0" bottom="0">
      <formula>M365&gt;=20</formula>
    </cfRule>
    <cfRule type="expression" rank="0" priority="1460" equalAverage="0" aboveAverage="0" dxfId="1" text="" percent="0" bottom="0">
      <formula>AND(M365&gt;=10,M365&lt;20)</formula>
    </cfRule>
    <cfRule type="expression" rank="0" priority="1461" equalAverage="0" aboveAverage="0" dxfId="2" text="" percent="0" bottom="0">
      <formula>AND(M365&gt;=5,M365&lt;10)</formula>
    </cfRule>
    <cfRule type="expression" rank="0" priority="1462" equalAverage="0" aboveAverage="0" dxfId="3" text="" percent="0" bottom="0">
      <formula>AND(M365&gt;=1,M365&lt;5)</formula>
    </cfRule>
  </conditionalFormatting>
  <conditionalFormatting sqref="M366">
    <cfRule type="expression" rank="0" priority="1463" equalAverage="0" aboveAverage="0" dxfId="0" text="" percent="0" bottom="0">
      <formula>M366&gt;=20</formula>
    </cfRule>
    <cfRule type="expression" rank="0" priority="1464" equalAverage="0" aboveAverage="0" dxfId="1" text="" percent="0" bottom="0">
      <formula>AND(M366&gt;=10,M366&lt;20)</formula>
    </cfRule>
    <cfRule type="expression" rank="0" priority="1465" equalAverage="0" aboveAverage="0" dxfId="2" text="" percent="0" bottom="0">
      <formula>AND(M366&gt;=5,M366&lt;10)</formula>
    </cfRule>
    <cfRule type="expression" rank="0" priority="1466" equalAverage="0" aboveAverage="0" dxfId="3" text="" percent="0" bottom="0">
      <formula>AND(M366&gt;=1,M366&lt;5)</formula>
    </cfRule>
  </conditionalFormatting>
  <conditionalFormatting sqref="M367">
    <cfRule type="expression" rank="0" priority="1467" equalAverage="0" aboveAverage="0" dxfId="0" text="" percent="0" bottom="0">
      <formula>M367&gt;=20</formula>
    </cfRule>
    <cfRule type="expression" rank="0" priority="1468" equalAverage="0" aboveAverage="0" dxfId="1" text="" percent="0" bottom="0">
      <formula>AND(M367&gt;=10,M367&lt;20)</formula>
    </cfRule>
    <cfRule type="expression" rank="0" priority="1469" equalAverage="0" aboveAverage="0" dxfId="2" text="" percent="0" bottom="0">
      <formula>AND(M367&gt;=5,M367&lt;10)</formula>
    </cfRule>
    <cfRule type="expression" rank="0" priority="1470" equalAverage="0" aboveAverage="0" dxfId="3" text="" percent="0" bottom="0">
      <formula>AND(M367&gt;=1,M367&lt;5)</formula>
    </cfRule>
  </conditionalFormatting>
  <conditionalFormatting sqref="M368">
    <cfRule type="expression" rank="0" priority="1471" equalAverage="0" aboveAverage="0" dxfId="0" text="" percent="0" bottom="0">
      <formula>M368&gt;=20</formula>
    </cfRule>
    <cfRule type="expression" rank="0" priority="1472" equalAverage="0" aboveAverage="0" dxfId="1" text="" percent="0" bottom="0">
      <formula>AND(M368&gt;=10,M368&lt;20)</formula>
    </cfRule>
    <cfRule type="expression" rank="0" priority="1473" equalAverage="0" aboveAverage="0" dxfId="2" text="" percent="0" bottom="0">
      <formula>AND(M368&gt;=5,M368&lt;10)</formula>
    </cfRule>
    <cfRule type="expression" rank="0" priority="1474" equalAverage="0" aboveAverage="0" dxfId="3" text="" percent="0" bottom="0">
      <formula>AND(M368&gt;=1,M368&lt;5)</formula>
    </cfRule>
  </conditionalFormatting>
  <conditionalFormatting sqref="M369">
    <cfRule type="expression" rank="0" priority="1475" equalAverage="0" aboveAverage="0" dxfId="0" text="" percent="0" bottom="0">
      <formula>M369&gt;=20</formula>
    </cfRule>
    <cfRule type="expression" rank="0" priority="1476" equalAverage="0" aboveAverage="0" dxfId="1" text="" percent="0" bottom="0">
      <formula>AND(M369&gt;=10,M369&lt;20)</formula>
    </cfRule>
    <cfRule type="expression" rank="0" priority="1477" equalAverage="0" aboveAverage="0" dxfId="2" text="" percent="0" bottom="0">
      <formula>AND(M369&gt;=5,M369&lt;10)</formula>
    </cfRule>
    <cfRule type="expression" rank="0" priority="1478" equalAverage="0" aboveAverage="0" dxfId="3" text="" percent="0" bottom="0">
      <formula>AND(M369&gt;=1,M369&lt;5)</formula>
    </cfRule>
  </conditionalFormatting>
  <conditionalFormatting sqref="M370">
    <cfRule type="expression" rank="0" priority="1479" equalAverage="0" aboveAverage="0" dxfId="0" text="" percent="0" bottom="0">
      <formula>M370&gt;=20</formula>
    </cfRule>
    <cfRule type="expression" rank="0" priority="1480" equalAverage="0" aboveAverage="0" dxfId="1" text="" percent="0" bottom="0">
      <formula>AND(M370&gt;=10,M370&lt;20)</formula>
    </cfRule>
    <cfRule type="expression" rank="0" priority="1481" equalAverage="0" aboveAverage="0" dxfId="2" text="" percent="0" bottom="0">
      <formula>AND(M370&gt;=5,M370&lt;10)</formula>
    </cfRule>
    <cfRule type="expression" rank="0" priority="1482" equalAverage="0" aboveAverage="0" dxfId="3" text="" percent="0" bottom="0">
      <formula>AND(M370&gt;=1,M370&lt;5)</formula>
    </cfRule>
  </conditionalFormatting>
  <conditionalFormatting sqref="M371">
    <cfRule type="expression" rank="0" priority="1483" equalAverage="0" aboveAverage="0" dxfId="0" text="" percent="0" bottom="0">
      <formula>M371&gt;=20</formula>
    </cfRule>
    <cfRule type="expression" rank="0" priority="1484" equalAverage="0" aboveAverage="0" dxfId="1" text="" percent="0" bottom="0">
      <formula>AND(M371&gt;=10,M371&lt;20)</formula>
    </cfRule>
    <cfRule type="expression" rank="0" priority="1485" equalAverage="0" aboveAverage="0" dxfId="2" text="" percent="0" bottom="0">
      <formula>AND(M371&gt;=5,M371&lt;10)</formula>
    </cfRule>
    <cfRule type="expression" rank="0" priority="1486" equalAverage="0" aboveAverage="0" dxfId="3" text="" percent="0" bottom="0">
      <formula>AND(M371&gt;=1,M371&lt;5)</formula>
    </cfRule>
  </conditionalFormatting>
  <conditionalFormatting sqref="M372">
    <cfRule type="expression" rank="0" priority="1487" equalAverage="0" aboveAverage="0" dxfId="0" text="" percent="0" bottom="0">
      <formula>M372&gt;=20</formula>
    </cfRule>
    <cfRule type="expression" rank="0" priority="1488" equalAverage="0" aboveAverage="0" dxfId="1" text="" percent="0" bottom="0">
      <formula>AND(M372&gt;=10,M372&lt;20)</formula>
    </cfRule>
    <cfRule type="expression" rank="0" priority="1489" equalAverage="0" aboveAverage="0" dxfId="2" text="" percent="0" bottom="0">
      <formula>AND(M372&gt;=5,M372&lt;10)</formula>
    </cfRule>
    <cfRule type="expression" rank="0" priority="1490" equalAverage="0" aboveAverage="0" dxfId="3" text="" percent="0" bottom="0">
      <formula>AND(M372&gt;=1,M372&lt;5)</formula>
    </cfRule>
  </conditionalFormatting>
  <conditionalFormatting sqref="M373">
    <cfRule type="expression" rank="0" priority="1491" equalAverage="0" aboveAverage="0" dxfId="0" text="" percent="0" bottom="0">
      <formula>M373&gt;=20</formula>
    </cfRule>
    <cfRule type="expression" rank="0" priority="1492" equalAverage="0" aboveAverage="0" dxfId="1" text="" percent="0" bottom="0">
      <formula>AND(M373&gt;=10,M373&lt;20)</formula>
    </cfRule>
    <cfRule type="expression" rank="0" priority="1493" equalAverage="0" aboveAverage="0" dxfId="2" text="" percent="0" bottom="0">
      <formula>AND(M373&gt;=5,M373&lt;10)</formula>
    </cfRule>
    <cfRule type="expression" rank="0" priority="1494" equalAverage="0" aboveAverage="0" dxfId="3" text="" percent="0" bottom="0">
      <formula>AND(M373&gt;=1,M373&lt;5)</formula>
    </cfRule>
  </conditionalFormatting>
  <conditionalFormatting sqref="M374">
    <cfRule type="expression" rank="0" priority="1495" equalAverage="0" aboveAverage="0" dxfId="0" text="" percent="0" bottom="0">
      <formula>M374&gt;=20</formula>
    </cfRule>
    <cfRule type="expression" rank="0" priority="1496" equalAverage="0" aboveAverage="0" dxfId="1" text="" percent="0" bottom="0">
      <formula>AND(M374&gt;=10,M374&lt;20)</formula>
    </cfRule>
    <cfRule type="expression" rank="0" priority="1497" equalAverage="0" aboveAverage="0" dxfId="2" text="" percent="0" bottom="0">
      <formula>AND(M374&gt;=5,M374&lt;10)</formula>
    </cfRule>
    <cfRule type="expression" rank="0" priority="1498" equalAverage="0" aboveAverage="0" dxfId="3" text="" percent="0" bottom="0">
      <formula>AND(M374&gt;=1,M374&lt;5)</formula>
    </cfRule>
  </conditionalFormatting>
  <conditionalFormatting sqref="M375">
    <cfRule type="expression" rank="0" priority="1499" equalAverage="0" aboveAverage="0" dxfId="0" text="" percent="0" bottom="0">
      <formula>M375&gt;=20</formula>
    </cfRule>
    <cfRule type="expression" rank="0" priority="1500" equalAverage="0" aboveAverage="0" dxfId="1" text="" percent="0" bottom="0">
      <formula>AND(M375&gt;=10,M375&lt;20)</formula>
    </cfRule>
    <cfRule type="expression" rank="0" priority="1501" equalAverage="0" aboveAverage="0" dxfId="2" text="" percent="0" bottom="0">
      <formula>AND(M375&gt;=5,M375&lt;10)</formula>
    </cfRule>
    <cfRule type="expression" rank="0" priority="1502" equalAverage="0" aboveAverage="0" dxfId="3" text="" percent="0" bottom="0">
      <formula>AND(M375&gt;=1,M375&lt;5)</formula>
    </cfRule>
  </conditionalFormatting>
  <conditionalFormatting sqref="M376">
    <cfRule type="expression" rank="0" priority="1503" equalAverage="0" aboveAverage="0" dxfId="0" text="" percent="0" bottom="0">
      <formula>M376&gt;=20</formula>
    </cfRule>
    <cfRule type="expression" rank="0" priority="1504" equalAverage="0" aboveAverage="0" dxfId="1" text="" percent="0" bottom="0">
      <formula>AND(M376&gt;=10,M376&lt;20)</formula>
    </cfRule>
    <cfRule type="expression" rank="0" priority="1505" equalAverage="0" aboveAverage="0" dxfId="2" text="" percent="0" bottom="0">
      <formula>AND(M376&gt;=5,M376&lt;10)</formula>
    </cfRule>
    <cfRule type="expression" rank="0" priority="1506" equalAverage="0" aboveAverage="0" dxfId="3" text="" percent="0" bottom="0">
      <formula>AND(M376&gt;=1,M376&lt;5)</formula>
    </cfRule>
  </conditionalFormatting>
  <conditionalFormatting sqref="M377">
    <cfRule type="expression" rank="0" priority="1507" equalAverage="0" aboveAverage="0" dxfId="0" text="" percent="0" bottom="0">
      <formula>M377&gt;=20</formula>
    </cfRule>
    <cfRule type="expression" rank="0" priority="1508" equalAverage="0" aboveAverage="0" dxfId="1" text="" percent="0" bottom="0">
      <formula>AND(M377&gt;=10,M377&lt;20)</formula>
    </cfRule>
    <cfRule type="expression" rank="0" priority="1509" equalAverage="0" aboveAverage="0" dxfId="2" text="" percent="0" bottom="0">
      <formula>AND(M377&gt;=5,M377&lt;10)</formula>
    </cfRule>
    <cfRule type="expression" rank="0" priority="1510" equalAverage="0" aboveAverage="0" dxfId="3" text="" percent="0" bottom="0">
      <formula>AND(M377&gt;=1,M377&lt;5)</formula>
    </cfRule>
  </conditionalFormatting>
  <conditionalFormatting sqref="M378">
    <cfRule type="expression" rank="0" priority="1511" equalAverage="0" aboveAverage="0" dxfId="0" text="" percent="0" bottom="0">
      <formula>M378&gt;=20</formula>
    </cfRule>
    <cfRule type="expression" rank="0" priority="1512" equalAverage="0" aboveAverage="0" dxfId="1" text="" percent="0" bottom="0">
      <formula>AND(M378&gt;=10,M378&lt;20)</formula>
    </cfRule>
    <cfRule type="expression" rank="0" priority="1513" equalAverage="0" aboveAverage="0" dxfId="2" text="" percent="0" bottom="0">
      <formula>AND(M378&gt;=5,M378&lt;10)</formula>
    </cfRule>
    <cfRule type="expression" rank="0" priority="1514" equalAverage="0" aboveAverage="0" dxfId="3" text="" percent="0" bottom="0">
      <formula>AND(M378&gt;=1,M378&lt;5)</formula>
    </cfRule>
  </conditionalFormatting>
  <conditionalFormatting sqref="M379">
    <cfRule type="expression" rank="0" priority="1515" equalAverage="0" aboveAverage="0" dxfId="0" text="" percent="0" bottom="0">
      <formula>M379&gt;=20</formula>
    </cfRule>
    <cfRule type="expression" rank="0" priority="1516" equalAverage="0" aboveAverage="0" dxfId="1" text="" percent="0" bottom="0">
      <formula>AND(M379&gt;=10,M379&lt;20)</formula>
    </cfRule>
    <cfRule type="expression" rank="0" priority="1517" equalAverage="0" aboveAverage="0" dxfId="2" text="" percent="0" bottom="0">
      <formula>AND(M379&gt;=5,M379&lt;10)</formula>
    </cfRule>
    <cfRule type="expression" rank="0" priority="1518" equalAverage="0" aboveAverage="0" dxfId="3" text="" percent="0" bottom="0">
      <formula>AND(M379&gt;=1,M379&lt;5)</formula>
    </cfRule>
  </conditionalFormatting>
  <conditionalFormatting sqref="M380">
    <cfRule type="expression" rank="0" priority="1519" equalAverage="0" aboveAverage="0" dxfId="0" text="" percent="0" bottom="0">
      <formula>M380&gt;=20</formula>
    </cfRule>
    <cfRule type="expression" rank="0" priority="1520" equalAverage="0" aboveAverage="0" dxfId="1" text="" percent="0" bottom="0">
      <formula>AND(M380&gt;=10,M380&lt;20)</formula>
    </cfRule>
    <cfRule type="expression" rank="0" priority="1521" equalAverage="0" aboveAverage="0" dxfId="2" text="" percent="0" bottom="0">
      <formula>AND(M380&gt;=5,M380&lt;10)</formula>
    </cfRule>
    <cfRule type="expression" rank="0" priority="1522" equalAverage="0" aboveAverage="0" dxfId="3" text="" percent="0" bottom="0">
      <formula>AND(M380&gt;=1,M380&lt;5)</formula>
    </cfRule>
  </conditionalFormatting>
  <conditionalFormatting sqref="M381">
    <cfRule type="expression" rank="0" priority="1523" equalAverage="0" aboveAverage="0" dxfId="0" text="" percent="0" bottom="0">
      <formula>M381&gt;=20</formula>
    </cfRule>
    <cfRule type="expression" rank="0" priority="1524" equalAverage="0" aboveAverage="0" dxfId="1" text="" percent="0" bottom="0">
      <formula>AND(M381&gt;=10,M381&lt;20)</formula>
    </cfRule>
    <cfRule type="expression" rank="0" priority="1525" equalAverage="0" aboveAverage="0" dxfId="2" text="" percent="0" bottom="0">
      <formula>AND(M381&gt;=5,M381&lt;10)</formula>
    </cfRule>
    <cfRule type="expression" rank="0" priority="1526" equalAverage="0" aboveAverage="0" dxfId="3" text="" percent="0" bottom="0">
      <formula>AND(M381&gt;=1,M381&lt;5)</formula>
    </cfRule>
  </conditionalFormatting>
  <conditionalFormatting sqref="M382">
    <cfRule type="expression" rank="0" priority="1527" equalAverage="0" aboveAverage="0" dxfId="0" text="" percent="0" bottom="0">
      <formula>M382&gt;=20</formula>
    </cfRule>
    <cfRule type="expression" rank="0" priority="1528" equalAverage="0" aboveAverage="0" dxfId="1" text="" percent="0" bottom="0">
      <formula>AND(M382&gt;=10,M382&lt;20)</formula>
    </cfRule>
    <cfRule type="expression" rank="0" priority="1529" equalAverage="0" aboveAverage="0" dxfId="2" text="" percent="0" bottom="0">
      <formula>AND(M382&gt;=5,M382&lt;10)</formula>
    </cfRule>
    <cfRule type="expression" rank="0" priority="1530" equalAverage="0" aboveAverage="0" dxfId="3" text="" percent="0" bottom="0">
      <formula>AND(M382&gt;=1,M382&lt;5)</formula>
    </cfRule>
  </conditionalFormatting>
  <conditionalFormatting sqref="M383">
    <cfRule type="expression" rank="0" priority="1531" equalAverage="0" aboveAverage="0" dxfId="0" text="" percent="0" bottom="0">
      <formula>M383&gt;=20</formula>
    </cfRule>
    <cfRule type="expression" rank="0" priority="1532" equalAverage="0" aboveAverage="0" dxfId="1" text="" percent="0" bottom="0">
      <formula>AND(M383&gt;=10,M383&lt;20)</formula>
    </cfRule>
    <cfRule type="expression" rank="0" priority="1533" equalAverage="0" aboveAverage="0" dxfId="2" text="" percent="0" bottom="0">
      <formula>AND(M383&gt;=5,M383&lt;10)</formula>
    </cfRule>
    <cfRule type="expression" rank="0" priority="1534" equalAverage="0" aboveAverage="0" dxfId="3" text="" percent="0" bottom="0">
      <formula>AND(M383&gt;=1,M383&lt;5)</formula>
    </cfRule>
  </conditionalFormatting>
  <conditionalFormatting sqref="M384">
    <cfRule type="expression" rank="0" priority="1535" equalAverage="0" aboveAverage="0" dxfId="0" text="" percent="0" bottom="0">
      <formula>M384&gt;=20</formula>
    </cfRule>
    <cfRule type="expression" rank="0" priority="1536" equalAverage="0" aboveAverage="0" dxfId="1" text="" percent="0" bottom="0">
      <formula>AND(M384&gt;=10,M384&lt;20)</formula>
    </cfRule>
    <cfRule type="expression" rank="0" priority="1537" equalAverage="0" aboveAverage="0" dxfId="2" text="" percent="0" bottom="0">
      <formula>AND(M384&gt;=5,M384&lt;10)</formula>
    </cfRule>
    <cfRule type="expression" rank="0" priority="1538" equalAverage="0" aboveAverage="0" dxfId="3" text="" percent="0" bottom="0">
      <formula>AND(M384&gt;=1,M384&lt;5)</formula>
    </cfRule>
  </conditionalFormatting>
  <conditionalFormatting sqref="M385">
    <cfRule type="expression" rank="0" priority="1539" equalAverage="0" aboveAverage="0" dxfId="0" text="" percent="0" bottom="0">
      <formula>M385&gt;=20</formula>
    </cfRule>
    <cfRule type="expression" rank="0" priority="1540" equalAverage="0" aboveAverage="0" dxfId="1" text="" percent="0" bottom="0">
      <formula>AND(M385&gt;=10,M385&lt;20)</formula>
    </cfRule>
    <cfRule type="expression" rank="0" priority="1541" equalAverage="0" aboveAverage="0" dxfId="2" text="" percent="0" bottom="0">
      <formula>AND(M385&gt;=5,M385&lt;10)</formula>
    </cfRule>
    <cfRule type="expression" rank="0" priority="1542" equalAverage="0" aboveAverage="0" dxfId="3" text="" percent="0" bottom="0">
      <formula>AND(M385&gt;=1,M385&lt;5)</formula>
    </cfRule>
  </conditionalFormatting>
  <conditionalFormatting sqref="M386">
    <cfRule type="expression" rank="0" priority="1543" equalAverage="0" aboveAverage="0" dxfId="0" text="" percent="0" bottom="0">
      <formula>M386&gt;=20</formula>
    </cfRule>
    <cfRule type="expression" rank="0" priority="1544" equalAverage="0" aboveAverage="0" dxfId="1" text="" percent="0" bottom="0">
      <formula>AND(M386&gt;=10,M386&lt;20)</formula>
    </cfRule>
    <cfRule type="expression" rank="0" priority="1545" equalAverage="0" aboveAverage="0" dxfId="2" text="" percent="0" bottom="0">
      <formula>AND(M386&gt;=5,M386&lt;10)</formula>
    </cfRule>
    <cfRule type="expression" rank="0" priority="1546" equalAverage="0" aboveAverage="0" dxfId="3" text="" percent="0" bottom="0">
      <formula>AND(M386&gt;=1,M386&lt;5)</formula>
    </cfRule>
  </conditionalFormatting>
  <conditionalFormatting sqref="M387">
    <cfRule type="expression" rank="0" priority="1547" equalAverage="0" aboveAverage="0" dxfId="0" text="" percent="0" bottom="0">
      <formula>M387&gt;=20</formula>
    </cfRule>
    <cfRule type="expression" rank="0" priority="1548" equalAverage="0" aboveAverage="0" dxfId="1" text="" percent="0" bottom="0">
      <formula>AND(M387&gt;=10,M387&lt;20)</formula>
    </cfRule>
    <cfRule type="expression" rank="0" priority="1549" equalAverage="0" aboveAverage="0" dxfId="2" text="" percent="0" bottom="0">
      <formula>AND(M387&gt;=5,M387&lt;10)</formula>
    </cfRule>
    <cfRule type="expression" rank="0" priority="1550" equalAverage="0" aboveAverage="0" dxfId="3" text="" percent="0" bottom="0">
      <formula>AND(M387&gt;=1,M387&lt;5)</formula>
    </cfRule>
  </conditionalFormatting>
  <conditionalFormatting sqref="M388">
    <cfRule type="expression" rank="0" priority="1551" equalAverage="0" aboveAverage="0" dxfId="0" text="" percent="0" bottom="0">
      <formula>M388&gt;=20</formula>
    </cfRule>
    <cfRule type="expression" rank="0" priority="1552" equalAverage="0" aboveAverage="0" dxfId="1" text="" percent="0" bottom="0">
      <formula>AND(M388&gt;=10,M388&lt;20)</formula>
    </cfRule>
    <cfRule type="expression" rank="0" priority="1553" equalAverage="0" aboveAverage="0" dxfId="2" text="" percent="0" bottom="0">
      <formula>AND(M388&gt;=5,M388&lt;10)</formula>
    </cfRule>
    <cfRule type="expression" rank="0" priority="1554" equalAverage="0" aboveAverage="0" dxfId="3" text="" percent="0" bottom="0">
      <formula>AND(M388&gt;=1,M388&lt;5)</formula>
    </cfRule>
  </conditionalFormatting>
  <conditionalFormatting sqref="M389">
    <cfRule type="expression" rank="0" priority="1555" equalAverage="0" aboveAverage="0" dxfId="0" text="" percent="0" bottom="0">
      <formula>M389&gt;=20</formula>
    </cfRule>
    <cfRule type="expression" rank="0" priority="1556" equalAverage="0" aboveAverage="0" dxfId="1" text="" percent="0" bottom="0">
      <formula>AND(M389&gt;=10,M389&lt;20)</formula>
    </cfRule>
    <cfRule type="expression" rank="0" priority="1557" equalAverage="0" aboveAverage="0" dxfId="2" text="" percent="0" bottom="0">
      <formula>AND(M389&gt;=5,M389&lt;10)</formula>
    </cfRule>
    <cfRule type="expression" rank="0" priority="1558" equalAverage="0" aboveAverage="0" dxfId="3" text="" percent="0" bottom="0">
      <formula>AND(M389&gt;=1,M389&lt;5)</formula>
    </cfRule>
  </conditionalFormatting>
  <conditionalFormatting sqref="M390">
    <cfRule type="expression" rank="0" priority="1559" equalAverage="0" aboveAverage="0" dxfId="0" text="" percent="0" bottom="0">
      <formula>M390&gt;=20</formula>
    </cfRule>
    <cfRule type="expression" rank="0" priority="1560" equalAverage="0" aboveAverage="0" dxfId="1" text="" percent="0" bottom="0">
      <formula>AND(M390&gt;=10,M390&lt;20)</formula>
    </cfRule>
    <cfRule type="expression" rank="0" priority="1561" equalAverage="0" aboveAverage="0" dxfId="2" text="" percent="0" bottom="0">
      <formula>AND(M390&gt;=5,M390&lt;10)</formula>
    </cfRule>
    <cfRule type="expression" rank="0" priority="1562" equalAverage="0" aboveAverage="0" dxfId="3" text="" percent="0" bottom="0">
      <formula>AND(M390&gt;=1,M390&lt;5)</formula>
    </cfRule>
  </conditionalFormatting>
  <conditionalFormatting sqref="M391">
    <cfRule type="expression" rank="0" priority="1563" equalAverage="0" aboveAverage="0" dxfId="0" text="" percent="0" bottom="0">
      <formula>M391&gt;=20</formula>
    </cfRule>
    <cfRule type="expression" rank="0" priority="1564" equalAverage="0" aboveAverage="0" dxfId="1" text="" percent="0" bottom="0">
      <formula>AND(M391&gt;=10,M391&lt;20)</formula>
    </cfRule>
    <cfRule type="expression" rank="0" priority="1565" equalAverage="0" aboveAverage="0" dxfId="2" text="" percent="0" bottom="0">
      <formula>AND(M391&gt;=5,M391&lt;10)</formula>
    </cfRule>
    <cfRule type="expression" rank="0" priority="1566" equalAverage="0" aboveAverage="0" dxfId="3" text="" percent="0" bottom="0">
      <formula>AND(M391&gt;=1,M391&lt;5)</formula>
    </cfRule>
  </conditionalFormatting>
  <conditionalFormatting sqref="M392">
    <cfRule type="expression" rank="0" priority="1567" equalAverage="0" aboveAverage="0" dxfId="0" text="" percent="0" bottom="0">
      <formula>M392&gt;=20</formula>
    </cfRule>
    <cfRule type="expression" rank="0" priority="1568" equalAverage="0" aboveAverage="0" dxfId="1" text="" percent="0" bottom="0">
      <formula>AND(M392&gt;=10,M392&lt;20)</formula>
    </cfRule>
    <cfRule type="expression" rank="0" priority="1569" equalAverage="0" aboveAverage="0" dxfId="2" text="" percent="0" bottom="0">
      <formula>AND(M392&gt;=5,M392&lt;10)</formula>
    </cfRule>
    <cfRule type="expression" rank="0" priority="1570" equalAverage="0" aboveAverage="0" dxfId="3" text="" percent="0" bottom="0">
      <formula>AND(M392&gt;=1,M392&lt;5)</formula>
    </cfRule>
  </conditionalFormatting>
  <conditionalFormatting sqref="M393">
    <cfRule type="expression" rank="0" priority="1571" equalAverage="0" aboveAverage="0" dxfId="0" text="" percent="0" bottom="0">
      <formula>M393&gt;=20</formula>
    </cfRule>
    <cfRule type="expression" rank="0" priority="1572" equalAverage="0" aboveAverage="0" dxfId="1" text="" percent="0" bottom="0">
      <formula>AND(M393&gt;=10,M393&lt;20)</formula>
    </cfRule>
    <cfRule type="expression" rank="0" priority="1573" equalAverage="0" aboveAverage="0" dxfId="2" text="" percent="0" bottom="0">
      <formula>AND(M393&gt;=5,M393&lt;10)</formula>
    </cfRule>
    <cfRule type="expression" rank="0" priority="1574" equalAverage="0" aboveAverage="0" dxfId="3" text="" percent="0" bottom="0">
      <formula>AND(M393&gt;=1,M393&lt;5)</formula>
    </cfRule>
  </conditionalFormatting>
  <conditionalFormatting sqref="M394">
    <cfRule type="expression" rank="0" priority="1575" equalAverage="0" aboveAverage="0" dxfId="0" text="" percent="0" bottom="0">
      <formula>M394&gt;=20</formula>
    </cfRule>
    <cfRule type="expression" rank="0" priority="1576" equalAverage="0" aboveAverage="0" dxfId="1" text="" percent="0" bottom="0">
      <formula>AND(M394&gt;=10,M394&lt;20)</formula>
    </cfRule>
    <cfRule type="expression" rank="0" priority="1577" equalAverage="0" aboveAverage="0" dxfId="2" text="" percent="0" bottom="0">
      <formula>AND(M394&gt;=5,M394&lt;10)</formula>
    </cfRule>
    <cfRule type="expression" rank="0" priority="1578" equalAverage="0" aboveAverage="0" dxfId="3" text="" percent="0" bottom="0">
      <formula>AND(M394&gt;=1,M394&lt;5)</formula>
    </cfRule>
  </conditionalFormatting>
  <conditionalFormatting sqref="M395">
    <cfRule type="expression" rank="0" priority="1579" equalAverage="0" aboveAverage="0" dxfId="0" text="" percent="0" bottom="0">
      <formula>M395&gt;=20</formula>
    </cfRule>
    <cfRule type="expression" rank="0" priority="1580" equalAverage="0" aboveAverage="0" dxfId="1" text="" percent="0" bottom="0">
      <formula>AND(M395&gt;=10,M395&lt;20)</formula>
    </cfRule>
    <cfRule type="expression" rank="0" priority="1581" equalAverage="0" aboveAverage="0" dxfId="2" text="" percent="0" bottom="0">
      <formula>AND(M395&gt;=5,M395&lt;10)</formula>
    </cfRule>
    <cfRule type="expression" rank="0" priority="1582" equalAverage="0" aboveAverage="0" dxfId="3" text="" percent="0" bottom="0">
      <formula>AND(M395&gt;=1,M395&lt;5)</formula>
    </cfRule>
  </conditionalFormatting>
  <conditionalFormatting sqref="M396">
    <cfRule type="expression" rank="0" priority="1583" equalAverage="0" aboveAverage="0" dxfId="0" text="" percent="0" bottom="0">
      <formula>M396&gt;=20</formula>
    </cfRule>
    <cfRule type="expression" rank="0" priority="1584" equalAverage="0" aboveAverage="0" dxfId="1" text="" percent="0" bottom="0">
      <formula>AND(M396&gt;=10,M396&lt;20)</formula>
    </cfRule>
    <cfRule type="expression" rank="0" priority="1585" equalAverage="0" aboveAverage="0" dxfId="2" text="" percent="0" bottom="0">
      <formula>AND(M396&gt;=5,M396&lt;10)</formula>
    </cfRule>
    <cfRule type="expression" rank="0" priority="1586" equalAverage="0" aboveAverage="0" dxfId="3" text="" percent="0" bottom="0">
      <formula>AND(M396&gt;=1,M396&lt;5)</formula>
    </cfRule>
  </conditionalFormatting>
  <conditionalFormatting sqref="M397">
    <cfRule type="expression" rank="0" priority="1587" equalAverage="0" aboveAverage="0" dxfId="0" text="" percent="0" bottom="0">
      <formula>M397&gt;=20</formula>
    </cfRule>
    <cfRule type="expression" rank="0" priority="1588" equalAverage="0" aboveAverage="0" dxfId="1" text="" percent="0" bottom="0">
      <formula>AND(M397&gt;=10,M397&lt;20)</formula>
    </cfRule>
    <cfRule type="expression" rank="0" priority="1589" equalAverage="0" aboveAverage="0" dxfId="2" text="" percent="0" bottom="0">
      <formula>AND(M397&gt;=5,M397&lt;10)</formula>
    </cfRule>
    <cfRule type="expression" rank="0" priority="1590" equalAverage="0" aboveAverage="0" dxfId="3" text="" percent="0" bottom="0">
      <formula>AND(M397&gt;=1,M397&lt;5)</formula>
    </cfRule>
  </conditionalFormatting>
  <conditionalFormatting sqref="M398">
    <cfRule type="expression" rank="0" priority="1591" equalAverage="0" aboveAverage="0" dxfId="0" text="" percent="0" bottom="0">
      <formula>M398&gt;=20</formula>
    </cfRule>
    <cfRule type="expression" rank="0" priority="1592" equalAverage="0" aboveAverage="0" dxfId="1" text="" percent="0" bottom="0">
      <formula>AND(M398&gt;=10,M398&lt;20)</formula>
    </cfRule>
    <cfRule type="expression" rank="0" priority="1593" equalAverage="0" aboveAverage="0" dxfId="2" text="" percent="0" bottom="0">
      <formula>AND(M398&gt;=5,M398&lt;10)</formula>
    </cfRule>
    <cfRule type="expression" rank="0" priority="1594" equalAverage="0" aboveAverage="0" dxfId="3" text="" percent="0" bottom="0">
      <formula>AND(M398&gt;=1,M398&lt;5)</formula>
    </cfRule>
  </conditionalFormatting>
  <conditionalFormatting sqref="M399">
    <cfRule type="expression" rank="0" priority="1595" equalAverage="0" aboveAverage="0" dxfId="0" text="" percent="0" bottom="0">
      <formula>M399&gt;=20</formula>
    </cfRule>
    <cfRule type="expression" rank="0" priority="1596" equalAverage="0" aboveAverage="0" dxfId="1" text="" percent="0" bottom="0">
      <formula>AND(M399&gt;=10,M399&lt;20)</formula>
    </cfRule>
    <cfRule type="expression" rank="0" priority="1597" equalAverage="0" aboveAverage="0" dxfId="2" text="" percent="0" bottom="0">
      <formula>AND(M399&gt;=5,M399&lt;10)</formula>
    </cfRule>
    <cfRule type="expression" rank="0" priority="1598" equalAverage="0" aboveAverage="0" dxfId="3" text="" percent="0" bottom="0">
      <formula>AND(M399&gt;=1,M399&lt;5)</formula>
    </cfRule>
  </conditionalFormatting>
  <conditionalFormatting sqref="M400">
    <cfRule type="expression" rank="0" priority="1599" equalAverage="0" aboveAverage="0" dxfId="0" text="" percent="0" bottom="0">
      <formula>M400&gt;=20</formula>
    </cfRule>
    <cfRule type="expression" rank="0" priority="1600" equalAverage="0" aboveAverage="0" dxfId="1" text="" percent="0" bottom="0">
      <formula>AND(M400&gt;=10,M400&lt;20)</formula>
    </cfRule>
    <cfRule type="expression" rank="0" priority="1601" equalAverage="0" aboveAverage="0" dxfId="2" text="" percent="0" bottom="0">
      <formula>AND(M400&gt;=5,M400&lt;10)</formula>
    </cfRule>
    <cfRule type="expression" rank="0" priority="1602" equalAverage="0" aboveAverage="0" dxfId="3" text="" percent="0" bottom="0">
      <formula>AND(M400&gt;=1,M400&lt;5)</formula>
    </cfRule>
  </conditionalFormatting>
  <conditionalFormatting sqref="M401">
    <cfRule type="expression" rank="0" priority="1603" equalAverage="0" aboveAverage="0" dxfId="0" text="" percent="0" bottom="0">
      <formula>M401&gt;=20</formula>
    </cfRule>
    <cfRule type="expression" rank="0" priority="1604" equalAverage="0" aboveAverage="0" dxfId="1" text="" percent="0" bottom="0">
      <formula>AND(M401&gt;=10,M401&lt;20)</formula>
    </cfRule>
    <cfRule type="expression" rank="0" priority="1605" equalAverage="0" aboveAverage="0" dxfId="2" text="" percent="0" bottom="0">
      <formula>AND(M401&gt;=5,M401&lt;10)</formula>
    </cfRule>
    <cfRule type="expression" rank="0" priority="1606" equalAverage="0" aboveAverage="0" dxfId="3" text="" percent="0" bottom="0">
      <formula>AND(M401&gt;=1,M401&lt;5)</formula>
    </cfRule>
  </conditionalFormatting>
  <conditionalFormatting sqref="M402">
    <cfRule type="expression" rank="0" priority="1607" equalAverage="0" aboveAverage="0" dxfId="0" text="" percent="0" bottom="0">
      <formula>M402&gt;=20</formula>
    </cfRule>
    <cfRule type="expression" rank="0" priority="1608" equalAverage="0" aboveAverage="0" dxfId="1" text="" percent="0" bottom="0">
      <formula>AND(M402&gt;=10,M402&lt;20)</formula>
    </cfRule>
    <cfRule type="expression" rank="0" priority="1609" equalAverage="0" aboveAverage="0" dxfId="2" text="" percent="0" bottom="0">
      <formula>AND(M402&gt;=5,M402&lt;10)</formula>
    </cfRule>
    <cfRule type="expression" rank="0" priority="1610" equalAverage="0" aboveAverage="0" dxfId="3" text="" percent="0" bottom="0">
      <formula>AND(M402&gt;=1,M402&lt;5)</formula>
    </cfRule>
  </conditionalFormatting>
  <conditionalFormatting sqref="M403">
    <cfRule type="expression" rank="0" priority="1611" equalAverage="0" aboveAverage="0" dxfId="0" text="" percent="0" bottom="0">
      <formula>M403&gt;=20</formula>
    </cfRule>
    <cfRule type="expression" rank="0" priority="1612" equalAverage="0" aboveAverage="0" dxfId="1" text="" percent="0" bottom="0">
      <formula>AND(M403&gt;=10,M403&lt;20)</formula>
    </cfRule>
    <cfRule type="expression" rank="0" priority="1613" equalAverage="0" aboveAverage="0" dxfId="2" text="" percent="0" bottom="0">
      <formula>AND(M403&gt;=5,M403&lt;10)</formula>
    </cfRule>
    <cfRule type="expression" rank="0" priority="1614" equalAverage="0" aboveAverage="0" dxfId="3" text="" percent="0" bottom="0">
      <formula>AND(M403&gt;=1,M403&lt;5)</formula>
    </cfRule>
  </conditionalFormatting>
  <conditionalFormatting sqref="M404">
    <cfRule type="expression" rank="0" priority="1615" equalAverage="0" aboveAverage="0" dxfId="0" text="" percent="0" bottom="0">
      <formula>M404&gt;=20</formula>
    </cfRule>
    <cfRule type="expression" rank="0" priority="1616" equalAverage="0" aboveAverage="0" dxfId="1" text="" percent="0" bottom="0">
      <formula>AND(M404&gt;=10,M404&lt;20)</formula>
    </cfRule>
    <cfRule type="expression" rank="0" priority="1617" equalAverage="0" aboveAverage="0" dxfId="2" text="" percent="0" bottom="0">
      <formula>AND(M404&gt;=5,M404&lt;10)</formula>
    </cfRule>
    <cfRule type="expression" rank="0" priority="1618" equalAverage="0" aboveAverage="0" dxfId="3" text="" percent="0" bottom="0">
      <formula>AND(M404&gt;=1,M404&lt;5)</formula>
    </cfRule>
  </conditionalFormatting>
  <conditionalFormatting sqref="M405">
    <cfRule type="expression" rank="0" priority="1619" equalAverage="0" aboveAverage="0" dxfId="0" text="" percent="0" bottom="0">
      <formula>M405&gt;=20</formula>
    </cfRule>
    <cfRule type="expression" rank="0" priority="1620" equalAverage="0" aboveAverage="0" dxfId="1" text="" percent="0" bottom="0">
      <formula>AND(M405&gt;=10,M405&lt;20)</formula>
    </cfRule>
    <cfRule type="expression" rank="0" priority="1621" equalAverage="0" aboveAverage="0" dxfId="2" text="" percent="0" bottom="0">
      <formula>AND(M405&gt;=5,M405&lt;10)</formula>
    </cfRule>
    <cfRule type="expression" rank="0" priority="1622" equalAverage="0" aboveAverage="0" dxfId="3" text="" percent="0" bottom="0">
      <formula>AND(M405&gt;=1,M405&lt;5)</formula>
    </cfRule>
  </conditionalFormatting>
  <conditionalFormatting sqref="M406">
    <cfRule type="expression" rank="0" priority="1623" equalAverage="0" aboveAverage="0" dxfId="0" text="" percent="0" bottom="0">
      <formula>M406&gt;=20</formula>
    </cfRule>
    <cfRule type="expression" rank="0" priority="1624" equalAverage="0" aboveAverage="0" dxfId="1" text="" percent="0" bottom="0">
      <formula>AND(M406&gt;=10,M406&lt;20)</formula>
    </cfRule>
    <cfRule type="expression" rank="0" priority="1625" equalAverage="0" aboveAverage="0" dxfId="2" text="" percent="0" bottom="0">
      <formula>AND(M406&gt;=5,M406&lt;10)</formula>
    </cfRule>
    <cfRule type="expression" rank="0" priority="1626" equalAverage="0" aboveAverage="0" dxfId="3" text="" percent="0" bottom="0">
      <formula>AND(M406&gt;=1,M406&lt;5)</formula>
    </cfRule>
  </conditionalFormatting>
  <conditionalFormatting sqref="M407">
    <cfRule type="expression" rank="0" priority="1627" equalAverage="0" aboveAverage="0" dxfId="0" text="" percent="0" bottom="0">
      <formula>M407&gt;=20</formula>
    </cfRule>
    <cfRule type="expression" rank="0" priority="1628" equalAverage="0" aboveAverage="0" dxfId="1" text="" percent="0" bottom="0">
      <formula>AND(M407&gt;=10,M407&lt;20)</formula>
    </cfRule>
    <cfRule type="expression" rank="0" priority="1629" equalAverage="0" aboveAverage="0" dxfId="2" text="" percent="0" bottom="0">
      <formula>AND(M407&gt;=5,M407&lt;10)</formula>
    </cfRule>
    <cfRule type="expression" rank="0" priority="1630" equalAverage="0" aboveAverage="0" dxfId="3" text="" percent="0" bottom="0">
      <formula>AND(M407&gt;=1,M407&lt;5)</formula>
    </cfRule>
  </conditionalFormatting>
  <conditionalFormatting sqref="M408">
    <cfRule type="expression" rank="0" priority="1631" equalAverage="0" aboveAverage="0" dxfId="0" text="" percent="0" bottom="0">
      <formula>M408&gt;=20</formula>
    </cfRule>
    <cfRule type="expression" rank="0" priority="1632" equalAverage="0" aboveAverage="0" dxfId="1" text="" percent="0" bottom="0">
      <formula>AND(M408&gt;=10,M408&lt;20)</formula>
    </cfRule>
    <cfRule type="expression" rank="0" priority="1633" equalAverage="0" aboveAverage="0" dxfId="2" text="" percent="0" bottom="0">
      <formula>AND(M408&gt;=5,M408&lt;10)</formula>
    </cfRule>
    <cfRule type="expression" rank="0" priority="1634" equalAverage="0" aboveAverage="0" dxfId="3" text="" percent="0" bottom="0">
      <formula>AND(M408&gt;=1,M408&lt;5)</formula>
    </cfRule>
  </conditionalFormatting>
  <conditionalFormatting sqref="M409">
    <cfRule type="expression" rank="0" priority="1635" equalAverage="0" aboveAverage="0" dxfId="0" text="" percent="0" bottom="0">
      <formula>M409&gt;=20</formula>
    </cfRule>
    <cfRule type="expression" rank="0" priority="1636" equalAverage="0" aboveAverage="0" dxfId="1" text="" percent="0" bottom="0">
      <formula>AND(M409&gt;=10,M409&lt;20)</formula>
    </cfRule>
    <cfRule type="expression" rank="0" priority="1637" equalAverage="0" aboveAverage="0" dxfId="2" text="" percent="0" bottom="0">
      <formula>AND(M409&gt;=5,M409&lt;10)</formula>
    </cfRule>
    <cfRule type="expression" rank="0" priority="1638" equalAverage="0" aboveAverage="0" dxfId="3" text="" percent="0" bottom="0">
      <formula>AND(M409&gt;=1,M409&lt;5)</formula>
    </cfRule>
  </conditionalFormatting>
  <conditionalFormatting sqref="M410">
    <cfRule type="expression" rank="0" priority="1639" equalAverage="0" aboveAverage="0" dxfId="0" text="" percent="0" bottom="0">
      <formula>M410&gt;=20</formula>
    </cfRule>
    <cfRule type="expression" rank="0" priority="1640" equalAverage="0" aboveAverage="0" dxfId="1" text="" percent="0" bottom="0">
      <formula>AND(M410&gt;=10,M410&lt;20)</formula>
    </cfRule>
    <cfRule type="expression" rank="0" priority="1641" equalAverage="0" aboveAverage="0" dxfId="2" text="" percent="0" bottom="0">
      <formula>AND(M410&gt;=5,M410&lt;10)</formula>
    </cfRule>
    <cfRule type="expression" rank="0" priority="1642" equalAverage="0" aboveAverage="0" dxfId="3" text="" percent="0" bottom="0">
      <formula>AND(M410&gt;=1,M410&lt;5)</formula>
    </cfRule>
  </conditionalFormatting>
  <conditionalFormatting sqref="M411">
    <cfRule type="expression" rank="0" priority="1643" equalAverage="0" aboveAverage="0" dxfId="0" text="" percent="0" bottom="0">
      <formula>M411&gt;=20</formula>
    </cfRule>
    <cfRule type="expression" rank="0" priority="1644" equalAverage="0" aboveAverage="0" dxfId="1" text="" percent="0" bottom="0">
      <formula>AND(M411&gt;=10,M411&lt;20)</formula>
    </cfRule>
    <cfRule type="expression" rank="0" priority="1645" equalAverage="0" aboveAverage="0" dxfId="2" text="" percent="0" bottom="0">
      <formula>AND(M411&gt;=5,M411&lt;10)</formula>
    </cfRule>
    <cfRule type="expression" rank="0" priority="1646" equalAverage="0" aboveAverage="0" dxfId="3" text="" percent="0" bottom="0">
      <formula>AND(M411&gt;=1,M411&lt;5)</formula>
    </cfRule>
  </conditionalFormatting>
  <conditionalFormatting sqref="M412">
    <cfRule type="expression" rank="0" priority="1647" equalAverage="0" aboveAverage="0" dxfId="0" text="" percent="0" bottom="0">
      <formula>M412&gt;=20</formula>
    </cfRule>
    <cfRule type="expression" rank="0" priority="1648" equalAverage="0" aboveAverage="0" dxfId="1" text="" percent="0" bottom="0">
      <formula>AND(M412&gt;=10,M412&lt;20)</formula>
    </cfRule>
    <cfRule type="expression" rank="0" priority="1649" equalAverage="0" aboveAverage="0" dxfId="2" text="" percent="0" bottom="0">
      <formula>AND(M412&gt;=5,M412&lt;10)</formula>
    </cfRule>
    <cfRule type="expression" rank="0" priority="1650" equalAverage="0" aboveAverage="0" dxfId="3" text="" percent="0" bottom="0">
      <formula>AND(M412&gt;=1,M412&lt;5)</formula>
    </cfRule>
  </conditionalFormatting>
  <conditionalFormatting sqref="M413">
    <cfRule type="expression" rank="0" priority="1651" equalAverage="0" aboveAverage="0" dxfId="0" text="" percent="0" bottom="0">
      <formula>M413&gt;=20</formula>
    </cfRule>
    <cfRule type="expression" rank="0" priority="1652" equalAverage="0" aboveAverage="0" dxfId="1" text="" percent="0" bottom="0">
      <formula>AND(M413&gt;=10,M413&lt;20)</formula>
    </cfRule>
    <cfRule type="expression" rank="0" priority="1653" equalAverage="0" aboveAverage="0" dxfId="2" text="" percent="0" bottom="0">
      <formula>AND(M413&gt;=5,M413&lt;10)</formula>
    </cfRule>
    <cfRule type="expression" rank="0" priority="1654" equalAverage="0" aboveAverage="0" dxfId="3" text="" percent="0" bottom="0">
      <formula>AND(M413&gt;=1,M413&lt;5)</formula>
    </cfRule>
  </conditionalFormatting>
  <conditionalFormatting sqref="M414">
    <cfRule type="expression" rank="0" priority="1655" equalAverage="0" aboveAverage="0" dxfId="0" text="" percent="0" bottom="0">
      <formula>M414&gt;=20</formula>
    </cfRule>
    <cfRule type="expression" rank="0" priority="1656" equalAverage="0" aboveAverage="0" dxfId="1" text="" percent="0" bottom="0">
      <formula>AND(M414&gt;=10,M414&lt;20)</formula>
    </cfRule>
    <cfRule type="expression" rank="0" priority="1657" equalAverage="0" aboveAverage="0" dxfId="2" text="" percent="0" bottom="0">
      <formula>AND(M414&gt;=5,M414&lt;10)</formula>
    </cfRule>
    <cfRule type="expression" rank="0" priority="1658" equalAverage="0" aboveAverage="0" dxfId="3" text="" percent="0" bottom="0">
      <formula>AND(M414&gt;=1,M414&lt;5)</formula>
    </cfRule>
  </conditionalFormatting>
  <conditionalFormatting sqref="M415">
    <cfRule type="expression" rank="0" priority="1659" equalAverage="0" aboveAverage="0" dxfId="0" text="" percent="0" bottom="0">
      <formula>M415&gt;=20</formula>
    </cfRule>
    <cfRule type="expression" rank="0" priority="1660" equalAverage="0" aboveAverage="0" dxfId="1" text="" percent="0" bottom="0">
      <formula>AND(M415&gt;=10,M415&lt;20)</formula>
    </cfRule>
    <cfRule type="expression" rank="0" priority="1661" equalAverage="0" aboveAverage="0" dxfId="2" text="" percent="0" bottom="0">
      <formula>AND(M415&gt;=5,M415&lt;10)</formula>
    </cfRule>
    <cfRule type="expression" rank="0" priority="1662" equalAverage="0" aboveAverage="0" dxfId="3" text="" percent="0" bottom="0">
      <formula>AND(M415&gt;=1,M415&lt;5)</formula>
    </cfRule>
  </conditionalFormatting>
  <conditionalFormatting sqref="M416">
    <cfRule type="expression" rank="0" priority="1663" equalAverage="0" aboveAverage="0" dxfId="0" text="" percent="0" bottom="0">
      <formula>M416&gt;=20</formula>
    </cfRule>
    <cfRule type="expression" rank="0" priority="1664" equalAverage="0" aboveAverage="0" dxfId="1" text="" percent="0" bottom="0">
      <formula>AND(M416&gt;=10,M416&lt;20)</formula>
    </cfRule>
    <cfRule type="expression" rank="0" priority="1665" equalAverage="0" aboveAverage="0" dxfId="2" text="" percent="0" bottom="0">
      <formula>AND(M416&gt;=5,M416&lt;10)</formula>
    </cfRule>
    <cfRule type="expression" rank="0" priority="1666" equalAverage="0" aboveAverage="0" dxfId="3" text="" percent="0" bottom="0">
      <formula>AND(M416&gt;=1,M416&lt;5)</formula>
    </cfRule>
  </conditionalFormatting>
  <conditionalFormatting sqref="M417">
    <cfRule type="expression" rank="0" priority="1667" equalAverage="0" aboveAverage="0" dxfId="0" text="" percent="0" bottom="0">
      <formula>M417&gt;=20</formula>
    </cfRule>
    <cfRule type="expression" rank="0" priority="1668" equalAverage="0" aboveAverage="0" dxfId="1" text="" percent="0" bottom="0">
      <formula>AND(M417&gt;=10,M417&lt;20)</formula>
    </cfRule>
    <cfRule type="expression" rank="0" priority="1669" equalAverage="0" aboveAverage="0" dxfId="2" text="" percent="0" bottom="0">
      <formula>AND(M417&gt;=5,M417&lt;10)</formula>
    </cfRule>
    <cfRule type="expression" rank="0" priority="1670" equalAverage="0" aboveAverage="0" dxfId="3" text="" percent="0" bottom="0">
      <formula>AND(M417&gt;=1,M417&lt;5)</formula>
    </cfRule>
  </conditionalFormatting>
  <conditionalFormatting sqref="M418">
    <cfRule type="expression" rank="0" priority="1671" equalAverage="0" aboveAverage="0" dxfId="0" text="" percent="0" bottom="0">
      <formula>M418&gt;=20</formula>
    </cfRule>
    <cfRule type="expression" rank="0" priority="1672" equalAverage="0" aboveAverage="0" dxfId="1" text="" percent="0" bottom="0">
      <formula>AND(M418&gt;=10,M418&lt;20)</formula>
    </cfRule>
    <cfRule type="expression" rank="0" priority="1673" equalAverage="0" aboveAverage="0" dxfId="2" text="" percent="0" bottom="0">
      <formula>AND(M418&gt;=5,M418&lt;10)</formula>
    </cfRule>
    <cfRule type="expression" rank="0" priority="1674" equalAverage="0" aboveAverage="0" dxfId="3" text="" percent="0" bottom="0">
      <formula>AND(M418&gt;=1,M418&lt;5)</formula>
    </cfRule>
  </conditionalFormatting>
  <conditionalFormatting sqref="M419">
    <cfRule type="expression" rank="0" priority="1675" equalAverage="0" aboveAverage="0" dxfId="0" text="" percent="0" bottom="0">
      <formula>M419&gt;=20</formula>
    </cfRule>
    <cfRule type="expression" rank="0" priority="1676" equalAverage="0" aboveAverage="0" dxfId="1" text="" percent="0" bottom="0">
      <formula>AND(M419&gt;=10,M419&lt;20)</formula>
    </cfRule>
    <cfRule type="expression" rank="0" priority="1677" equalAverage="0" aboveAverage="0" dxfId="2" text="" percent="0" bottom="0">
      <formula>AND(M419&gt;=5,M419&lt;10)</formula>
    </cfRule>
    <cfRule type="expression" rank="0" priority="1678" equalAverage="0" aboveAverage="0" dxfId="3" text="" percent="0" bottom="0">
      <formula>AND(M419&gt;=1,M419&lt;5)</formula>
    </cfRule>
  </conditionalFormatting>
  <conditionalFormatting sqref="M420">
    <cfRule type="expression" rank="0" priority="1679" equalAverage="0" aboveAverage="0" dxfId="0" text="" percent="0" bottom="0">
      <formula>M420&gt;=20</formula>
    </cfRule>
    <cfRule type="expression" rank="0" priority="1680" equalAverage="0" aboveAverage="0" dxfId="1" text="" percent="0" bottom="0">
      <formula>AND(M420&gt;=10,M420&lt;20)</formula>
    </cfRule>
    <cfRule type="expression" rank="0" priority="1681" equalAverage="0" aboveAverage="0" dxfId="2" text="" percent="0" bottom="0">
      <formula>AND(M420&gt;=5,M420&lt;10)</formula>
    </cfRule>
    <cfRule type="expression" rank="0" priority="1682" equalAverage="0" aboveAverage="0" dxfId="3" text="" percent="0" bottom="0">
      <formula>AND(M420&gt;=1,M420&lt;5)</formula>
    </cfRule>
  </conditionalFormatting>
  <conditionalFormatting sqref="M421">
    <cfRule type="expression" rank="0" priority="1683" equalAverage="0" aboveAverage="0" dxfId="0" text="" percent="0" bottom="0">
      <formula>M421&gt;=20</formula>
    </cfRule>
    <cfRule type="expression" rank="0" priority="1684" equalAverage="0" aboveAverage="0" dxfId="1" text="" percent="0" bottom="0">
      <formula>AND(M421&gt;=10,M421&lt;20)</formula>
    </cfRule>
    <cfRule type="expression" rank="0" priority="1685" equalAverage="0" aboveAverage="0" dxfId="2" text="" percent="0" bottom="0">
      <formula>AND(M421&gt;=5,M421&lt;10)</formula>
    </cfRule>
    <cfRule type="expression" rank="0" priority="1686" equalAverage="0" aboveAverage="0" dxfId="3" text="" percent="0" bottom="0">
      <formula>AND(M421&gt;=1,M421&lt;5)</formula>
    </cfRule>
  </conditionalFormatting>
  <conditionalFormatting sqref="M422">
    <cfRule type="expression" rank="0" priority="1687" equalAverage="0" aboveAverage="0" dxfId="0" text="" percent="0" bottom="0">
      <formula>M422&gt;=20</formula>
    </cfRule>
    <cfRule type="expression" rank="0" priority="1688" equalAverage="0" aboveAverage="0" dxfId="1" text="" percent="0" bottom="0">
      <formula>AND(M422&gt;=10,M422&lt;20)</formula>
    </cfRule>
    <cfRule type="expression" rank="0" priority="1689" equalAverage="0" aboveAverage="0" dxfId="2" text="" percent="0" bottom="0">
      <formula>AND(M422&gt;=5,M422&lt;10)</formula>
    </cfRule>
    <cfRule type="expression" rank="0" priority="1690" equalAverage="0" aboveAverage="0" dxfId="3" text="" percent="0" bottom="0">
      <formula>AND(M422&gt;=1,M422&lt;5)</formula>
    </cfRule>
  </conditionalFormatting>
  <conditionalFormatting sqref="M423">
    <cfRule type="expression" rank="0" priority="1691" equalAverage="0" aboveAverage="0" dxfId="0" text="" percent="0" bottom="0">
      <formula>M423&gt;=20</formula>
    </cfRule>
    <cfRule type="expression" rank="0" priority="1692" equalAverage="0" aboveAverage="0" dxfId="1" text="" percent="0" bottom="0">
      <formula>AND(M423&gt;=10,M423&lt;20)</formula>
    </cfRule>
    <cfRule type="expression" rank="0" priority="1693" equalAverage="0" aboveAverage="0" dxfId="2" text="" percent="0" bottom="0">
      <formula>AND(M423&gt;=5,M423&lt;10)</formula>
    </cfRule>
    <cfRule type="expression" rank="0" priority="1694" equalAverage="0" aboveAverage="0" dxfId="3" text="" percent="0" bottom="0">
      <formula>AND(M423&gt;=1,M423&lt;5)</formula>
    </cfRule>
  </conditionalFormatting>
  <conditionalFormatting sqref="M424">
    <cfRule type="expression" rank="0" priority="1695" equalAverage="0" aboveAverage="0" dxfId="0" text="" percent="0" bottom="0">
      <formula>M424&gt;=20</formula>
    </cfRule>
    <cfRule type="expression" rank="0" priority="1696" equalAverage="0" aboveAverage="0" dxfId="1" text="" percent="0" bottom="0">
      <formula>AND(M424&gt;=10,M424&lt;20)</formula>
    </cfRule>
    <cfRule type="expression" rank="0" priority="1697" equalAverage="0" aboveAverage="0" dxfId="2" text="" percent="0" bottom="0">
      <formula>AND(M424&gt;=5,M424&lt;10)</formula>
    </cfRule>
    <cfRule type="expression" rank="0" priority="1698" equalAverage="0" aboveAverage="0" dxfId="3" text="" percent="0" bottom="0">
      <formula>AND(M424&gt;=1,M424&lt;5)</formula>
    </cfRule>
  </conditionalFormatting>
  <conditionalFormatting sqref="M425">
    <cfRule type="expression" rank="0" priority="1699" equalAverage="0" aboveAverage="0" dxfId="0" text="" percent="0" bottom="0">
      <formula>M425&gt;=20</formula>
    </cfRule>
    <cfRule type="expression" rank="0" priority="1700" equalAverage="0" aboveAverage="0" dxfId="1" text="" percent="0" bottom="0">
      <formula>AND(M425&gt;=10,M425&lt;20)</formula>
    </cfRule>
    <cfRule type="expression" rank="0" priority="1701" equalAverage="0" aboveAverage="0" dxfId="2" text="" percent="0" bottom="0">
      <formula>AND(M425&gt;=5,M425&lt;10)</formula>
    </cfRule>
    <cfRule type="expression" rank="0" priority="1702" equalAverage="0" aboveAverage="0" dxfId="3" text="" percent="0" bottom="0">
      <formula>AND(M425&gt;=1,M425&lt;5)</formula>
    </cfRule>
  </conditionalFormatting>
  <conditionalFormatting sqref="M426">
    <cfRule type="expression" rank="0" priority="1703" equalAverage="0" aboveAverage="0" dxfId="0" text="" percent="0" bottom="0">
      <formula>M426&gt;=20</formula>
    </cfRule>
    <cfRule type="expression" rank="0" priority="1704" equalAverage="0" aboveAverage="0" dxfId="1" text="" percent="0" bottom="0">
      <formula>AND(M426&gt;=10,M426&lt;20)</formula>
    </cfRule>
    <cfRule type="expression" rank="0" priority="1705" equalAverage="0" aboveAverage="0" dxfId="2" text="" percent="0" bottom="0">
      <formula>AND(M426&gt;=5,M426&lt;10)</formula>
    </cfRule>
    <cfRule type="expression" rank="0" priority="1706" equalAverage="0" aboveAverage="0" dxfId="3" text="" percent="0" bottom="0">
      <formula>AND(M426&gt;=1,M426&lt;5)</formula>
    </cfRule>
  </conditionalFormatting>
  <conditionalFormatting sqref="M427">
    <cfRule type="expression" rank="0" priority="1707" equalAverage="0" aboveAverage="0" dxfId="0" text="" percent="0" bottom="0">
      <formula>M427&gt;=20</formula>
    </cfRule>
    <cfRule type="expression" rank="0" priority="1708" equalAverage="0" aboveAverage="0" dxfId="1" text="" percent="0" bottom="0">
      <formula>AND(M427&gt;=10,M427&lt;20)</formula>
    </cfRule>
    <cfRule type="expression" rank="0" priority="1709" equalAverage="0" aboveAverage="0" dxfId="2" text="" percent="0" bottom="0">
      <formula>AND(M427&gt;=5,M427&lt;10)</formula>
    </cfRule>
    <cfRule type="expression" rank="0" priority="1710" equalAverage="0" aboveAverage="0" dxfId="3" text="" percent="0" bottom="0">
      <formula>AND(M427&gt;=1,M427&lt;5)</formula>
    </cfRule>
  </conditionalFormatting>
  <conditionalFormatting sqref="M428">
    <cfRule type="expression" rank="0" priority="1711" equalAverage="0" aboveAverage="0" dxfId="0" text="" percent="0" bottom="0">
      <formula>M428&gt;=20</formula>
    </cfRule>
    <cfRule type="expression" rank="0" priority="1712" equalAverage="0" aboveAverage="0" dxfId="1" text="" percent="0" bottom="0">
      <formula>AND(M428&gt;=10,M428&lt;20)</formula>
    </cfRule>
    <cfRule type="expression" rank="0" priority="1713" equalAverage="0" aboveAverage="0" dxfId="2" text="" percent="0" bottom="0">
      <formula>AND(M428&gt;=5,M428&lt;10)</formula>
    </cfRule>
    <cfRule type="expression" rank="0" priority="1714" equalAverage="0" aboveAverage="0" dxfId="3" text="" percent="0" bottom="0">
      <formula>AND(M428&gt;=1,M428&lt;5)</formula>
    </cfRule>
  </conditionalFormatting>
  <conditionalFormatting sqref="M429">
    <cfRule type="expression" rank="0" priority="1715" equalAverage="0" aboveAverage="0" dxfId="0" text="" percent="0" bottom="0">
      <formula>M429&gt;=20</formula>
    </cfRule>
    <cfRule type="expression" rank="0" priority="1716" equalAverage="0" aboveAverage="0" dxfId="1" text="" percent="0" bottom="0">
      <formula>AND(M429&gt;=10,M429&lt;20)</formula>
    </cfRule>
    <cfRule type="expression" rank="0" priority="1717" equalAverage="0" aboveAverage="0" dxfId="2" text="" percent="0" bottom="0">
      <formula>AND(M429&gt;=5,M429&lt;10)</formula>
    </cfRule>
    <cfRule type="expression" rank="0" priority="1718" equalAverage="0" aboveAverage="0" dxfId="3" text="" percent="0" bottom="0">
      <formula>AND(M429&gt;=1,M429&lt;5)</formula>
    </cfRule>
  </conditionalFormatting>
  <conditionalFormatting sqref="M430">
    <cfRule type="expression" rank="0" priority="1719" equalAverage="0" aboveAverage="0" dxfId="0" text="" percent="0" bottom="0">
      <formula>M430&gt;=20</formula>
    </cfRule>
    <cfRule type="expression" rank="0" priority="1720" equalAverage="0" aboveAverage="0" dxfId="1" text="" percent="0" bottom="0">
      <formula>AND(M430&gt;=10,M430&lt;20)</formula>
    </cfRule>
    <cfRule type="expression" rank="0" priority="1721" equalAverage="0" aboveAverage="0" dxfId="2" text="" percent="0" bottom="0">
      <formula>AND(M430&gt;=5,M430&lt;10)</formula>
    </cfRule>
    <cfRule type="expression" rank="0" priority="1722" equalAverage="0" aboveAverage="0" dxfId="3" text="" percent="0" bottom="0">
      <formula>AND(M430&gt;=1,M430&lt;5)</formula>
    </cfRule>
  </conditionalFormatting>
  <conditionalFormatting sqref="M431">
    <cfRule type="expression" rank="0" priority="1723" equalAverage="0" aboveAverage="0" dxfId="0" text="" percent="0" bottom="0">
      <formula>M431&gt;=20</formula>
    </cfRule>
    <cfRule type="expression" rank="0" priority="1724" equalAverage="0" aboveAverage="0" dxfId="1" text="" percent="0" bottom="0">
      <formula>AND(M431&gt;=10,M431&lt;20)</formula>
    </cfRule>
    <cfRule type="expression" rank="0" priority="1725" equalAverage="0" aboveAverage="0" dxfId="2" text="" percent="0" bottom="0">
      <formula>AND(M431&gt;=5,M431&lt;10)</formula>
    </cfRule>
    <cfRule type="expression" rank="0" priority="1726" equalAverage="0" aboveAverage="0" dxfId="3" text="" percent="0" bottom="0">
      <formula>AND(M431&gt;=1,M431&lt;5)</formula>
    </cfRule>
  </conditionalFormatting>
  <conditionalFormatting sqref="M432">
    <cfRule type="expression" rank="0" priority="1727" equalAverage="0" aboveAverage="0" dxfId="0" text="" percent="0" bottom="0">
      <formula>M432&gt;=20</formula>
    </cfRule>
    <cfRule type="expression" rank="0" priority="1728" equalAverage="0" aboveAverage="0" dxfId="1" text="" percent="0" bottom="0">
      <formula>AND(M432&gt;=10,M432&lt;20)</formula>
    </cfRule>
    <cfRule type="expression" rank="0" priority="1729" equalAverage="0" aboveAverage="0" dxfId="2" text="" percent="0" bottom="0">
      <formula>AND(M432&gt;=5,M432&lt;10)</formula>
    </cfRule>
    <cfRule type="expression" rank="0" priority="1730" equalAverage="0" aboveAverage="0" dxfId="3" text="" percent="0" bottom="0">
      <formula>AND(M432&gt;=1,M432&lt;5)</formula>
    </cfRule>
  </conditionalFormatting>
  <conditionalFormatting sqref="M433">
    <cfRule type="expression" rank="0" priority="1731" equalAverage="0" aboveAverage="0" dxfId="0" text="" percent="0" bottom="0">
      <formula>M433&gt;=20</formula>
    </cfRule>
    <cfRule type="expression" rank="0" priority="1732" equalAverage="0" aboveAverage="0" dxfId="1" text="" percent="0" bottom="0">
      <formula>AND(M433&gt;=10,M433&lt;20)</formula>
    </cfRule>
    <cfRule type="expression" rank="0" priority="1733" equalAverage="0" aboveAverage="0" dxfId="2" text="" percent="0" bottom="0">
      <formula>AND(M433&gt;=5,M433&lt;10)</formula>
    </cfRule>
    <cfRule type="expression" rank="0" priority="1734" equalAverage="0" aboveAverage="0" dxfId="3" text="" percent="0" bottom="0">
      <formula>AND(M433&gt;=1,M433&lt;5)</formula>
    </cfRule>
  </conditionalFormatting>
  <conditionalFormatting sqref="M434">
    <cfRule type="expression" rank="0" priority="1735" equalAverage="0" aboveAverage="0" dxfId="0" text="" percent="0" bottom="0">
      <formula>M434&gt;=20</formula>
    </cfRule>
    <cfRule type="expression" rank="0" priority="1736" equalAverage="0" aboveAverage="0" dxfId="1" text="" percent="0" bottom="0">
      <formula>AND(M434&gt;=10,M434&lt;20)</formula>
    </cfRule>
    <cfRule type="expression" rank="0" priority="1737" equalAverage="0" aboveAverage="0" dxfId="2" text="" percent="0" bottom="0">
      <formula>AND(M434&gt;=5,M434&lt;10)</formula>
    </cfRule>
    <cfRule type="expression" rank="0" priority="1738" equalAverage="0" aboveAverage="0" dxfId="3" text="" percent="0" bottom="0">
      <formula>AND(M434&gt;=1,M434&lt;5)</formula>
    </cfRule>
  </conditionalFormatting>
  <conditionalFormatting sqref="M435">
    <cfRule type="expression" rank="0" priority="1739" equalAverage="0" aboveAverage="0" dxfId="0" text="" percent="0" bottom="0">
      <formula>M435&gt;=20</formula>
    </cfRule>
    <cfRule type="expression" rank="0" priority="1740" equalAverage="0" aboveAverage="0" dxfId="1" text="" percent="0" bottom="0">
      <formula>AND(M435&gt;=10,M435&lt;20)</formula>
    </cfRule>
    <cfRule type="expression" rank="0" priority="1741" equalAverage="0" aboveAverage="0" dxfId="2" text="" percent="0" bottom="0">
      <formula>AND(M435&gt;=5,M435&lt;10)</formula>
    </cfRule>
    <cfRule type="expression" rank="0" priority="1742" equalAverage="0" aboveAverage="0" dxfId="3" text="" percent="0" bottom="0">
      <formula>AND(M435&gt;=1,M435&lt;5)</formula>
    </cfRule>
  </conditionalFormatting>
  <conditionalFormatting sqref="M436">
    <cfRule type="expression" rank="0" priority="1743" equalAverage="0" aboveAverage="0" dxfId="0" text="" percent="0" bottom="0">
      <formula>M436&gt;=20</formula>
    </cfRule>
    <cfRule type="expression" rank="0" priority="1744" equalAverage="0" aboveAverage="0" dxfId="1" text="" percent="0" bottom="0">
      <formula>AND(M436&gt;=10,M436&lt;20)</formula>
    </cfRule>
    <cfRule type="expression" rank="0" priority="1745" equalAverage="0" aboveAverage="0" dxfId="2" text="" percent="0" bottom="0">
      <formula>AND(M436&gt;=5,M436&lt;10)</formula>
    </cfRule>
    <cfRule type="expression" rank="0" priority="1746" equalAverage="0" aboveAverage="0" dxfId="3" text="" percent="0" bottom="0">
      <formula>AND(M436&gt;=1,M436&lt;5)</formula>
    </cfRule>
  </conditionalFormatting>
  <conditionalFormatting sqref="M437">
    <cfRule type="expression" rank="0" priority="1747" equalAverage="0" aboveAverage="0" dxfId="0" text="" percent="0" bottom="0">
      <formula>M437&gt;=20</formula>
    </cfRule>
    <cfRule type="expression" rank="0" priority="1748" equalAverage="0" aboveAverage="0" dxfId="1" text="" percent="0" bottom="0">
      <formula>AND(M437&gt;=10,M437&lt;20)</formula>
    </cfRule>
    <cfRule type="expression" rank="0" priority="1749" equalAverage="0" aboveAverage="0" dxfId="2" text="" percent="0" bottom="0">
      <formula>AND(M437&gt;=5,M437&lt;10)</formula>
    </cfRule>
    <cfRule type="expression" rank="0" priority="1750" equalAverage="0" aboveAverage="0" dxfId="3" text="" percent="0" bottom="0">
      <formula>AND(M437&gt;=1,M437&lt;5)</formula>
    </cfRule>
  </conditionalFormatting>
  <conditionalFormatting sqref="M438">
    <cfRule type="expression" rank="0" priority="1751" equalAverage="0" aboveAverage="0" dxfId="0" text="" percent="0" bottom="0">
      <formula>M438&gt;=20</formula>
    </cfRule>
    <cfRule type="expression" rank="0" priority="1752" equalAverage="0" aboveAverage="0" dxfId="1" text="" percent="0" bottom="0">
      <formula>AND(M438&gt;=10,M438&lt;20)</formula>
    </cfRule>
    <cfRule type="expression" rank="0" priority="1753" equalAverage="0" aboveAverage="0" dxfId="2" text="" percent="0" bottom="0">
      <formula>AND(M438&gt;=5,M438&lt;10)</formula>
    </cfRule>
    <cfRule type="expression" rank="0" priority="1754" equalAverage="0" aboveAverage="0" dxfId="3" text="" percent="0" bottom="0">
      <formula>AND(M438&gt;=1,M438&lt;5)</formula>
    </cfRule>
  </conditionalFormatting>
  <conditionalFormatting sqref="M439">
    <cfRule type="expression" rank="0" priority="1755" equalAverage="0" aboveAverage="0" dxfId="0" text="" percent="0" bottom="0">
      <formula>M439&gt;=20</formula>
    </cfRule>
    <cfRule type="expression" rank="0" priority="1756" equalAverage="0" aboveAverage="0" dxfId="1" text="" percent="0" bottom="0">
      <formula>AND(M439&gt;=10,M439&lt;20)</formula>
    </cfRule>
    <cfRule type="expression" rank="0" priority="1757" equalAverage="0" aboveAverage="0" dxfId="2" text="" percent="0" bottom="0">
      <formula>AND(M439&gt;=5,M439&lt;10)</formula>
    </cfRule>
    <cfRule type="expression" rank="0" priority="1758" equalAverage="0" aboveAverage="0" dxfId="3" text="" percent="0" bottom="0">
      <formula>AND(M439&gt;=1,M439&lt;5)</formula>
    </cfRule>
  </conditionalFormatting>
  <conditionalFormatting sqref="M440">
    <cfRule type="expression" rank="0" priority="1759" equalAverage="0" aboveAverage="0" dxfId="0" text="" percent="0" bottom="0">
      <formula>M440&gt;=20</formula>
    </cfRule>
    <cfRule type="expression" rank="0" priority="1760" equalAverage="0" aboveAverage="0" dxfId="1" text="" percent="0" bottom="0">
      <formula>AND(M440&gt;=10,M440&lt;20)</formula>
    </cfRule>
    <cfRule type="expression" rank="0" priority="1761" equalAverage="0" aboveAverage="0" dxfId="2" text="" percent="0" bottom="0">
      <formula>AND(M440&gt;=5,M440&lt;10)</formula>
    </cfRule>
    <cfRule type="expression" rank="0" priority="1762" equalAverage="0" aboveAverage="0" dxfId="3" text="" percent="0" bottom="0">
      <formula>AND(M440&gt;=1,M440&lt;5)</formula>
    </cfRule>
  </conditionalFormatting>
  <conditionalFormatting sqref="M441">
    <cfRule type="expression" rank="0" priority="1763" equalAverage="0" aboveAverage="0" dxfId="0" text="" percent="0" bottom="0">
      <formula>M441&gt;=20</formula>
    </cfRule>
    <cfRule type="expression" rank="0" priority="1764" equalAverage="0" aboveAverage="0" dxfId="1" text="" percent="0" bottom="0">
      <formula>AND(M441&gt;=10,M441&lt;20)</formula>
    </cfRule>
    <cfRule type="expression" rank="0" priority="1765" equalAverage="0" aboveAverage="0" dxfId="2" text="" percent="0" bottom="0">
      <formula>AND(M441&gt;=5,M441&lt;10)</formula>
    </cfRule>
    <cfRule type="expression" rank="0" priority="1766" equalAverage="0" aboveAverage="0" dxfId="3" text="" percent="0" bottom="0">
      <formula>AND(M441&gt;=1,M441&lt;5)</formula>
    </cfRule>
  </conditionalFormatting>
  <conditionalFormatting sqref="M442">
    <cfRule type="expression" rank="0" priority="1767" equalAverage="0" aboveAverage="0" dxfId="0" text="" percent="0" bottom="0">
      <formula>M442&gt;=20</formula>
    </cfRule>
    <cfRule type="expression" rank="0" priority="1768" equalAverage="0" aboveAverage="0" dxfId="1" text="" percent="0" bottom="0">
      <formula>AND(M442&gt;=10,M442&lt;20)</formula>
    </cfRule>
    <cfRule type="expression" rank="0" priority="1769" equalAverage="0" aboveAverage="0" dxfId="2" text="" percent="0" bottom="0">
      <formula>AND(M442&gt;=5,M442&lt;10)</formula>
    </cfRule>
    <cfRule type="expression" rank="0" priority="1770" equalAverage="0" aboveAverage="0" dxfId="3" text="" percent="0" bottom="0">
      <formula>AND(M442&gt;=1,M442&lt;5)</formula>
    </cfRule>
  </conditionalFormatting>
  <conditionalFormatting sqref="M443">
    <cfRule type="expression" rank="0" priority="1771" equalAverage="0" aboveAverage="0" dxfId="0" text="" percent="0" bottom="0">
      <formula>M443&gt;=20</formula>
    </cfRule>
    <cfRule type="expression" rank="0" priority="1772" equalAverage="0" aboveAverage="0" dxfId="1" text="" percent="0" bottom="0">
      <formula>AND(M443&gt;=10,M443&lt;20)</formula>
    </cfRule>
    <cfRule type="expression" rank="0" priority="1773" equalAverage="0" aboveAverage="0" dxfId="2" text="" percent="0" bottom="0">
      <formula>AND(M443&gt;=5,M443&lt;10)</formula>
    </cfRule>
    <cfRule type="expression" rank="0" priority="1774" equalAverage="0" aboveAverage="0" dxfId="3" text="" percent="0" bottom="0">
      <formula>AND(M443&gt;=1,M443&lt;5)</formula>
    </cfRule>
  </conditionalFormatting>
  <conditionalFormatting sqref="M444">
    <cfRule type="expression" rank="0" priority="1775" equalAverage="0" aboveAverage="0" dxfId="0" text="" percent="0" bottom="0">
      <formula>M444&gt;=20</formula>
    </cfRule>
    <cfRule type="expression" rank="0" priority="1776" equalAverage="0" aboveAverage="0" dxfId="1" text="" percent="0" bottom="0">
      <formula>AND(M444&gt;=10,M444&lt;20)</formula>
    </cfRule>
    <cfRule type="expression" rank="0" priority="1777" equalAverage="0" aboveAverage="0" dxfId="2" text="" percent="0" bottom="0">
      <formula>AND(M444&gt;=5,M444&lt;10)</formula>
    </cfRule>
    <cfRule type="expression" rank="0" priority="1778" equalAverage="0" aboveAverage="0" dxfId="3" text="" percent="0" bottom="0">
      <formula>AND(M444&gt;=1,M444&lt;5)</formula>
    </cfRule>
  </conditionalFormatting>
  <conditionalFormatting sqref="M445">
    <cfRule type="expression" rank="0" priority="1779" equalAverage="0" aboveAverage="0" dxfId="0" text="" percent="0" bottom="0">
      <formula>M445&gt;=20</formula>
    </cfRule>
    <cfRule type="expression" rank="0" priority="1780" equalAverage="0" aboveAverage="0" dxfId="1" text="" percent="0" bottom="0">
      <formula>AND(M445&gt;=10,M445&lt;20)</formula>
    </cfRule>
    <cfRule type="expression" rank="0" priority="1781" equalAverage="0" aboveAverage="0" dxfId="2" text="" percent="0" bottom="0">
      <formula>AND(M445&gt;=5,M445&lt;10)</formula>
    </cfRule>
    <cfRule type="expression" rank="0" priority="1782" equalAverage="0" aboveAverage="0" dxfId="3" text="" percent="0" bottom="0">
      <formula>AND(M445&gt;=1,M445&lt;5)</formula>
    </cfRule>
  </conditionalFormatting>
  <conditionalFormatting sqref="M446">
    <cfRule type="expression" rank="0" priority="1783" equalAverage="0" aboveAverage="0" dxfId="0" text="" percent="0" bottom="0">
      <formula>M446&gt;=20</formula>
    </cfRule>
    <cfRule type="expression" rank="0" priority="1784" equalAverage="0" aboveAverage="0" dxfId="1" text="" percent="0" bottom="0">
      <formula>AND(M446&gt;=10,M446&lt;20)</formula>
    </cfRule>
    <cfRule type="expression" rank="0" priority="1785" equalAverage="0" aboveAverage="0" dxfId="2" text="" percent="0" bottom="0">
      <formula>AND(M446&gt;=5,M446&lt;10)</formula>
    </cfRule>
    <cfRule type="expression" rank="0" priority="1786" equalAverage="0" aboveAverage="0" dxfId="3" text="" percent="0" bottom="0">
      <formula>AND(M446&gt;=1,M446&lt;5)</formula>
    </cfRule>
  </conditionalFormatting>
  <conditionalFormatting sqref="M447">
    <cfRule type="expression" rank="0" priority="1787" equalAverage="0" aboveAverage="0" dxfId="0" text="" percent="0" bottom="0">
      <formula>M447&gt;=20</formula>
    </cfRule>
    <cfRule type="expression" rank="0" priority="1788" equalAverage="0" aboveAverage="0" dxfId="1" text="" percent="0" bottom="0">
      <formula>AND(M447&gt;=10,M447&lt;20)</formula>
    </cfRule>
    <cfRule type="expression" rank="0" priority="1789" equalAverage="0" aboveAverage="0" dxfId="2" text="" percent="0" bottom="0">
      <formula>AND(M447&gt;=5,M447&lt;10)</formula>
    </cfRule>
    <cfRule type="expression" rank="0" priority="1790" equalAverage="0" aboveAverage="0" dxfId="3" text="" percent="0" bottom="0">
      <formula>AND(M447&gt;=1,M447&lt;5)</formula>
    </cfRule>
  </conditionalFormatting>
  <conditionalFormatting sqref="M448">
    <cfRule type="expression" rank="0" priority="1791" equalAverage="0" aboveAverage="0" dxfId="0" text="" percent="0" bottom="0">
      <formula>M448&gt;=20</formula>
    </cfRule>
    <cfRule type="expression" rank="0" priority="1792" equalAverage="0" aboveAverage="0" dxfId="1" text="" percent="0" bottom="0">
      <formula>AND(M448&gt;=10,M448&lt;20)</formula>
    </cfRule>
    <cfRule type="expression" rank="0" priority="1793" equalAverage="0" aboveAverage="0" dxfId="2" text="" percent="0" bottom="0">
      <formula>AND(M448&gt;=5,M448&lt;10)</formula>
    </cfRule>
    <cfRule type="expression" rank="0" priority="1794" equalAverage="0" aboveAverage="0" dxfId="3" text="" percent="0" bottom="0">
      <formula>AND(M448&gt;=1,M448&lt;5)</formula>
    </cfRule>
  </conditionalFormatting>
  <conditionalFormatting sqref="M449">
    <cfRule type="expression" rank="0" priority="1795" equalAverage="0" aboveAverage="0" dxfId="0" text="" percent="0" bottom="0">
      <formula>M449&gt;=20</formula>
    </cfRule>
    <cfRule type="expression" rank="0" priority="1796" equalAverage="0" aboveAverage="0" dxfId="1" text="" percent="0" bottom="0">
      <formula>AND(M449&gt;=10,M449&lt;20)</formula>
    </cfRule>
    <cfRule type="expression" rank="0" priority="1797" equalAverage="0" aboveAverage="0" dxfId="2" text="" percent="0" bottom="0">
      <formula>AND(M449&gt;=5,M449&lt;10)</formula>
    </cfRule>
    <cfRule type="expression" rank="0" priority="1798" equalAverage="0" aboveAverage="0" dxfId="3" text="" percent="0" bottom="0">
      <formula>AND(M449&gt;=1,M449&lt;5)</formula>
    </cfRule>
  </conditionalFormatting>
  <conditionalFormatting sqref="M450">
    <cfRule type="expression" rank="0" priority="1799" equalAverage="0" aboveAverage="0" dxfId="0" text="" percent="0" bottom="0">
      <formula>M450&gt;=20</formula>
    </cfRule>
    <cfRule type="expression" rank="0" priority="1800" equalAverage="0" aboveAverage="0" dxfId="1" text="" percent="0" bottom="0">
      <formula>AND(M450&gt;=10,M450&lt;20)</formula>
    </cfRule>
    <cfRule type="expression" rank="0" priority="1801" equalAverage="0" aboveAverage="0" dxfId="2" text="" percent="0" bottom="0">
      <formula>AND(M450&gt;=5,M450&lt;10)</formula>
    </cfRule>
    <cfRule type="expression" rank="0" priority="1802" equalAverage="0" aboveAverage="0" dxfId="3" text="" percent="0" bottom="0">
      <formula>AND(M450&gt;=1,M450&lt;5)</formula>
    </cfRule>
  </conditionalFormatting>
  <conditionalFormatting sqref="M451">
    <cfRule type="expression" rank="0" priority="1803" equalAverage="0" aboveAverage="0" dxfId="0" text="" percent="0" bottom="0">
      <formula>M451&gt;=20</formula>
    </cfRule>
    <cfRule type="expression" rank="0" priority="1804" equalAverage="0" aboveAverage="0" dxfId="1" text="" percent="0" bottom="0">
      <formula>AND(M451&gt;=10,M451&lt;20)</formula>
    </cfRule>
    <cfRule type="expression" rank="0" priority="1805" equalAverage="0" aboveAverage="0" dxfId="2" text="" percent="0" bottom="0">
      <formula>AND(M451&gt;=5,M451&lt;10)</formula>
    </cfRule>
    <cfRule type="expression" rank="0" priority="1806" equalAverage="0" aboveAverage="0" dxfId="3" text="" percent="0" bottom="0">
      <formula>AND(M451&gt;=1,M451&lt;5)</formula>
    </cfRule>
  </conditionalFormatting>
  <conditionalFormatting sqref="M452">
    <cfRule type="expression" rank="0" priority="1807" equalAverage="0" aboveAverage="0" dxfId="0" text="" percent="0" bottom="0">
      <formula>M452&gt;=20</formula>
    </cfRule>
    <cfRule type="expression" rank="0" priority="1808" equalAverage="0" aboveAverage="0" dxfId="1" text="" percent="0" bottom="0">
      <formula>AND(M452&gt;=10,M452&lt;20)</formula>
    </cfRule>
    <cfRule type="expression" rank="0" priority="1809" equalAverage="0" aboveAverage="0" dxfId="2" text="" percent="0" bottom="0">
      <formula>AND(M452&gt;=5,M452&lt;10)</formula>
    </cfRule>
    <cfRule type="expression" rank="0" priority="1810" equalAverage="0" aboveAverage="0" dxfId="3" text="" percent="0" bottom="0">
      <formula>AND(M452&gt;=1,M452&lt;5)</formula>
    </cfRule>
  </conditionalFormatting>
  <conditionalFormatting sqref="M453">
    <cfRule type="expression" rank="0" priority="1811" equalAverage="0" aboveAverage="0" dxfId="0" text="" percent="0" bottom="0">
      <formula>M453&gt;=20</formula>
    </cfRule>
    <cfRule type="expression" rank="0" priority="1812" equalAverage="0" aboveAverage="0" dxfId="1" text="" percent="0" bottom="0">
      <formula>AND(M453&gt;=10,M453&lt;20)</formula>
    </cfRule>
    <cfRule type="expression" rank="0" priority="1813" equalAverage="0" aboveAverage="0" dxfId="2" text="" percent="0" bottom="0">
      <formula>AND(M453&gt;=5,M453&lt;10)</formula>
    </cfRule>
    <cfRule type="expression" rank="0" priority="1814" equalAverage="0" aboveAverage="0" dxfId="3" text="" percent="0" bottom="0">
      <formula>AND(M453&gt;=1,M453&lt;5)</formula>
    </cfRule>
  </conditionalFormatting>
  <conditionalFormatting sqref="M454">
    <cfRule type="expression" rank="0" priority="1815" equalAverage="0" aboveAverage="0" dxfId="0" text="" percent="0" bottom="0">
      <formula>M454&gt;=20</formula>
    </cfRule>
    <cfRule type="expression" rank="0" priority="1816" equalAverage="0" aboveAverage="0" dxfId="1" text="" percent="0" bottom="0">
      <formula>AND(M454&gt;=10,M454&lt;20)</formula>
    </cfRule>
    <cfRule type="expression" rank="0" priority="1817" equalAverage="0" aboveAverage="0" dxfId="2" text="" percent="0" bottom="0">
      <formula>AND(M454&gt;=5,M454&lt;10)</formula>
    </cfRule>
    <cfRule type="expression" rank="0" priority="1818" equalAverage="0" aboveAverage="0" dxfId="3" text="" percent="0" bottom="0">
      <formula>AND(M454&gt;=1,M454&lt;5)</formula>
    </cfRule>
  </conditionalFormatting>
  <conditionalFormatting sqref="M455">
    <cfRule type="expression" rank="0" priority="1819" equalAverage="0" aboveAverage="0" dxfId="0" text="" percent="0" bottom="0">
      <formula>M455&gt;=20</formula>
    </cfRule>
    <cfRule type="expression" rank="0" priority="1820" equalAverage="0" aboveAverage="0" dxfId="1" text="" percent="0" bottom="0">
      <formula>AND(M455&gt;=10,M455&lt;20)</formula>
    </cfRule>
    <cfRule type="expression" rank="0" priority="1821" equalAverage="0" aboveAverage="0" dxfId="2" text="" percent="0" bottom="0">
      <formula>AND(M455&gt;=5,M455&lt;10)</formula>
    </cfRule>
    <cfRule type="expression" rank="0" priority="1822" equalAverage="0" aboveAverage="0" dxfId="3" text="" percent="0" bottom="0">
      <formula>AND(M455&gt;=1,M455&lt;5)</formula>
    </cfRule>
  </conditionalFormatting>
  <conditionalFormatting sqref="M456">
    <cfRule type="expression" rank="0" priority="1823" equalAverage="0" aboveAverage="0" dxfId="0" text="" percent="0" bottom="0">
      <formula>M456&gt;=20</formula>
    </cfRule>
    <cfRule type="expression" rank="0" priority="1824" equalAverage="0" aboveAverage="0" dxfId="1" text="" percent="0" bottom="0">
      <formula>AND(M456&gt;=10,M456&lt;20)</formula>
    </cfRule>
    <cfRule type="expression" rank="0" priority="1825" equalAverage="0" aboveAverage="0" dxfId="2" text="" percent="0" bottom="0">
      <formula>AND(M456&gt;=5,M456&lt;10)</formula>
    </cfRule>
    <cfRule type="expression" rank="0" priority="1826" equalAverage="0" aboveAverage="0" dxfId="3" text="" percent="0" bottom="0">
      <formula>AND(M456&gt;=1,M456&lt;5)</formula>
    </cfRule>
  </conditionalFormatting>
  <conditionalFormatting sqref="M457">
    <cfRule type="expression" rank="0" priority="1827" equalAverage="0" aboveAverage="0" dxfId="0" text="" percent="0" bottom="0">
      <formula>M457&gt;=20</formula>
    </cfRule>
    <cfRule type="expression" rank="0" priority="1828" equalAverage="0" aboveAverage="0" dxfId="1" text="" percent="0" bottom="0">
      <formula>AND(M457&gt;=10,M457&lt;20)</formula>
    </cfRule>
    <cfRule type="expression" rank="0" priority="1829" equalAverage="0" aboveAverage="0" dxfId="2" text="" percent="0" bottom="0">
      <formula>AND(M457&gt;=5,M457&lt;10)</formula>
    </cfRule>
    <cfRule type="expression" rank="0" priority="1830" equalAverage="0" aboveAverage="0" dxfId="3" text="" percent="0" bottom="0">
      <formula>AND(M457&gt;=1,M457&lt;5)</formula>
    </cfRule>
  </conditionalFormatting>
  <conditionalFormatting sqref="M458">
    <cfRule type="expression" rank="0" priority="1831" equalAverage="0" aboveAverage="0" dxfId="0" text="" percent="0" bottom="0">
      <formula>M458&gt;=20</formula>
    </cfRule>
    <cfRule type="expression" rank="0" priority="1832" equalAverage="0" aboveAverage="0" dxfId="1" text="" percent="0" bottom="0">
      <formula>AND(M458&gt;=10,M458&lt;20)</formula>
    </cfRule>
    <cfRule type="expression" rank="0" priority="1833" equalAverage="0" aboveAverage="0" dxfId="2" text="" percent="0" bottom="0">
      <formula>AND(M458&gt;=5,M458&lt;10)</formula>
    </cfRule>
    <cfRule type="expression" rank="0" priority="1834" equalAverage="0" aboveAverage="0" dxfId="3" text="" percent="0" bottom="0">
      <formula>AND(M458&gt;=1,M458&lt;5)</formula>
    </cfRule>
  </conditionalFormatting>
  <conditionalFormatting sqref="M459">
    <cfRule type="expression" rank="0" priority="1835" equalAverage="0" aboveAverage="0" dxfId="0" text="" percent="0" bottom="0">
      <formula>M459&gt;=20</formula>
    </cfRule>
    <cfRule type="expression" rank="0" priority="1836" equalAverage="0" aboveAverage="0" dxfId="1" text="" percent="0" bottom="0">
      <formula>AND(M459&gt;=10,M459&lt;20)</formula>
    </cfRule>
    <cfRule type="expression" rank="0" priority="1837" equalAverage="0" aboveAverage="0" dxfId="2" text="" percent="0" bottom="0">
      <formula>AND(M459&gt;=5,M459&lt;10)</formula>
    </cfRule>
    <cfRule type="expression" rank="0" priority="1838" equalAverage="0" aboveAverage="0" dxfId="3" text="" percent="0" bottom="0">
      <formula>AND(M459&gt;=1,M459&lt;5)</formula>
    </cfRule>
  </conditionalFormatting>
  <conditionalFormatting sqref="M460">
    <cfRule type="expression" rank="0" priority="1839" equalAverage="0" aboveAverage="0" dxfId="0" text="" percent="0" bottom="0">
      <formula>M460&gt;=20</formula>
    </cfRule>
    <cfRule type="expression" rank="0" priority="1840" equalAverage="0" aboveAverage="0" dxfId="1" text="" percent="0" bottom="0">
      <formula>AND(M460&gt;=10,M460&lt;20)</formula>
    </cfRule>
    <cfRule type="expression" rank="0" priority="1841" equalAverage="0" aboveAverage="0" dxfId="2" text="" percent="0" bottom="0">
      <formula>AND(M460&gt;=5,M460&lt;10)</formula>
    </cfRule>
    <cfRule type="expression" rank="0" priority="1842" equalAverage="0" aboveAverage="0" dxfId="3" text="" percent="0" bottom="0">
      <formula>AND(M460&gt;=1,M460&lt;5)</formula>
    </cfRule>
  </conditionalFormatting>
  <conditionalFormatting sqref="M461">
    <cfRule type="expression" rank="0" priority="1843" equalAverage="0" aboveAverage="0" dxfId="0" text="" percent="0" bottom="0">
      <formula>M461&gt;=20</formula>
    </cfRule>
    <cfRule type="expression" rank="0" priority="1844" equalAverage="0" aboveAverage="0" dxfId="1" text="" percent="0" bottom="0">
      <formula>AND(M461&gt;=10,M461&lt;20)</formula>
    </cfRule>
    <cfRule type="expression" rank="0" priority="1845" equalAverage="0" aboveAverage="0" dxfId="2" text="" percent="0" bottom="0">
      <formula>AND(M461&gt;=5,M461&lt;10)</formula>
    </cfRule>
    <cfRule type="expression" rank="0" priority="1846" equalAverage="0" aboveAverage="0" dxfId="3" text="" percent="0" bottom="0">
      <formula>AND(M461&gt;=1,M461&lt;5)</formula>
    </cfRule>
  </conditionalFormatting>
  <conditionalFormatting sqref="M462">
    <cfRule type="expression" rank="0" priority="1847" equalAverage="0" aboveAverage="0" dxfId="0" text="" percent="0" bottom="0">
      <formula>M462&gt;=20</formula>
    </cfRule>
    <cfRule type="expression" rank="0" priority="1848" equalAverage="0" aboveAverage="0" dxfId="1" text="" percent="0" bottom="0">
      <formula>AND(M462&gt;=10,M462&lt;20)</formula>
    </cfRule>
    <cfRule type="expression" rank="0" priority="1849" equalAverage="0" aboveAverage="0" dxfId="2" text="" percent="0" bottom="0">
      <formula>AND(M462&gt;=5,M462&lt;10)</formula>
    </cfRule>
    <cfRule type="expression" rank="0" priority="1850" equalAverage="0" aboveAverage="0" dxfId="3" text="" percent="0" bottom="0">
      <formula>AND(M462&gt;=1,M462&lt;5)</formula>
    </cfRule>
  </conditionalFormatting>
  <conditionalFormatting sqref="M463">
    <cfRule type="expression" rank="0" priority="1851" equalAverage="0" aboveAverage="0" dxfId="0" text="" percent="0" bottom="0">
      <formula>M463&gt;=20</formula>
    </cfRule>
    <cfRule type="expression" rank="0" priority="1852" equalAverage="0" aboveAverage="0" dxfId="1" text="" percent="0" bottom="0">
      <formula>AND(M463&gt;=10,M463&lt;20)</formula>
    </cfRule>
    <cfRule type="expression" rank="0" priority="1853" equalAverage="0" aboveAverage="0" dxfId="2" text="" percent="0" bottom="0">
      <formula>AND(M463&gt;=5,M463&lt;10)</formula>
    </cfRule>
    <cfRule type="expression" rank="0" priority="1854" equalAverage="0" aboveAverage="0" dxfId="3" text="" percent="0" bottom="0">
      <formula>AND(M463&gt;=1,M463&lt;5)</formula>
    </cfRule>
  </conditionalFormatting>
  <conditionalFormatting sqref="M464">
    <cfRule type="expression" rank="0" priority="1855" equalAverage="0" aboveAverage="0" dxfId="0" text="" percent="0" bottom="0">
      <formula>M464&gt;=20</formula>
    </cfRule>
    <cfRule type="expression" rank="0" priority="1856" equalAverage="0" aboveAverage="0" dxfId="1" text="" percent="0" bottom="0">
      <formula>AND(M464&gt;=10,M464&lt;20)</formula>
    </cfRule>
    <cfRule type="expression" rank="0" priority="1857" equalAverage="0" aboveAverage="0" dxfId="2" text="" percent="0" bottom="0">
      <formula>AND(M464&gt;=5,M464&lt;10)</formula>
    </cfRule>
    <cfRule type="expression" rank="0" priority="1858" equalAverage="0" aboveAverage="0" dxfId="3" text="" percent="0" bottom="0">
      <formula>AND(M464&gt;=1,M464&lt;5)</formula>
    </cfRule>
  </conditionalFormatting>
  <conditionalFormatting sqref="M465">
    <cfRule type="expression" rank="0" priority="1859" equalAverage="0" aboveAverage="0" dxfId="0" text="" percent="0" bottom="0">
      <formula>M465&gt;=20</formula>
    </cfRule>
    <cfRule type="expression" rank="0" priority="1860" equalAverage="0" aboveAverage="0" dxfId="1" text="" percent="0" bottom="0">
      <formula>AND(M465&gt;=10,M465&lt;20)</formula>
    </cfRule>
    <cfRule type="expression" rank="0" priority="1861" equalAverage="0" aboveAverage="0" dxfId="2" text="" percent="0" bottom="0">
      <formula>AND(M465&gt;=5,M465&lt;10)</formula>
    </cfRule>
    <cfRule type="expression" rank="0" priority="1862" equalAverage="0" aboveAverage="0" dxfId="3" text="" percent="0" bottom="0">
      <formula>AND(M465&gt;=1,M465&lt;5)</formula>
    </cfRule>
  </conditionalFormatting>
  <conditionalFormatting sqref="M466">
    <cfRule type="expression" rank="0" priority="1863" equalAverage="0" aboveAverage="0" dxfId="0" text="" percent="0" bottom="0">
      <formula>M466&gt;=20</formula>
    </cfRule>
    <cfRule type="expression" rank="0" priority="1864" equalAverage="0" aboveAverage="0" dxfId="1" text="" percent="0" bottom="0">
      <formula>AND(M466&gt;=10,M466&lt;20)</formula>
    </cfRule>
    <cfRule type="expression" rank="0" priority="1865" equalAverage="0" aboveAverage="0" dxfId="2" text="" percent="0" bottom="0">
      <formula>AND(M466&gt;=5,M466&lt;10)</formula>
    </cfRule>
    <cfRule type="expression" rank="0" priority="1866" equalAverage="0" aboveAverage="0" dxfId="3" text="" percent="0" bottom="0">
      <formula>AND(M466&gt;=1,M466&lt;5)</formula>
    </cfRule>
  </conditionalFormatting>
  <conditionalFormatting sqref="M467">
    <cfRule type="expression" rank="0" priority="1867" equalAverage="0" aboveAverage="0" dxfId="0" text="" percent="0" bottom="0">
      <formula>M467&gt;=20</formula>
    </cfRule>
    <cfRule type="expression" rank="0" priority="1868" equalAverage="0" aboveAverage="0" dxfId="1" text="" percent="0" bottom="0">
      <formula>AND(M467&gt;=10,M467&lt;20)</formula>
    </cfRule>
    <cfRule type="expression" rank="0" priority="1869" equalAverage="0" aboveAverage="0" dxfId="2" text="" percent="0" bottom="0">
      <formula>AND(M467&gt;=5,M467&lt;10)</formula>
    </cfRule>
    <cfRule type="expression" rank="0" priority="1870" equalAverage="0" aboveAverage="0" dxfId="3" text="" percent="0" bottom="0">
      <formula>AND(M467&gt;=1,M467&lt;5)</formula>
    </cfRule>
  </conditionalFormatting>
  <conditionalFormatting sqref="M468">
    <cfRule type="expression" rank="0" priority="1871" equalAverage="0" aboveAverage="0" dxfId="0" text="" percent="0" bottom="0">
      <formula>M468&gt;=20</formula>
    </cfRule>
    <cfRule type="expression" rank="0" priority="1872" equalAverage="0" aboveAverage="0" dxfId="1" text="" percent="0" bottom="0">
      <formula>AND(M468&gt;=10,M468&lt;20)</formula>
    </cfRule>
    <cfRule type="expression" rank="0" priority="1873" equalAverage="0" aboveAverage="0" dxfId="2" text="" percent="0" bottom="0">
      <formula>AND(M468&gt;=5,M468&lt;10)</formula>
    </cfRule>
    <cfRule type="expression" rank="0" priority="1874" equalAverage="0" aboveAverage="0" dxfId="3" text="" percent="0" bottom="0">
      <formula>AND(M468&gt;=1,M468&lt;5)</formula>
    </cfRule>
  </conditionalFormatting>
  <conditionalFormatting sqref="M469">
    <cfRule type="expression" rank="0" priority="1875" equalAverage="0" aboveAverage="0" dxfId="0" text="" percent="0" bottom="0">
      <formula>M469&gt;=20</formula>
    </cfRule>
    <cfRule type="expression" rank="0" priority="1876" equalAverage="0" aboveAverage="0" dxfId="1" text="" percent="0" bottom="0">
      <formula>AND(M469&gt;=10,M469&lt;20)</formula>
    </cfRule>
    <cfRule type="expression" rank="0" priority="1877" equalAverage="0" aboveAverage="0" dxfId="2" text="" percent="0" bottom="0">
      <formula>AND(M469&gt;=5,M469&lt;10)</formula>
    </cfRule>
    <cfRule type="expression" rank="0" priority="1878" equalAverage="0" aboveAverage="0" dxfId="3" text="" percent="0" bottom="0">
      <formula>AND(M469&gt;=1,M469&lt;5)</formula>
    </cfRule>
  </conditionalFormatting>
  <conditionalFormatting sqref="M470">
    <cfRule type="expression" rank="0" priority="1879" equalAverage="0" aboveAverage="0" dxfId="0" text="" percent="0" bottom="0">
      <formula>M470&gt;=20</formula>
    </cfRule>
    <cfRule type="expression" rank="0" priority="1880" equalAverage="0" aboveAverage="0" dxfId="1" text="" percent="0" bottom="0">
      <formula>AND(M470&gt;=10,M470&lt;20)</formula>
    </cfRule>
    <cfRule type="expression" rank="0" priority="1881" equalAverage="0" aboveAverage="0" dxfId="2" text="" percent="0" bottom="0">
      <formula>AND(M470&gt;=5,M470&lt;10)</formula>
    </cfRule>
    <cfRule type="expression" rank="0" priority="1882" equalAverage="0" aboveAverage="0" dxfId="3" text="" percent="0" bottom="0">
      <formula>AND(M470&gt;=1,M470&lt;5)</formula>
    </cfRule>
  </conditionalFormatting>
  <conditionalFormatting sqref="M471">
    <cfRule type="expression" rank="0" priority="1883" equalAverage="0" aboveAverage="0" dxfId="0" text="" percent="0" bottom="0">
      <formula>M471&gt;=20</formula>
    </cfRule>
    <cfRule type="expression" rank="0" priority="1884" equalAverage="0" aboveAverage="0" dxfId="1" text="" percent="0" bottom="0">
      <formula>AND(M471&gt;=10,M471&lt;20)</formula>
    </cfRule>
    <cfRule type="expression" rank="0" priority="1885" equalAverage="0" aboveAverage="0" dxfId="2" text="" percent="0" bottom="0">
      <formula>AND(M471&gt;=5,M471&lt;10)</formula>
    </cfRule>
    <cfRule type="expression" rank="0" priority="1886" equalAverage="0" aboveAverage="0" dxfId="3" text="" percent="0" bottom="0">
      <formula>AND(M471&gt;=1,M471&lt;5)</formula>
    </cfRule>
  </conditionalFormatting>
  <conditionalFormatting sqref="M472">
    <cfRule type="expression" rank="0" priority="1887" equalAverage="0" aboveAverage="0" dxfId="0" text="" percent="0" bottom="0">
      <formula>M472&gt;=20</formula>
    </cfRule>
    <cfRule type="expression" rank="0" priority="1888" equalAverage="0" aboveAverage="0" dxfId="1" text="" percent="0" bottom="0">
      <formula>AND(M472&gt;=10,M472&lt;20)</formula>
    </cfRule>
    <cfRule type="expression" rank="0" priority="1889" equalAverage="0" aboveAverage="0" dxfId="2" text="" percent="0" bottom="0">
      <formula>AND(M472&gt;=5,M472&lt;10)</formula>
    </cfRule>
    <cfRule type="expression" rank="0" priority="1890" equalAverage="0" aboveAverage="0" dxfId="3" text="" percent="0" bottom="0">
      <formula>AND(M472&gt;=1,M472&lt;5)</formula>
    </cfRule>
  </conditionalFormatting>
  <conditionalFormatting sqref="M473">
    <cfRule type="expression" rank="0" priority="1891" equalAverage="0" aboveAverage="0" dxfId="0" text="" percent="0" bottom="0">
      <formula>M473&gt;=20</formula>
    </cfRule>
    <cfRule type="expression" rank="0" priority="1892" equalAverage="0" aboveAverage="0" dxfId="1" text="" percent="0" bottom="0">
      <formula>AND(M473&gt;=10,M473&lt;20)</formula>
    </cfRule>
    <cfRule type="expression" rank="0" priority="1893" equalAverage="0" aboveAverage="0" dxfId="2" text="" percent="0" bottom="0">
      <formula>AND(M473&gt;=5,M473&lt;10)</formula>
    </cfRule>
    <cfRule type="expression" rank="0" priority="1894" equalAverage="0" aboveAverage="0" dxfId="3" text="" percent="0" bottom="0">
      <formula>AND(M473&gt;=1,M473&lt;5)</formula>
    </cfRule>
  </conditionalFormatting>
  <conditionalFormatting sqref="M474">
    <cfRule type="expression" rank="0" priority="1895" equalAverage="0" aboveAverage="0" dxfId="0" text="" percent="0" bottom="0">
      <formula>M474&gt;=20</formula>
    </cfRule>
    <cfRule type="expression" rank="0" priority="1896" equalAverage="0" aboveAverage="0" dxfId="1" text="" percent="0" bottom="0">
      <formula>AND(M474&gt;=10,M474&lt;20)</formula>
    </cfRule>
    <cfRule type="expression" rank="0" priority="1897" equalAverage="0" aboveAverage="0" dxfId="2" text="" percent="0" bottom="0">
      <formula>AND(M474&gt;=5,M474&lt;10)</formula>
    </cfRule>
    <cfRule type="expression" rank="0" priority="1898" equalAverage="0" aboveAverage="0" dxfId="3" text="" percent="0" bottom="0">
      <formula>AND(M474&gt;=1,M474&lt;5)</formula>
    </cfRule>
  </conditionalFormatting>
  <conditionalFormatting sqref="M475">
    <cfRule type="expression" rank="0" priority="1899" equalAverage="0" aboveAverage="0" dxfId="0" text="" percent="0" bottom="0">
      <formula>M475&gt;=20</formula>
    </cfRule>
    <cfRule type="expression" rank="0" priority="1900" equalAverage="0" aboveAverage="0" dxfId="1" text="" percent="0" bottom="0">
      <formula>AND(M475&gt;=10,M475&lt;20)</formula>
    </cfRule>
    <cfRule type="expression" rank="0" priority="1901" equalAverage="0" aboveAverage="0" dxfId="2" text="" percent="0" bottom="0">
      <formula>AND(M475&gt;=5,M475&lt;10)</formula>
    </cfRule>
    <cfRule type="expression" rank="0" priority="1902" equalAverage="0" aboveAverage="0" dxfId="3" text="" percent="0" bottom="0">
      <formula>AND(M475&gt;=1,M475&lt;5)</formula>
    </cfRule>
  </conditionalFormatting>
  <conditionalFormatting sqref="M476">
    <cfRule type="expression" rank="0" priority="1903" equalAverage="0" aboveAverage="0" dxfId="0" text="" percent="0" bottom="0">
      <formula>M476&gt;=20</formula>
    </cfRule>
    <cfRule type="expression" rank="0" priority="1904" equalAverage="0" aboveAverage="0" dxfId="1" text="" percent="0" bottom="0">
      <formula>AND(M476&gt;=10,M476&lt;20)</formula>
    </cfRule>
    <cfRule type="expression" rank="0" priority="1905" equalAverage="0" aboveAverage="0" dxfId="2" text="" percent="0" bottom="0">
      <formula>AND(M476&gt;=5,M476&lt;10)</formula>
    </cfRule>
    <cfRule type="expression" rank="0" priority="1906" equalAverage="0" aboveAverage="0" dxfId="3" text="" percent="0" bottom="0">
      <formula>AND(M476&gt;=1,M476&lt;5)</formula>
    </cfRule>
  </conditionalFormatting>
  <conditionalFormatting sqref="M477">
    <cfRule type="expression" rank="0" priority="1907" equalAverage="0" aboveAverage="0" dxfId="0" text="" percent="0" bottom="0">
      <formula>M477&gt;=20</formula>
    </cfRule>
    <cfRule type="expression" rank="0" priority="1908" equalAverage="0" aboveAverage="0" dxfId="1" text="" percent="0" bottom="0">
      <formula>AND(M477&gt;=10,M477&lt;20)</formula>
    </cfRule>
    <cfRule type="expression" rank="0" priority="1909" equalAverage="0" aboveAverage="0" dxfId="2" text="" percent="0" bottom="0">
      <formula>AND(M477&gt;=5,M477&lt;10)</formula>
    </cfRule>
    <cfRule type="expression" rank="0" priority="1910" equalAverage="0" aboveAverage="0" dxfId="3" text="" percent="0" bottom="0">
      <formula>AND(M477&gt;=1,M477&lt;5)</formula>
    </cfRule>
  </conditionalFormatting>
  <conditionalFormatting sqref="M478">
    <cfRule type="expression" rank="0" priority="1911" equalAverage="0" aboveAverage="0" dxfId="0" text="" percent="0" bottom="0">
      <formula>M478&gt;=20</formula>
    </cfRule>
    <cfRule type="expression" rank="0" priority="1912" equalAverage="0" aboveAverage="0" dxfId="1" text="" percent="0" bottom="0">
      <formula>AND(M478&gt;=10,M478&lt;20)</formula>
    </cfRule>
    <cfRule type="expression" rank="0" priority="1913" equalAverage="0" aboveAverage="0" dxfId="2" text="" percent="0" bottom="0">
      <formula>AND(M478&gt;=5,M478&lt;10)</formula>
    </cfRule>
    <cfRule type="expression" rank="0" priority="1914" equalAverage="0" aboveAverage="0" dxfId="3" text="" percent="0" bottom="0">
      <formula>AND(M478&gt;=1,M478&lt;5)</formula>
    </cfRule>
  </conditionalFormatting>
  <conditionalFormatting sqref="M479">
    <cfRule type="expression" rank="0" priority="1915" equalAverage="0" aboveAverage="0" dxfId="0" text="" percent="0" bottom="0">
      <formula>M479&gt;=20</formula>
    </cfRule>
    <cfRule type="expression" rank="0" priority="1916" equalAverage="0" aboveAverage="0" dxfId="1" text="" percent="0" bottom="0">
      <formula>AND(M479&gt;=10,M479&lt;20)</formula>
    </cfRule>
    <cfRule type="expression" rank="0" priority="1917" equalAverage="0" aboveAverage="0" dxfId="2" text="" percent="0" bottom="0">
      <formula>AND(M479&gt;=5,M479&lt;10)</formula>
    </cfRule>
    <cfRule type="expression" rank="0" priority="1918" equalAverage="0" aboveAverage="0" dxfId="3" text="" percent="0" bottom="0">
      <formula>AND(M479&gt;=1,M479&lt;5)</formula>
    </cfRule>
  </conditionalFormatting>
  <conditionalFormatting sqref="M480">
    <cfRule type="expression" rank="0" priority="1919" equalAverage="0" aboveAverage="0" dxfId="0" text="" percent="0" bottom="0">
      <formula>M480&gt;=20</formula>
    </cfRule>
    <cfRule type="expression" rank="0" priority="1920" equalAverage="0" aboveAverage="0" dxfId="1" text="" percent="0" bottom="0">
      <formula>AND(M480&gt;=10,M480&lt;20)</formula>
    </cfRule>
    <cfRule type="expression" rank="0" priority="1921" equalAverage="0" aboveAverage="0" dxfId="2" text="" percent="0" bottom="0">
      <formula>AND(M480&gt;=5,M480&lt;10)</formula>
    </cfRule>
    <cfRule type="expression" rank="0" priority="1922" equalAverage="0" aboveAverage="0" dxfId="3" text="" percent="0" bottom="0">
      <formula>AND(M480&gt;=1,M480&lt;5)</formula>
    </cfRule>
  </conditionalFormatting>
  <conditionalFormatting sqref="M481">
    <cfRule type="expression" rank="0" priority="1923" equalAverage="0" aboveAverage="0" dxfId="0" text="" percent="0" bottom="0">
      <formula>M481&gt;=20</formula>
    </cfRule>
    <cfRule type="expression" rank="0" priority="1924" equalAverage="0" aboveAverage="0" dxfId="1" text="" percent="0" bottom="0">
      <formula>AND(M481&gt;=10,M481&lt;20)</formula>
    </cfRule>
    <cfRule type="expression" rank="0" priority="1925" equalAverage="0" aboveAverage="0" dxfId="2" text="" percent="0" bottom="0">
      <formula>AND(M481&gt;=5,M481&lt;10)</formula>
    </cfRule>
    <cfRule type="expression" rank="0" priority="1926" equalAverage="0" aboveAverage="0" dxfId="3" text="" percent="0" bottom="0">
      <formula>AND(M481&gt;=1,M481&lt;5)</formula>
    </cfRule>
  </conditionalFormatting>
  <conditionalFormatting sqref="M482">
    <cfRule type="expression" rank="0" priority="1927" equalAverage="0" aboveAverage="0" dxfId="0" text="" percent="0" bottom="0">
      <formula>M482&gt;=20</formula>
    </cfRule>
    <cfRule type="expression" rank="0" priority="1928" equalAverage="0" aboveAverage="0" dxfId="1" text="" percent="0" bottom="0">
      <formula>AND(M482&gt;=10,M482&lt;20)</formula>
    </cfRule>
    <cfRule type="expression" rank="0" priority="1929" equalAverage="0" aboveAverage="0" dxfId="2" text="" percent="0" bottom="0">
      <formula>AND(M482&gt;=5,M482&lt;10)</formula>
    </cfRule>
    <cfRule type="expression" rank="0" priority="1930" equalAverage="0" aboveAverage="0" dxfId="3" text="" percent="0" bottom="0">
      <formula>AND(M482&gt;=1,M482&lt;5)</formula>
    </cfRule>
  </conditionalFormatting>
  <conditionalFormatting sqref="M483">
    <cfRule type="expression" rank="0" priority="1931" equalAverage="0" aboveAverage="0" dxfId="0" text="" percent="0" bottom="0">
      <formula>M483&gt;=20</formula>
    </cfRule>
    <cfRule type="expression" rank="0" priority="1932" equalAverage="0" aboveAverage="0" dxfId="1" text="" percent="0" bottom="0">
      <formula>AND(M483&gt;=10,M483&lt;20)</formula>
    </cfRule>
    <cfRule type="expression" rank="0" priority="1933" equalAverage="0" aboveAverage="0" dxfId="2" text="" percent="0" bottom="0">
      <formula>AND(M483&gt;=5,M483&lt;10)</formula>
    </cfRule>
    <cfRule type="expression" rank="0" priority="1934" equalAverage="0" aboveAverage="0" dxfId="3" text="" percent="0" bottom="0">
      <formula>AND(M483&gt;=1,M483&lt;5)</formula>
    </cfRule>
  </conditionalFormatting>
  <conditionalFormatting sqref="M484">
    <cfRule type="expression" rank="0" priority="1935" equalAverage="0" aboveAverage="0" dxfId="0" text="" percent="0" bottom="0">
      <formula>M484&gt;=20</formula>
    </cfRule>
    <cfRule type="expression" rank="0" priority="1936" equalAverage="0" aboveAverage="0" dxfId="1" text="" percent="0" bottom="0">
      <formula>AND(M484&gt;=10,M484&lt;20)</formula>
    </cfRule>
    <cfRule type="expression" rank="0" priority="1937" equalAverage="0" aboveAverage="0" dxfId="2" text="" percent="0" bottom="0">
      <formula>AND(M484&gt;=5,M484&lt;10)</formula>
    </cfRule>
    <cfRule type="expression" rank="0" priority="1938" equalAverage="0" aboveAverage="0" dxfId="3" text="" percent="0" bottom="0">
      <formula>AND(M484&gt;=1,M484&lt;5)</formula>
    </cfRule>
  </conditionalFormatting>
  <conditionalFormatting sqref="M485">
    <cfRule type="expression" rank="0" priority="1939" equalAverage="0" aboveAverage="0" dxfId="0" text="" percent="0" bottom="0">
      <formula>M485&gt;=20</formula>
    </cfRule>
    <cfRule type="expression" rank="0" priority="1940" equalAverage="0" aboveAverage="0" dxfId="1" text="" percent="0" bottom="0">
      <formula>AND(M485&gt;=10,M485&lt;20)</formula>
    </cfRule>
    <cfRule type="expression" rank="0" priority="1941" equalAverage="0" aboveAverage="0" dxfId="2" text="" percent="0" bottom="0">
      <formula>AND(M485&gt;=5,M485&lt;10)</formula>
    </cfRule>
    <cfRule type="expression" rank="0" priority="1942" equalAverage="0" aboveAverage="0" dxfId="3" text="" percent="0" bottom="0">
      <formula>AND(M485&gt;=1,M485&lt;5)</formula>
    </cfRule>
  </conditionalFormatting>
  <conditionalFormatting sqref="M486">
    <cfRule type="expression" rank="0" priority="1943" equalAverage="0" aboveAverage="0" dxfId="0" text="" percent="0" bottom="0">
      <formula>M486&gt;=20</formula>
    </cfRule>
    <cfRule type="expression" rank="0" priority="1944" equalAverage="0" aboveAverage="0" dxfId="1" text="" percent="0" bottom="0">
      <formula>AND(M486&gt;=10,M486&lt;20)</formula>
    </cfRule>
    <cfRule type="expression" rank="0" priority="1945" equalAverage="0" aboveAverage="0" dxfId="2" text="" percent="0" bottom="0">
      <formula>AND(M486&gt;=5,M486&lt;10)</formula>
    </cfRule>
    <cfRule type="expression" rank="0" priority="1946" equalAverage="0" aboveAverage="0" dxfId="3" text="" percent="0" bottom="0">
      <formula>AND(M486&gt;=1,M486&lt;5)</formula>
    </cfRule>
  </conditionalFormatting>
  <conditionalFormatting sqref="M487">
    <cfRule type="expression" rank="0" priority="1947" equalAverage="0" aboveAverage="0" dxfId="0" text="" percent="0" bottom="0">
      <formula>M487&gt;=20</formula>
    </cfRule>
    <cfRule type="expression" rank="0" priority="1948" equalAverage="0" aboveAverage="0" dxfId="1" text="" percent="0" bottom="0">
      <formula>AND(M487&gt;=10,M487&lt;20)</formula>
    </cfRule>
    <cfRule type="expression" rank="0" priority="1949" equalAverage="0" aboveAverage="0" dxfId="2" text="" percent="0" bottom="0">
      <formula>AND(M487&gt;=5,M487&lt;10)</formula>
    </cfRule>
    <cfRule type="expression" rank="0" priority="1950" equalAverage="0" aboveAverage="0" dxfId="3" text="" percent="0" bottom="0">
      <formula>AND(M487&gt;=1,M487&lt;5)</formula>
    </cfRule>
  </conditionalFormatting>
  <conditionalFormatting sqref="M488">
    <cfRule type="expression" rank="0" priority="1951" equalAverage="0" aboveAverage="0" dxfId="0" text="" percent="0" bottom="0">
      <formula>M488&gt;=20</formula>
    </cfRule>
    <cfRule type="expression" rank="0" priority="1952" equalAverage="0" aboveAverage="0" dxfId="1" text="" percent="0" bottom="0">
      <formula>AND(M488&gt;=10,M488&lt;20)</formula>
    </cfRule>
    <cfRule type="expression" rank="0" priority="1953" equalAverage="0" aboveAverage="0" dxfId="2" text="" percent="0" bottom="0">
      <formula>AND(M488&gt;=5,M488&lt;10)</formula>
    </cfRule>
    <cfRule type="expression" rank="0" priority="1954" equalAverage="0" aboveAverage="0" dxfId="3" text="" percent="0" bottom="0">
      <formula>AND(M488&gt;=1,M488&lt;5)</formula>
    </cfRule>
  </conditionalFormatting>
  <conditionalFormatting sqref="M489">
    <cfRule type="expression" rank="0" priority="1955" equalAverage="0" aboveAverage="0" dxfId="0" text="" percent="0" bottom="0">
      <formula>M489&gt;=20</formula>
    </cfRule>
    <cfRule type="expression" rank="0" priority="1956" equalAverage="0" aboveAverage="0" dxfId="1" text="" percent="0" bottom="0">
      <formula>AND(M489&gt;=10,M489&lt;20)</formula>
    </cfRule>
    <cfRule type="expression" rank="0" priority="1957" equalAverage="0" aboveAverage="0" dxfId="2" text="" percent="0" bottom="0">
      <formula>AND(M489&gt;=5,M489&lt;10)</formula>
    </cfRule>
    <cfRule type="expression" rank="0" priority="1958" equalAverage="0" aboveAverage="0" dxfId="3" text="" percent="0" bottom="0">
      <formula>AND(M489&gt;=1,M489&lt;5)</formula>
    </cfRule>
  </conditionalFormatting>
  <conditionalFormatting sqref="M490">
    <cfRule type="expression" rank="0" priority="1959" equalAverage="0" aboveAverage="0" dxfId="0" text="" percent="0" bottom="0">
      <formula>M490&gt;=20</formula>
    </cfRule>
    <cfRule type="expression" rank="0" priority="1960" equalAverage="0" aboveAverage="0" dxfId="1" text="" percent="0" bottom="0">
      <formula>AND(M490&gt;=10,M490&lt;20)</formula>
    </cfRule>
    <cfRule type="expression" rank="0" priority="1961" equalAverage="0" aboveAverage="0" dxfId="2" text="" percent="0" bottom="0">
      <formula>AND(M490&gt;=5,M490&lt;10)</formula>
    </cfRule>
    <cfRule type="expression" rank="0" priority="1962" equalAverage="0" aboveAverage="0" dxfId="3" text="" percent="0" bottom="0">
      <formula>AND(M490&gt;=1,M490&lt;5)</formula>
    </cfRule>
  </conditionalFormatting>
  <conditionalFormatting sqref="M491">
    <cfRule type="expression" rank="0" priority="1963" equalAverage="0" aboveAverage="0" dxfId="0" text="" percent="0" bottom="0">
      <formula>M491&gt;=20</formula>
    </cfRule>
    <cfRule type="expression" rank="0" priority="1964" equalAverage="0" aboveAverage="0" dxfId="1" text="" percent="0" bottom="0">
      <formula>AND(M491&gt;=10,M491&lt;20)</formula>
    </cfRule>
    <cfRule type="expression" rank="0" priority="1965" equalAverage="0" aboveAverage="0" dxfId="2" text="" percent="0" bottom="0">
      <formula>AND(M491&gt;=5,M491&lt;10)</formula>
    </cfRule>
    <cfRule type="expression" rank="0" priority="1966" equalAverage="0" aboveAverage="0" dxfId="3" text="" percent="0" bottom="0">
      <formula>AND(M491&gt;=1,M491&lt;5)</formula>
    </cfRule>
  </conditionalFormatting>
  <conditionalFormatting sqref="M492">
    <cfRule type="expression" rank="0" priority="1967" equalAverage="0" aboveAverage="0" dxfId="0" text="" percent="0" bottom="0">
      <formula>M492&gt;=20</formula>
    </cfRule>
    <cfRule type="expression" rank="0" priority="1968" equalAverage="0" aboveAverage="0" dxfId="1" text="" percent="0" bottom="0">
      <formula>AND(M492&gt;=10,M492&lt;20)</formula>
    </cfRule>
    <cfRule type="expression" rank="0" priority="1969" equalAverage="0" aboveAverage="0" dxfId="2" text="" percent="0" bottom="0">
      <formula>AND(M492&gt;=5,M492&lt;10)</formula>
    </cfRule>
    <cfRule type="expression" rank="0" priority="1970" equalAverage="0" aboveAverage="0" dxfId="3" text="" percent="0" bottom="0">
      <formula>AND(M492&gt;=1,M492&lt;5)</formula>
    </cfRule>
  </conditionalFormatting>
  <conditionalFormatting sqref="M493">
    <cfRule type="expression" rank="0" priority="1971" equalAverage="0" aboveAverage="0" dxfId="0" text="" percent="0" bottom="0">
      <formula>M493&gt;=20</formula>
    </cfRule>
    <cfRule type="expression" rank="0" priority="1972" equalAverage="0" aboveAverage="0" dxfId="1" text="" percent="0" bottom="0">
      <formula>AND(M493&gt;=10,M493&lt;20)</formula>
    </cfRule>
    <cfRule type="expression" rank="0" priority="1973" equalAverage="0" aboveAverage="0" dxfId="2" text="" percent="0" bottom="0">
      <formula>AND(M493&gt;=5,M493&lt;10)</formula>
    </cfRule>
    <cfRule type="expression" rank="0" priority="1974" equalAverage="0" aboveAverage="0" dxfId="3" text="" percent="0" bottom="0">
      <formula>AND(M493&gt;=1,M493&lt;5)</formula>
    </cfRule>
  </conditionalFormatting>
  <conditionalFormatting sqref="M494">
    <cfRule type="expression" rank="0" priority="1975" equalAverage="0" aboveAverage="0" dxfId="0" text="" percent="0" bottom="0">
      <formula>M494&gt;=20</formula>
    </cfRule>
    <cfRule type="expression" rank="0" priority="1976" equalAverage="0" aboveAverage="0" dxfId="1" text="" percent="0" bottom="0">
      <formula>AND(M494&gt;=10,M494&lt;20)</formula>
    </cfRule>
    <cfRule type="expression" rank="0" priority="1977" equalAverage="0" aboveAverage="0" dxfId="2" text="" percent="0" bottom="0">
      <formula>AND(M494&gt;=5,M494&lt;10)</formula>
    </cfRule>
    <cfRule type="expression" rank="0" priority="1978" equalAverage="0" aboveAverage="0" dxfId="3" text="" percent="0" bottom="0">
      <formula>AND(M494&gt;=1,M494&lt;5)</formula>
    </cfRule>
  </conditionalFormatting>
  <conditionalFormatting sqref="M495">
    <cfRule type="expression" rank="0" priority="1979" equalAverage="0" aboveAverage="0" dxfId="0" text="" percent="0" bottom="0">
      <formula>M495&gt;=20</formula>
    </cfRule>
    <cfRule type="expression" rank="0" priority="1980" equalAverage="0" aboveAverage="0" dxfId="1" text="" percent="0" bottom="0">
      <formula>AND(M495&gt;=10,M495&lt;20)</formula>
    </cfRule>
    <cfRule type="expression" rank="0" priority="1981" equalAverage="0" aboveAverage="0" dxfId="2" text="" percent="0" bottom="0">
      <formula>AND(M495&gt;=5,M495&lt;10)</formula>
    </cfRule>
    <cfRule type="expression" rank="0" priority="1982" equalAverage="0" aboveAverage="0" dxfId="3" text="" percent="0" bottom="0">
      <formula>AND(M495&gt;=1,M495&lt;5)</formula>
    </cfRule>
  </conditionalFormatting>
  <conditionalFormatting sqref="M496">
    <cfRule type="expression" rank="0" priority="1983" equalAverage="0" aboveAverage="0" dxfId="0" text="" percent="0" bottom="0">
      <formula>M496&gt;=20</formula>
    </cfRule>
    <cfRule type="expression" rank="0" priority="1984" equalAverage="0" aboveAverage="0" dxfId="1" text="" percent="0" bottom="0">
      <formula>AND(M496&gt;=10,M496&lt;20)</formula>
    </cfRule>
    <cfRule type="expression" rank="0" priority="1985" equalAverage="0" aboveAverage="0" dxfId="2" text="" percent="0" bottom="0">
      <formula>AND(M496&gt;=5,M496&lt;10)</formula>
    </cfRule>
    <cfRule type="expression" rank="0" priority="1986" equalAverage="0" aboveAverage="0" dxfId="3" text="" percent="0" bottom="0">
      <formula>AND(M496&gt;=1,M496&lt;5)</formula>
    </cfRule>
  </conditionalFormatting>
  <conditionalFormatting sqref="M497">
    <cfRule type="expression" rank="0" priority="1987" equalAverage="0" aboveAverage="0" dxfId="0" text="" percent="0" bottom="0">
      <formula>M497&gt;=20</formula>
    </cfRule>
    <cfRule type="expression" rank="0" priority="1988" equalAverage="0" aboveAverage="0" dxfId="1" text="" percent="0" bottom="0">
      <formula>AND(M497&gt;=10,M497&lt;20)</formula>
    </cfRule>
    <cfRule type="expression" rank="0" priority="1989" equalAverage="0" aboveAverage="0" dxfId="2" text="" percent="0" bottom="0">
      <formula>AND(M497&gt;=5,M497&lt;10)</formula>
    </cfRule>
    <cfRule type="expression" rank="0" priority="1990" equalAverage="0" aboveAverage="0" dxfId="3" text="" percent="0" bottom="0">
      <formula>AND(M497&gt;=1,M497&lt;5)</formula>
    </cfRule>
  </conditionalFormatting>
  <conditionalFormatting sqref="M498">
    <cfRule type="expression" rank="0" priority="1991" equalAverage="0" aboveAverage="0" dxfId="0" text="" percent="0" bottom="0">
      <formula>M498&gt;=20</formula>
    </cfRule>
    <cfRule type="expression" rank="0" priority="1992" equalAverage="0" aboveAverage="0" dxfId="1" text="" percent="0" bottom="0">
      <formula>AND(M498&gt;=10,M498&lt;20)</formula>
    </cfRule>
    <cfRule type="expression" rank="0" priority="1993" equalAverage="0" aboveAverage="0" dxfId="2" text="" percent="0" bottom="0">
      <formula>AND(M498&gt;=5,M498&lt;10)</formula>
    </cfRule>
    <cfRule type="expression" rank="0" priority="1994" equalAverage="0" aboveAverage="0" dxfId="3" text="" percent="0" bottom="0">
      <formula>AND(M498&gt;=1,M498&lt;5)</formula>
    </cfRule>
  </conditionalFormatting>
  <conditionalFormatting sqref="M499">
    <cfRule type="expression" rank="0" priority="1995" equalAverage="0" aboveAverage="0" dxfId="0" text="" percent="0" bottom="0">
      <formula>M499&gt;=20</formula>
    </cfRule>
    <cfRule type="expression" rank="0" priority="1996" equalAverage="0" aboveAverage="0" dxfId="1" text="" percent="0" bottom="0">
      <formula>AND(M499&gt;=10,M499&lt;20)</formula>
    </cfRule>
    <cfRule type="expression" rank="0" priority="1997" equalAverage="0" aboveAverage="0" dxfId="2" text="" percent="0" bottom="0">
      <formula>AND(M499&gt;=5,M499&lt;10)</formula>
    </cfRule>
    <cfRule type="expression" rank="0" priority="1998" equalAverage="0" aboveAverage="0" dxfId="3" text="" percent="0" bottom="0">
      <formula>AND(M499&gt;=1,M499&lt;5)</formula>
    </cfRule>
  </conditionalFormatting>
  <dataValidations count="8">
    <dataValidation sqref="C5:C500" showDropDown="0" showInputMessage="0" showErrorMessage="0" allowBlank="1" type="list" errorStyle="stop" operator="between">
      <formula1>"CISA KEV,NIST NVD,US-CERT,AWS Security Bulletin,Azure Security Update,AI Governance Update,NIST Framework Update,ISO Update,Internal Assessment"</formula1>
      <formula2>0</formula2>
    </dataValidation>
    <dataValidation sqref="F5:F500" showDropDown="0" showInputMessage="0" showErrorMessage="0" allowBlank="1" type="list" errorStyle="stop" operator="between">
      <formula1>"IT — Network,IT — Application,IT — Endpoint,OT — Industrial,OT — SCADA,Cloud — IAM,Cloud — Storage,Cloud — Network,AI/ML — Model,AI/ML — Data,AI/ML — Governance,Physical"</formula1>
      <formula2>0</formula2>
    </dataValidation>
    <dataValidation sqref="K5:K500" showDropDown="0" showInputMessage="0" showErrorMessage="0" allowBlank="1" type="list" errorStyle="stop" operator="between">
      <formula1>"1,2,3,4,5"</formula1>
      <formula2>0</formula2>
    </dataValidation>
    <dataValidation sqref="L5:L500" showDropDown="0" showInputMessage="0" showErrorMessage="0" allowBlank="1" type="list" errorStyle="stop" operator="between">
      <formula1>"1,2,3,4,5"</formula1>
      <formula2>0</formula2>
    </dataValidation>
    <dataValidation sqref="N5:N500" showDropDown="0" showInputMessage="0" showErrorMessage="0" allowBlank="1" type="list" errorStyle="stop" operator="between">
      <formula1>"Critical,High,Medium,Low"</formula1>
      <formula2>0</formula2>
    </dataValidation>
    <dataValidation sqref="O5:O500" showDropDown="0" showInputMessage="0" showErrorMessage="0" allowBlank="1" type="list" errorStyle="stop" operator="between">
      <formula1>"Critical,High,Medium,Low"</formula1>
      <formula2>0</formula2>
    </dataValidation>
    <dataValidation sqref="Q5:Q500" showDropDown="0" showInputMessage="0" showErrorMessage="0" allowBlank="1" type="list" errorStyle="stop" operator="between">
      <formula1>"Critical,High,Medium,Low"</formula1>
      <formula2>0</formula2>
    </dataValidation>
    <dataValidation sqref="U5:U500" showDropDown="0" showInputMessage="0" showErrorMessage="0" allowBlank="1" type="list" errorStyle="stop" operator="between">
      <formula1>"Open,Mitigating,Closed,Accepted,Transferred"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" customWidth="1" style="41" min="1" max="1"/>
    <col width="28" customWidth="1" style="41" min="2" max="2"/>
    <col width="16" customWidth="1" style="41" min="3" max="3"/>
    <col width="3" customWidth="1" style="41" min="4" max="4"/>
    <col width="28" customWidth="1" style="41" min="5" max="5"/>
    <col width="16" customWidth="1" style="41" min="6" max="6"/>
  </cols>
  <sheetData>
    <row r="1" ht="39.75" customHeight="1" s="42">
      <c r="B1" s="43" t="inlineStr">
        <is>
          <t>GRC INTELLIGENCE DASHBOARD — BLAISE KINGKO</t>
        </is>
      </c>
    </row>
    <row r="3" ht="15" customHeight="1" s="42">
      <c r="B3" s="54" t="inlineStr">
        <is>
          <t>RISK SUMMARY</t>
        </is>
      </c>
      <c r="E3" s="55" t="inlineStr">
        <is>
          <t>RISKS BY SOURCE</t>
        </is>
      </c>
    </row>
    <row r="4" ht="21.75" customHeight="1" s="42">
      <c r="B4" s="56" t="inlineStr">
        <is>
          <t>Total Risks Identified</t>
        </is>
      </c>
      <c r="C4" s="57">
        <f>COUNTA('🛡️ Risk Register'!A5:A500)</f>
        <v/>
      </c>
      <c r="E4" s="58" t="inlineStr">
        <is>
          <t>CISA KEV</t>
        </is>
      </c>
      <c r="F4" s="59">
        <f>COUNTIF('🛡️ Risk Register'!C5:C500,"CISA KEV")</f>
        <v/>
      </c>
    </row>
    <row r="5" ht="21.75" customHeight="1" s="42">
      <c r="B5" s="60" t="inlineStr">
        <is>
          <t>Critical Risks</t>
        </is>
      </c>
      <c r="C5" s="61">
        <f>COUNTIF('🛡️ Risk Register'!N5:N500,"Critical")</f>
        <v/>
      </c>
      <c r="E5" s="62" t="inlineStr">
        <is>
          <t>NIST NVD</t>
        </is>
      </c>
      <c r="F5" s="63">
        <f>COUNTIF('🛡️ Risk Register'!C5:C500,"NIST NVD")</f>
        <v/>
      </c>
    </row>
    <row r="6" ht="21.75" customHeight="1" s="42">
      <c r="B6" s="56" t="inlineStr">
        <is>
          <t>High Risks</t>
        </is>
      </c>
      <c r="C6" s="57">
        <f>COUNTIF('🛡️ Risk Register'!N5:N500,"High")</f>
        <v/>
      </c>
      <c r="E6" s="58" t="inlineStr">
        <is>
          <t>US-CERT</t>
        </is>
      </c>
      <c r="F6" s="59">
        <f>COUNTIF('🛡️ Risk Register'!C5:C500,"US-CERT")</f>
        <v/>
      </c>
    </row>
    <row r="7" ht="21.75" customHeight="1" s="42">
      <c r="B7" s="60" t="inlineStr">
        <is>
          <t>Medium Risks</t>
        </is>
      </c>
      <c r="C7" s="61">
        <f>COUNTIF('🛡️ Risk Register'!N5:N500,"Medium")</f>
        <v/>
      </c>
      <c r="E7" s="62" t="inlineStr">
        <is>
          <t>AWS Security Bulletin</t>
        </is>
      </c>
      <c r="F7" s="63">
        <f>COUNTIF('🛡️ Risk Register'!C5:C500,"AWS Security Bulletin")</f>
        <v/>
      </c>
    </row>
    <row r="8" ht="21.75" customHeight="1" s="42">
      <c r="B8" s="56" t="inlineStr">
        <is>
          <t>Low Risks</t>
        </is>
      </c>
      <c r="C8" s="57">
        <f>COUNTIF('🛡️ Risk Register'!N5:N500,"Low")</f>
        <v/>
      </c>
      <c r="E8" s="58" t="inlineStr">
        <is>
          <t>Azure Security Update</t>
        </is>
      </c>
      <c r="F8" s="59">
        <f>COUNTIF('🛡️ Risk Register'!C5:C500,"Azure Security Update")</f>
        <v/>
      </c>
    </row>
    <row r="9" ht="21.75" customHeight="1" s="42">
      <c r="B9" s="60" t="inlineStr">
        <is>
          <t>Open Risks</t>
        </is>
      </c>
      <c r="C9" s="61">
        <f>COUNTIF('🛡️ Risk Register'!U5:U500,"Open")</f>
        <v/>
      </c>
      <c r="E9" s="62" t="inlineStr">
        <is>
          <t>AI Governance Update</t>
        </is>
      </c>
      <c r="F9" s="63">
        <f>COUNTIF('🛡️ Risk Register'!C5:C500,"AI Governance Update")</f>
        <v/>
      </c>
    </row>
    <row r="10" ht="21.75" customHeight="1" s="42">
      <c r="B10" s="56" t="inlineStr">
        <is>
          <t>Mitigating</t>
        </is>
      </c>
      <c r="C10" s="57">
        <f>COUNTIF('🛡️ Risk Register'!U5:U500,"Mitigating")</f>
        <v/>
      </c>
      <c r="E10" s="58" t="inlineStr">
        <is>
          <t>NIST Framework Update</t>
        </is>
      </c>
      <c r="F10" s="59">
        <f>COUNTIF('🛡️ Risk Register'!C5:C500,"NIST Framework Update")</f>
        <v/>
      </c>
    </row>
    <row r="11" ht="21.75" customHeight="1" s="42">
      <c r="B11" s="60" t="inlineStr">
        <is>
          <t>Closed This Period</t>
        </is>
      </c>
      <c r="C11" s="61">
        <f>COUNTIF('🛡️ Risk Register'!U5:U500,"Closed")</f>
        <v/>
      </c>
      <c r="E11" s="62" t="inlineStr">
        <is>
          <t>ISO Update</t>
        </is>
      </c>
      <c r="F11" s="63">
        <f>COUNTIF('🛡️ Risk Register'!C5:C500,"ISO Update")</f>
        <v/>
      </c>
    </row>
    <row r="12" ht="21.75" customHeight="1" s="42">
      <c r="B12" s="56" t="inlineStr">
        <is>
          <t>AI/ML Risks</t>
        </is>
      </c>
      <c r="C12" s="57">
        <f>COUNTIFS('🛡️ Risk Register'!F5:F500,"AI/ML*")</f>
        <v/>
      </c>
      <c r="E12" s="58" t="inlineStr">
        <is>
          <t>Internal Assessment</t>
        </is>
      </c>
      <c r="F12" s="59">
        <f>COUNTIF('🛡️ Risk Register'!C5:C500,"Internal Assessment")</f>
        <v/>
      </c>
    </row>
    <row r="13" ht="21.75" customHeight="1" s="42">
      <c r="B13" s="60" t="inlineStr">
        <is>
          <t>Cloud Risks</t>
        </is>
      </c>
      <c r="C13" s="61">
        <f>COUNTIFS('🛡️ Risk Register'!F5:F500,"Cloud*")</f>
        <v/>
      </c>
    </row>
    <row r="14" ht="21.75" customHeight="1" s="42">
      <c r="B14" s="56" t="inlineStr">
        <is>
          <t>OT/ICS Risks</t>
        </is>
      </c>
      <c r="C14" s="57">
        <f>COUNTIFS('🛡️ Risk Register'!F5:F500,"OT*")</f>
        <v/>
      </c>
    </row>
    <row r="15" ht="21.75" customHeight="1" s="42">
      <c r="B15" s="60" t="inlineStr">
        <is>
          <t>Past Due (Overdue)</t>
        </is>
      </c>
      <c r="C15" s="61">
        <f>COUNTIFS('🛡️ Risk Register'!V5:V500,"&lt;"&amp;TODAY(),'🛡️ Risk Register'!U5:U500,"Open")</f>
        <v/>
      </c>
    </row>
    <row r="17" ht="15" customHeight="1" s="42">
      <c r="B17" s="64" t="inlineStr">
        <is>
          <t>FRAMEWORK COVERAGE</t>
        </is>
      </c>
    </row>
    <row r="18" ht="15" customHeight="1" s="42">
      <c r="B18" s="65" t="inlineStr">
        <is>
          <t>NIST CSF 2.0</t>
        </is>
      </c>
      <c r="C18" s="66">
        <f>COUNTIF('🛡️ Risk Register'!I5:I500,"*NIST CSF*")</f>
        <v/>
      </c>
    </row>
    <row r="19" ht="15" customHeight="1" s="42">
      <c r="B19" s="62" t="inlineStr">
        <is>
          <t>NIST 800-53</t>
        </is>
      </c>
      <c r="C19" s="63">
        <f>COUNTIF('🛡️ Risk Register'!I5:I500,"*800-53*")</f>
        <v/>
      </c>
    </row>
    <row r="20" ht="15" customHeight="1" s="42">
      <c r="B20" s="65" t="inlineStr">
        <is>
          <t>ISO 27001</t>
        </is>
      </c>
      <c r="C20" s="66">
        <f>COUNTIF('🛡️ Risk Register'!I5:I500,"*ISO 27001*")</f>
        <v/>
      </c>
    </row>
    <row r="21" ht="15" customHeight="1" s="42">
      <c r="B21" s="62" t="inlineStr">
        <is>
          <t>CIS Controls</t>
        </is>
      </c>
      <c r="C21" s="63">
        <f>COUNTIF('🛡️ Risk Register'!I5:I500,"*CIS Control*")</f>
        <v/>
      </c>
    </row>
    <row r="22" ht="15" customHeight="1" s="42">
      <c r="B22" s="65" t="inlineStr">
        <is>
          <t>NIST AI RMF</t>
        </is>
      </c>
      <c r="C22" s="66">
        <f>COUNTIF('🛡️ Risk Register'!I5:I500,"*NIST AI RMF*")</f>
        <v/>
      </c>
    </row>
    <row r="23" ht="15" customHeight="1" s="42">
      <c r="B23" s="62" t="inlineStr">
        <is>
          <t>ISO 42001</t>
        </is>
      </c>
      <c r="C23" s="63">
        <f>COUNTIF('🛡️ Risk Register'!I5:I500,"*ISO 42001*")</f>
        <v/>
      </c>
    </row>
    <row r="24" ht="15" customHeight="1" s="42">
      <c r="B24" s="65" t="inlineStr">
        <is>
          <t>EU AI Act</t>
        </is>
      </c>
      <c r="C24" s="66">
        <f>COUNTIF('🛡️ Risk Register'!I5:I500,"*EU AI Act*")</f>
        <v/>
      </c>
    </row>
  </sheetData>
  <mergeCells count="4">
    <mergeCell ref="B3:C3"/>
    <mergeCell ref="E3:F3"/>
    <mergeCell ref="B1:F1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20" customWidth="1" style="41" min="1" max="1"/>
    <col width="14" customWidth="1" style="41" min="2" max="6"/>
    <col width="3" customWidth="1" style="41" min="7" max="7"/>
    <col width="30" customWidth="1" style="41" min="8" max="8"/>
  </cols>
  <sheetData>
    <row r="1" ht="36" customHeight="1" s="42">
      <c r="B1" s="67" t="inlineStr">
        <is>
          <t>RISK HEAT MAP — LIKELIHOOD vs IMPACT</t>
        </is>
      </c>
    </row>
    <row r="3" ht="15" customHeight="1" s="42">
      <c r="A3" s="68" t="inlineStr">
        <is>
          <t>LIKELIHOOD ↓</t>
        </is>
      </c>
      <c r="B3" s="68" t="inlineStr">
        <is>
          <t>IMPACT →</t>
        </is>
      </c>
    </row>
    <row r="4" ht="19.5" customHeight="1" s="42">
      <c r="B4" s="69" t="inlineStr">
        <is>
          <t>1 — Minimal</t>
        </is>
      </c>
      <c r="C4" s="69" t="inlineStr">
        <is>
          <t>2 — Minor</t>
        </is>
      </c>
      <c r="D4" s="69" t="inlineStr">
        <is>
          <t>3 — Moderate</t>
        </is>
      </c>
      <c r="E4" s="69" t="inlineStr">
        <is>
          <t>4 — Major</t>
        </is>
      </c>
      <c r="F4" s="69" t="inlineStr">
        <is>
          <t>5 — Catastrophic</t>
        </is>
      </c>
      <c r="H4" s="70" t="inlineStr">
        <is>
          <t>LEGEND</t>
        </is>
      </c>
    </row>
    <row r="5" ht="39.75" customHeight="1" s="42">
      <c r="A5" s="69" t="inlineStr">
        <is>
          <t>5 — Almost Certain</t>
        </is>
      </c>
      <c r="B5" s="71" t="inlineStr">
        <is>
          <t>5
Medium</t>
        </is>
      </c>
      <c r="C5" s="72" t="inlineStr">
        <is>
          <t>10
High</t>
        </is>
      </c>
      <c r="D5" s="73" t="inlineStr">
        <is>
          <t>15
Critical</t>
        </is>
      </c>
      <c r="E5" s="73" t="inlineStr">
        <is>
          <t>20
Critical</t>
        </is>
      </c>
      <c r="F5" s="74" t="inlineStr">
        <is>
          <t>25
Critical</t>
        </is>
      </c>
      <c r="H5" s="75" t="inlineStr">
        <is>
          <t>Critical (Score 20-25)</t>
        </is>
      </c>
    </row>
    <row r="6" ht="39.75" customHeight="1" s="42">
      <c r="A6" s="69" t="inlineStr">
        <is>
          <t>4 — Likely</t>
        </is>
      </c>
      <c r="B6" s="76" t="inlineStr">
        <is>
          <t>4
Low</t>
        </is>
      </c>
      <c r="C6" s="77" t="inlineStr">
        <is>
          <t>8
Medium</t>
        </is>
      </c>
      <c r="D6" s="72" t="inlineStr">
        <is>
          <t>12
High</t>
        </is>
      </c>
      <c r="E6" s="73" t="inlineStr">
        <is>
          <t>16
Critical</t>
        </is>
      </c>
      <c r="F6" s="73" t="inlineStr">
        <is>
          <t>20
Critical</t>
        </is>
      </c>
      <c r="H6" s="78" t="inlineStr">
        <is>
          <t>High (Score 10-19)</t>
        </is>
      </c>
    </row>
    <row r="7" ht="39.75" customHeight="1" s="42">
      <c r="A7" s="69" t="inlineStr">
        <is>
          <t>3 — Possible</t>
        </is>
      </c>
      <c r="B7" s="79" t="inlineStr">
        <is>
          <t>3
Low</t>
        </is>
      </c>
      <c r="C7" s="71" t="inlineStr">
        <is>
          <t>6
Medium</t>
        </is>
      </c>
      <c r="D7" s="77" t="inlineStr">
        <is>
          <t>9
Medium</t>
        </is>
      </c>
      <c r="E7" s="72" t="inlineStr">
        <is>
          <t>12
High</t>
        </is>
      </c>
      <c r="F7" s="73" t="inlineStr">
        <is>
          <t>15
Critical</t>
        </is>
      </c>
      <c r="H7" s="80" t="inlineStr">
        <is>
          <t>Medium (Score 5-9)</t>
        </is>
      </c>
    </row>
    <row r="8" ht="39.75" customHeight="1" s="42">
      <c r="A8" s="69" t="inlineStr">
        <is>
          <t>2 — Unlikely</t>
        </is>
      </c>
      <c r="B8" s="79" t="inlineStr">
        <is>
          <t>2
Low</t>
        </is>
      </c>
      <c r="C8" s="79" t="inlineStr">
        <is>
          <t>4
Low</t>
        </is>
      </c>
      <c r="D8" s="71" t="inlineStr">
        <is>
          <t>6
Medium</t>
        </is>
      </c>
      <c r="E8" s="77" t="inlineStr">
        <is>
          <t>8
Medium</t>
        </is>
      </c>
      <c r="F8" s="72" t="inlineStr">
        <is>
          <t>10
High</t>
        </is>
      </c>
      <c r="H8" s="81" t="inlineStr">
        <is>
          <t>Low (Score 1-4)</t>
        </is>
      </c>
    </row>
    <row r="9" ht="39.75" customHeight="1" s="42">
      <c r="A9" s="69" t="inlineStr">
        <is>
          <t>1 — Rare</t>
        </is>
      </c>
      <c r="B9" s="79" t="inlineStr">
        <is>
          <t>1
Low</t>
        </is>
      </c>
      <c r="C9" s="79" t="inlineStr">
        <is>
          <t>2
Low</t>
        </is>
      </c>
      <c r="D9" s="79" t="inlineStr">
        <is>
          <t>3
Low</t>
        </is>
      </c>
      <c r="E9" s="76" t="inlineStr">
        <is>
          <t>4
Low</t>
        </is>
      </c>
      <c r="F9" s="71" t="inlineStr">
        <is>
          <t>5
Medium</t>
        </is>
      </c>
    </row>
  </sheetData>
  <mergeCells count="1">
    <mergeCell ref="B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" customWidth="1" style="41" min="1" max="1"/>
    <col width="24" customWidth="1" style="41" min="2" max="2"/>
    <col width="40" customWidth="1" style="41" min="3" max="3"/>
    <col width="18" customWidth="1" style="41" min="4" max="5"/>
    <col width="30" customWidth="1" style="41" min="6" max="6"/>
  </cols>
  <sheetData>
    <row r="1" ht="36" customHeight="1" s="42">
      <c r="B1" s="67" t="inlineStr">
        <is>
          <t>INTELLIGENCE MONITORING SOURCES — BLAISE KINGKO GRC PROGRAM</t>
        </is>
      </c>
    </row>
    <row r="2" ht="21.75" customHeight="1" s="42">
      <c r="B2" s="82" t="inlineStr">
        <is>
          <t>SOURCE</t>
        </is>
      </c>
      <c r="C2" s="82" t="inlineStr">
        <is>
          <t>URL / FEED</t>
        </is>
      </c>
      <c r="D2" s="82" t="inlineStr">
        <is>
          <t>CATEGORY</t>
        </is>
      </c>
      <c r="E2" s="82" t="inlineStr">
        <is>
          <t>FREQUENCY</t>
        </is>
      </c>
      <c r="F2" s="82" t="inlineStr">
        <is>
          <t>FRAMEWORK RELEVANCE</t>
        </is>
      </c>
    </row>
    <row r="3" ht="21.75" customHeight="1" s="42">
      <c r="B3" s="62" t="inlineStr">
        <is>
          <t>CISA KEV</t>
        </is>
      </c>
      <c r="C3" s="62" t="inlineStr">
        <is>
          <t>https://www.cisa.gov/known-exploited-vulnerabilities-catalog</t>
        </is>
      </c>
      <c r="D3" s="62" t="inlineStr">
        <is>
          <t>Threat Intel</t>
        </is>
      </c>
      <c r="E3" s="62" t="inlineStr">
        <is>
          <t>Daily</t>
        </is>
      </c>
      <c r="F3" s="62" t="inlineStr">
        <is>
          <t>NIST CSF: DE.CM | NIST 800-53: RA-5, SI-2</t>
        </is>
      </c>
    </row>
    <row r="4" ht="21.75" customHeight="1" s="42">
      <c r="B4" s="58" t="inlineStr">
        <is>
          <t>CISA Advisories</t>
        </is>
      </c>
      <c r="C4" s="58" t="inlineStr">
        <is>
          <t>https://www.cisa.gov/news-events/cybersecurity-advisories</t>
        </is>
      </c>
      <c r="D4" s="58" t="inlineStr">
        <is>
          <t>Threat Intel</t>
        </is>
      </c>
      <c r="E4" s="58" t="inlineStr">
        <is>
          <t>Weekly</t>
        </is>
      </c>
      <c r="F4" s="58" t="inlineStr">
        <is>
          <t>NIST CSF: DE.AE | NIST 800-53: IR-4, SI-5</t>
        </is>
      </c>
    </row>
    <row r="5" ht="21.75" customHeight="1" s="42">
      <c r="B5" s="62" t="inlineStr">
        <is>
          <t>US-CERT Alerts</t>
        </is>
      </c>
      <c r="C5" s="62" t="inlineStr">
        <is>
          <t>https://www.cisa.gov/uscert/ncas/alerts</t>
        </is>
      </c>
      <c r="D5" s="62" t="inlineStr">
        <is>
          <t>Threat Intel</t>
        </is>
      </c>
      <c r="E5" s="62" t="inlineStr">
        <is>
          <t>Weekly</t>
        </is>
      </c>
      <c r="F5" s="62" t="inlineStr">
        <is>
          <t>NIST CSF: RS.CO | NIST 800-53: IR-6</t>
        </is>
      </c>
    </row>
    <row r="6" ht="21.75" customHeight="1" s="42">
      <c r="B6" s="58" t="inlineStr">
        <is>
          <t>NIST NVD</t>
        </is>
      </c>
      <c r="C6" s="58" t="inlineStr">
        <is>
          <t>https://nvd.nist.gov/vuln/search</t>
        </is>
      </c>
      <c r="D6" s="58" t="inlineStr">
        <is>
          <t>Vulnerability</t>
        </is>
      </c>
      <c r="E6" s="58" t="inlineStr">
        <is>
          <t>Weekly</t>
        </is>
      </c>
      <c r="F6" s="58" t="inlineStr">
        <is>
          <t>NIST 800-53: RA-5 | CIS Control 7</t>
        </is>
      </c>
    </row>
    <row r="7" ht="21.75" customHeight="1" s="42">
      <c r="B7" s="62" t="inlineStr">
        <is>
          <t>NIST 800-53 Updates</t>
        </is>
      </c>
      <c r="C7" s="62" t="inlineStr">
        <is>
          <t>https://csrc.nist.gov/publications/detail/sp/800-53/rev-5/final</t>
        </is>
      </c>
      <c r="D7" s="62" t="inlineStr">
        <is>
          <t>Framework</t>
        </is>
      </c>
      <c r="E7" s="62" t="inlineStr">
        <is>
          <t>Quarterly</t>
        </is>
      </c>
      <c r="F7" s="62" t="inlineStr">
        <is>
          <t>NIST 800-53 all control families</t>
        </is>
      </c>
    </row>
    <row r="8" ht="21.75" customHeight="1" s="42">
      <c r="B8" s="58" t="inlineStr">
        <is>
          <t>NIST CSF 2.0 Updates</t>
        </is>
      </c>
      <c r="C8" s="58" t="inlineStr">
        <is>
          <t>https://www.nist.gov/cyberframework</t>
        </is>
      </c>
      <c r="D8" s="58" t="inlineStr">
        <is>
          <t>Framework</t>
        </is>
      </c>
      <c r="E8" s="58" t="inlineStr">
        <is>
          <t>Quarterly</t>
        </is>
      </c>
      <c r="F8" s="58" t="inlineStr">
        <is>
          <t>NIST CSF 2.0 all functions</t>
        </is>
      </c>
    </row>
    <row r="9" ht="21.75" customHeight="1" s="42">
      <c r="B9" s="62" t="inlineStr">
        <is>
          <t>NIST AI RMF Updates</t>
        </is>
      </c>
      <c r="C9" s="62" t="inlineStr">
        <is>
          <t>https://www.nist.gov/artificial-intelligence</t>
        </is>
      </c>
      <c r="D9" s="62" t="inlineStr">
        <is>
          <t>AI Governance</t>
        </is>
      </c>
      <c r="E9" s="62" t="inlineStr">
        <is>
          <t>Monthly</t>
        </is>
      </c>
      <c r="F9" s="62" t="inlineStr">
        <is>
          <t>NIST AI RMF: GOVERN, MAP, MEASURE, MANAGE</t>
        </is>
      </c>
    </row>
    <row r="10" ht="21.75" customHeight="1" s="42">
      <c r="B10" s="58" t="inlineStr">
        <is>
          <t>ISO 27001 Updates</t>
        </is>
      </c>
      <c r="C10" s="58" t="inlineStr">
        <is>
          <t>https://www.iso.org/standard/27001</t>
        </is>
      </c>
      <c r="D10" s="58" t="inlineStr">
        <is>
          <t>Framework</t>
        </is>
      </c>
      <c r="E10" s="58" t="inlineStr">
        <is>
          <t>Annual</t>
        </is>
      </c>
      <c r="F10" s="58" t="inlineStr">
        <is>
          <t>ISO 27001 all clauses and Annex A</t>
        </is>
      </c>
    </row>
    <row r="11" ht="21.75" customHeight="1" s="42">
      <c r="B11" s="62" t="inlineStr">
        <is>
          <t>ISO 42001 Updates</t>
        </is>
      </c>
      <c r="C11" s="62" t="inlineStr">
        <is>
          <t>https://www.iso.org/standard/81230.html</t>
        </is>
      </c>
      <c r="D11" s="62" t="inlineStr">
        <is>
          <t>AI Governance</t>
        </is>
      </c>
      <c r="E11" s="62" t="inlineStr">
        <is>
          <t>Annual</t>
        </is>
      </c>
      <c r="F11" s="62" t="inlineStr">
        <is>
          <t>ISO 42001 all clauses</t>
        </is>
      </c>
    </row>
    <row r="12" ht="21.75" customHeight="1" s="42">
      <c r="B12" s="58" t="inlineStr">
        <is>
          <t>EU AI Act</t>
        </is>
      </c>
      <c r="C12" s="58" t="inlineStr">
        <is>
          <t>https://artificialintelligenceact.eu</t>
        </is>
      </c>
      <c r="D12" s="58" t="inlineStr">
        <is>
          <t>AI Governance / Regulatory</t>
        </is>
      </c>
      <c r="E12" s="58" t="inlineStr">
        <is>
          <t>Monthly</t>
        </is>
      </c>
      <c r="F12" s="58" t="inlineStr">
        <is>
          <t>EU AI Act Articles 9, 10, 11, 13, 17</t>
        </is>
      </c>
    </row>
    <row r="13" ht="21.75" customHeight="1" s="42">
      <c r="B13" s="62" t="inlineStr">
        <is>
          <t>AWS Security Bulletins</t>
        </is>
      </c>
      <c r="C13" s="62" t="inlineStr">
        <is>
          <t>https://aws.amazon.com/security/security-bulletins/</t>
        </is>
      </c>
      <c r="D13" s="62" t="inlineStr">
        <is>
          <t>Cloud Security</t>
        </is>
      </c>
      <c r="E13" s="62" t="inlineStr">
        <is>
          <t>Weekly</t>
        </is>
      </c>
      <c r="F13" s="62" t="inlineStr">
        <is>
          <t>NIST 800-53: SI-2 | CIS Control 7 | CSF: PR.PS</t>
        </is>
      </c>
    </row>
    <row r="14" ht="21.75" customHeight="1" s="42">
      <c r="B14" s="58" t="inlineStr">
        <is>
          <t>Azure Security Updates</t>
        </is>
      </c>
      <c r="C14" s="58" t="inlineStr">
        <is>
          <t>https://msrc.microsoft.com/update-guide/</t>
        </is>
      </c>
      <c r="D14" s="58" t="inlineStr">
        <is>
          <t>Cloud Security</t>
        </is>
      </c>
      <c r="E14" s="58" t="inlineStr">
        <is>
          <t>Weekly</t>
        </is>
      </c>
      <c r="F14" s="58" t="inlineStr">
        <is>
          <t>NIST 800-53: SI-2 | CIS Control 7 | CSF: PR.PS</t>
        </is>
      </c>
    </row>
    <row r="15" ht="21.75" customHeight="1" s="42">
      <c r="B15" s="62" t="inlineStr">
        <is>
          <t>CIS Benchmarks</t>
        </is>
      </c>
      <c r="C15" s="62" t="inlineStr">
        <is>
          <t>https://www.cisecurity.org/cis-benchmarks</t>
        </is>
      </c>
      <c r="D15" s="62" t="inlineStr">
        <is>
          <t>Hardening</t>
        </is>
      </c>
      <c r="E15" s="62" t="inlineStr">
        <is>
          <t>Quarterly</t>
        </is>
      </c>
      <c r="F15" s="62" t="inlineStr">
        <is>
          <t>CIS Controls 1-18 | NIST 800-53: CM-6</t>
        </is>
      </c>
    </row>
    <row r="16" ht="21.75" customHeight="1" s="42">
      <c r="B16" s="58" t="inlineStr">
        <is>
          <t>MITRE ATT&amp;CK</t>
        </is>
      </c>
      <c r="C16" s="58" t="inlineStr">
        <is>
          <t>https://attack.mitre.org</t>
        </is>
      </c>
      <c r="D16" s="58" t="inlineStr">
        <is>
          <t>Threat Intel</t>
        </is>
      </c>
      <c r="E16" s="58" t="inlineStr">
        <is>
          <t>Monthly</t>
        </is>
      </c>
      <c r="F16" s="58" t="inlineStr">
        <is>
          <t>NIST CSF: DE.AE | NIST 800-53: RA-3</t>
        </is>
      </c>
    </row>
    <row r="17" ht="21.75" customHeight="1" s="42">
      <c r="B17" s="62" t="inlineStr">
        <is>
          <t>MITRE ATLAS (AI)</t>
        </is>
      </c>
      <c r="C17" s="62" t="inlineStr">
        <is>
          <t>https://atlas.mitre.org</t>
        </is>
      </c>
      <c r="D17" s="62" t="inlineStr">
        <is>
          <t>AI Threat Intel</t>
        </is>
      </c>
      <c r="E17" s="62" t="inlineStr">
        <is>
          <t>Monthly</t>
        </is>
      </c>
      <c r="F17" s="62" t="inlineStr">
        <is>
          <t>NIST AI RMF: MAP 5 | ISO 42001: 6.1.2</t>
        </is>
      </c>
    </row>
  </sheetData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2026-05-29T00:08:36Z</dcterms:created>
  <dcterms:modified xmlns:dcterms="http://purl.org/dc/terms/" xmlns:xsi="http://www.w3.org/2001/XMLSchema-instance" xsi:type="dcterms:W3CDTF">2026-06-08T10:15:27Z</dcterms:modified>
  <cp:revision>0</cp:revision>
</cp:coreProperties>
</file>