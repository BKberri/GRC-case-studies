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🛡️ Risk Register" sheetId="1" state="visible" r:id="rId3"/>
    <sheet name="📊 Risk Dashboard" sheetId="2" state="visible" r:id="rId4"/>
    <sheet name="🔥 Risk Heat Map" sheetId="3" state="visible" r:id="rId5"/>
    <sheet name="📡 Intel Sourc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<sst xmlns="http://schemas.openxmlformats.org/spreadsheetml/2006/main" count="287" uniqueCount="219">
  <si>
    <t xml:space="preserve">BLAISE KINGKO — GRC INTELLIGENCE &amp; RISK REGISTER</t>
  </si>
  <si>
    <t xml:space="preserve">Sources: CISA KEV | US-CERT | NIST NVD | AWS/Azure Bulletins | AI Governance Updates   |   Frameworks: NIST CSF 2.0 | ISO 27001 | NIST 800-53 | CIS Controls | NIST AI RMF | ISO 42001 | EU AI Act   |   Last Updated: 2026-05-29</t>
  </si>
  <si>
    <t xml:space="preserve">RISK ID</t>
  </si>
  <si>
    <t xml:space="preserve">DATE IDENTIFIED</t>
  </si>
  <si>
    <t xml:space="preserve">SOURCE</t>
  </si>
  <si>
    <t xml:space="preserve">CVE / ADVISORY ID</t>
  </si>
  <si>
    <t xml:space="preserve">THREAT / VULN</t>
  </si>
  <si>
    <t xml:space="preserve">THREAT CATEGORY</t>
  </si>
  <si>
    <t xml:space="preserve">AFFECTED ASSET</t>
  </si>
  <si>
    <t xml:space="preserve">AFFECTED SYSTEM</t>
  </si>
  <si>
    <t xml:space="preserve">FRAMEWORK MAPPING</t>
  </si>
  <si>
    <t xml:space="preserve">CONTROL FAMILY</t>
  </si>
  <si>
    <t xml:space="preserve">LIKELIHOOD (1-5)</t>
  </si>
  <si>
    <t xml:space="preserve">IMPACT (1-5)</t>
  </si>
  <si>
    <t xml:space="preserve">RISK SCORE</t>
  </si>
  <si>
    <t xml:space="preserve">RISK RATING</t>
  </si>
  <si>
    <t xml:space="preserve">INHERENT RISK</t>
  </si>
  <si>
    <t xml:space="preserve">CURRENT CONTROLS</t>
  </si>
  <si>
    <t xml:space="preserve">RESIDUAL RISK</t>
  </si>
  <si>
    <t xml:space="preserve">REMEDIATION</t>
  </si>
  <si>
    <t xml:space="preserve">CIS CONTROL REF</t>
  </si>
  <si>
    <t xml:space="preserve">OWNER</t>
  </si>
  <si>
    <t xml:space="preserve">STATUS</t>
  </si>
  <si>
    <t xml:space="preserve">DUE DATE</t>
  </si>
  <si>
    <t xml:space="preserve">LAST UPDATED</t>
  </si>
  <si>
    <t xml:space="preserve">NOTES</t>
  </si>
  <si>
    <t xml:space="preserve">RR-001</t>
  </si>
  <si>
    <t xml:space="preserve">2026-05-29</t>
  </si>
  <si>
    <t xml:space="preserve">CISA KEV</t>
  </si>
  <si>
    <t xml:space="preserve">CVE-2024-21887</t>
  </si>
  <si>
    <t xml:space="preserve">Ivanti Connect Secure — Command Injection vulnerability actively exploited in the wild</t>
  </si>
  <si>
    <t xml:space="preserve">IT — Network</t>
  </si>
  <si>
    <t xml:space="preserve">VPN / Remote Access</t>
  </si>
  <si>
    <t xml:space="preserve">Ivanti Connect Secure</t>
  </si>
  <si>
    <t xml:space="preserve">NIST CSF 2.0: PR.PS-04, DE.CM-01 | NIST 800-53: SI-2, RA-5 | ISO 27001: A.12.6.1 | CIS Control 7</t>
  </si>
  <si>
    <t xml:space="preserve">SI — System Integrity</t>
  </si>
  <si>
    <t xml:space="preserve">Critical</t>
  </si>
  <si>
    <t xml:space="preserve">Patch management process in place; WAF deployed</t>
  </si>
  <si>
    <t xml:space="preserve">High</t>
  </si>
  <si>
    <t xml:space="preserve">Apply vendor patch immediately; isolate affected systems pending patch</t>
  </si>
  <si>
    <t xml:space="preserve">CIS Control 7.4 — Manage Operating System Vulnerabilities</t>
  </si>
  <si>
    <t xml:space="preserve">Blaise Kingko</t>
  </si>
  <si>
    <t xml:space="preserve">Open</t>
  </si>
  <si>
    <t xml:space="preserve">2026-06-04</t>
  </si>
  <si>
    <t xml:space="preserve">Actively exploited per CISA KEV. Patch available. Escalate to CISO immediately.</t>
  </si>
  <si>
    <t xml:space="preserve">RR-002</t>
  </si>
  <si>
    <t xml:space="preserve">NIST NVD</t>
  </si>
  <si>
    <t xml:space="preserve">CVE-2025-0282</t>
  </si>
  <si>
    <t xml:space="preserve">Ivanti Policy Secure — Stack-based buffer overflow enabling unauthenticated RCE</t>
  </si>
  <si>
    <t xml:space="preserve">IT — Application</t>
  </si>
  <si>
    <t xml:space="preserve">Policy Management Platform</t>
  </si>
  <si>
    <t xml:space="preserve">Ivanti Policy Secure</t>
  </si>
  <si>
    <t xml:space="preserve">NIST CSF 2.0: PR.PS-04, RS.MI-02 | NIST 800-53: SI-3, SC-39 | ISO 27001: A.14.2.2 | CIS Control 2</t>
  </si>
  <si>
    <t xml:space="preserve">SC — System &amp; Comms Protection</t>
  </si>
  <si>
    <t xml:space="preserve">Network segmentation partially implemented</t>
  </si>
  <si>
    <t xml:space="preserve">Emergency patch deployment; conduct IOC sweep; review authentication logs</t>
  </si>
  <si>
    <t xml:space="preserve">CIS Control 2.2 — Ensure Software is Supported by Vendor</t>
  </si>
  <si>
    <t xml:space="preserve">Mitigating</t>
  </si>
  <si>
    <t xml:space="preserve">2026-06-07</t>
  </si>
  <si>
    <t xml:space="preserve">RCE vector. Pre-auth. Requires immediate patch cycle bypass for emergency deployment.</t>
  </si>
  <si>
    <t xml:space="preserve">RR-003</t>
  </si>
  <si>
    <t xml:space="preserve">AWS Security Bulletin</t>
  </si>
  <si>
    <t xml:space="preserve">AWS-2025-001</t>
  </si>
  <si>
    <t xml:space="preserve">AWS IAM confused deputy issue in cross-account role assumption — potential privilege escalation</t>
  </si>
  <si>
    <t xml:space="preserve">Cloud — IAM</t>
  </si>
  <si>
    <t xml:space="preserve">AWS Multi-Account Environment</t>
  </si>
  <si>
    <t xml:space="preserve">AWS IAM / STS</t>
  </si>
  <si>
    <t xml:space="preserve">NIST CSF 2.0: PR.AA-05 | NIST 800-53: AC-6, AC-2 | ISO 27001: A.9.2.3 | CIS Control 5</t>
  </si>
  <si>
    <t xml:space="preserve">AC — Access Control</t>
  </si>
  <si>
    <t xml:space="preserve">SCPs deployed; least-privilege IAM model in place across 500+ accounts</t>
  </si>
  <si>
    <t xml:space="preserve">Medium</t>
  </si>
  <si>
    <t xml:space="preserve">Audit all cross-account trust relationships; enforce ExternalId conditions on all assume-role policies</t>
  </si>
  <si>
    <t xml:space="preserve">CIS Control 5.4 — Restrict Administrator Privileges</t>
  </si>
  <si>
    <t xml:space="preserve">2026-06-14</t>
  </si>
  <si>
    <t xml:space="preserve">Leverage existing IAM governance model. SCP guardrails reduce blast radius significantly.</t>
  </si>
  <si>
    <t xml:space="preserve">RR-004</t>
  </si>
  <si>
    <t xml:space="preserve">AI Governance Update</t>
  </si>
  <si>
    <t xml:space="preserve">EU-AI-ACT-2025-HIGH-RISK</t>
  </si>
  <si>
    <t xml:space="preserve">EU AI Act High-Risk AI System classification — internal LLM applications may require conformity assessment</t>
  </si>
  <si>
    <t xml:space="preserve">AI/ML — Governance</t>
  </si>
  <si>
    <t xml:space="preserve">Internal LLM Applications</t>
  </si>
  <si>
    <t xml:space="preserve">GenAI Platform (AWS Bedrock)</t>
  </si>
  <si>
    <t xml:space="preserve">NIST AI RMF: GOVERN 1.1, MAP 1.5 | ISO 42001: 6.1.2 | EU AI Act: Article 9, Annex III | NIST 800-53: SA-11</t>
  </si>
  <si>
    <t xml:space="preserve">AI Risk Governance</t>
  </si>
  <si>
    <t xml:space="preserve">AI Governance program active; NIST AI RMF framework implemented; prompt injection controls deployed</t>
  </si>
  <si>
    <t xml:space="preserve">Conduct EU AI Act conformity assessment; document intended purpose and risk management system; prepare technical documentation per Article 11</t>
  </si>
  <si>
    <t xml:space="preserve">N/A — AI Governance Framework</t>
  </si>
  <si>
    <t xml:space="preserve">2026-07-01</t>
  </si>
  <si>
    <t xml:space="preserve">Regulatory deadline risk. EU AI Act enforcement begins Aug 2026. High-risk classification triggers conformity assessment requirement.</t>
  </si>
  <si>
    <t xml:space="preserve">RR-005</t>
  </si>
  <si>
    <t xml:space="preserve">US-CERT</t>
  </si>
  <si>
    <t xml:space="preserve">AA25-071A</t>
  </si>
  <si>
    <t xml:space="preserve">CISA Advisory — SVR cyber actors targeting cloud environments via misconfigured service accounts</t>
  </si>
  <si>
    <t xml:space="preserve">Cloud — Identity</t>
  </si>
  <si>
    <t xml:space="preserve">Cloud Service Accounts</t>
  </si>
  <si>
    <t xml:space="preserve">AWS / Azure Service Principals</t>
  </si>
  <si>
    <t xml:space="preserve">NIST CSF 2.0: PR.AA-01, DE.AE-02 | NIST 800-53: AC-6, AU-12 | ISO 27001: A.9.4.4 | CIS Control 4</t>
  </si>
  <si>
    <t xml:space="preserve">SIEM monitoring active; CloudTrail enabled; anomaly detection in place</t>
  </si>
  <si>
    <t xml:space="preserve">Audit all service account permissions; rotate credentials; implement Just-In-Time access for privileged service accounts</t>
  </si>
  <si>
    <t xml:space="preserve">CIS Control 4.7 — Manage Default Accounts</t>
  </si>
  <si>
    <t xml:space="preserve">2026-06-11</t>
  </si>
  <si>
    <t xml:space="preserve">Nation-state TTPs. Aligns with existing SIEM architecture. Review CloudWatch anomaly alerts immediately.</t>
  </si>
  <si>
    <t xml:space="preserve">GRC INTELLIGENCE DASHBOARD — BLAISE KINGKO</t>
  </si>
  <si>
    <t xml:space="preserve">RISK SUMMARY</t>
  </si>
  <si>
    <t xml:space="preserve">RISKS BY SOURCE</t>
  </si>
  <si>
    <t xml:space="preserve">Total Risks Identified</t>
  </si>
  <si>
    <t xml:space="preserve">Critical Risks</t>
  </si>
  <si>
    <t xml:space="preserve">High Risks</t>
  </si>
  <si>
    <t xml:space="preserve">Medium Risks</t>
  </si>
  <si>
    <t xml:space="preserve">Low Risks</t>
  </si>
  <si>
    <t xml:space="preserve">Azure Security Update</t>
  </si>
  <si>
    <t xml:space="preserve">Open Risks</t>
  </si>
  <si>
    <t xml:space="preserve">NIST Framework Update</t>
  </si>
  <si>
    <t xml:space="preserve">Closed This Period</t>
  </si>
  <si>
    <t xml:space="preserve">ISO Update</t>
  </si>
  <si>
    <t xml:space="preserve">AI/ML Risks</t>
  </si>
  <si>
    <t xml:space="preserve">Internal Assessment</t>
  </si>
  <si>
    <t xml:space="preserve">Cloud Risks</t>
  </si>
  <si>
    <t xml:space="preserve">OT/ICS Risks</t>
  </si>
  <si>
    <t xml:space="preserve">Past Due (Overdue)</t>
  </si>
  <si>
    <t xml:space="preserve">FRAMEWORK COVERAGE</t>
  </si>
  <si>
    <t xml:space="preserve">NIST CSF 2.0</t>
  </si>
  <si>
    <t xml:space="preserve">NIST 800-53</t>
  </si>
  <si>
    <t xml:space="preserve">ISO 27001</t>
  </si>
  <si>
    <t xml:space="preserve">CIS Controls</t>
  </si>
  <si>
    <t xml:space="preserve">NIST AI RMF</t>
  </si>
  <si>
    <t xml:space="preserve">ISO 42001</t>
  </si>
  <si>
    <t xml:space="preserve">EU AI Act</t>
  </si>
  <si>
    <t xml:space="preserve">RISK HEAT MAP — LIKELIHOOD vs IMPACT</t>
  </si>
  <si>
    <t xml:space="preserve">LIKELIHOOD ↓</t>
  </si>
  <si>
    <t xml:space="preserve">IMPACT →</t>
  </si>
  <si>
    <t xml:space="preserve">1 — Minimal</t>
  </si>
  <si>
    <t xml:space="preserve">2 — Minor</t>
  </si>
  <si>
    <t xml:space="preserve">3 — Moderate</t>
  </si>
  <si>
    <t xml:space="preserve">4 — Major</t>
  </si>
  <si>
    <t xml:space="preserve">5 — Catastrophic</t>
  </si>
  <si>
    <t xml:space="preserve">LEGEND</t>
  </si>
  <si>
    <t xml:space="preserve">5 — Almost Certain</t>
  </si>
  <si>
    <t xml:space="preserve">5
Medium</t>
  </si>
  <si>
    <t xml:space="preserve">10
High</t>
  </si>
  <si>
    <t xml:space="preserve">15
Critical</t>
  </si>
  <si>
    <t xml:space="preserve">20
Critical</t>
  </si>
  <si>
    <t xml:space="preserve">25
Critical</t>
  </si>
  <si>
    <t xml:space="preserve">Critical (Score 20-25)</t>
  </si>
  <si>
    <t xml:space="preserve">4 — Likely</t>
  </si>
  <si>
    <t xml:space="preserve">4
Low</t>
  </si>
  <si>
    <t xml:space="preserve">8
Medium</t>
  </si>
  <si>
    <t xml:space="preserve">12
High</t>
  </si>
  <si>
    <t xml:space="preserve">16
Critical</t>
  </si>
  <si>
    <t xml:space="preserve">High (Score 10-19)</t>
  </si>
  <si>
    <t xml:space="preserve">3 — Possible</t>
  </si>
  <si>
    <t xml:space="preserve">3
Low</t>
  </si>
  <si>
    <t xml:space="preserve">6
Medium</t>
  </si>
  <si>
    <t xml:space="preserve">9
Medium</t>
  </si>
  <si>
    <t xml:space="preserve">Medium (Score 5-9)</t>
  </si>
  <si>
    <t xml:space="preserve">2 — Unlikely</t>
  </si>
  <si>
    <t xml:space="preserve">2
Low</t>
  </si>
  <si>
    <t xml:space="preserve">Low (Score 1-4)</t>
  </si>
  <si>
    <t xml:space="preserve">1 — Rare</t>
  </si>
  <si>
    <t xml:space="preserve">1
Low</t>
  </si>
  <si>
    <t xml:space="preserve">INTELLIGENCE MONITORING SOURCES — BLAISE KINGKO GRC PROGRAM</t>
  </si>
  <si>
    <t xml:space="preserve">URL / FEED</t>
  </si>
  <si>
    <t xml:space="preserve">CATEGORY</t>
  </si>
  <si>
    <t xml:space="preserve">FREQUENCY</t>
  </si>
  <si>
    <t xml:space="preserve">FRAMEWORK RELEVANCE</t>
  </si>
  <si>
    <t xml:space="preserve">https://www.cisa.gov/known-exploited-vulnerabilities-catalog</t>
  </si>
  <si>
    <t xml:space="preserve">Threat Intel</t>
  </si>
  <si>
    <t xml:space="preserve">Daily</t>
  </si>
  <si>
    <t xml:space="preserve">NIST CSF: DE.CM | NIST 800-53: RA-5, SI-2</t>
  </si>
  <si>
    <t xml:space="preserve">CISA Advisories</t>
  </si>
  <si>
    <t xml:space="preserve">https://www.cisa.gov/news-events/cybersecurity-advisories</t>
  </si>
  <si>
    <t xml:space="preserve">Weekly</t>
  </si>
  <si>
    <t xml:space="preserve">NIST CSF: DE.AE | NIST 800-53: IR-4, SI-5</t>
  </si>
  <si>
    <t xml:space="preserve">US-CERT Alerts</t>
  </si>
  <si>
    <t xml:space="preserve">https://www.cisa.gov/uscert/ncas/alerts</t>
  </si>
  <si>
    <t xml:space="preserve">NIST CSF: RS.CO | NIST 800-53: IR-6</t>
  </si>
  <si>
    <t xml:space="preserve">https://nvd.nist.gov/vuln/search</t>
  </si>
  <si>
    <t xml:space="preserve">Vulnerability</t>
  </si>
  <si>
    <t xml:space="preserve">NIST 800-53: RA-5 | CIS Control 7</t>
  </si>
  <si>
    <t xml:space="preserve">NIST 800-53 Updates</t>
  </si>
  <si>
    <t xml:space="preserve">https://csrc.nist.gov/publications/detail/sp/800-53/rev-5/final</t>
  </si>
  <si>
    <t xml:space="preserve">Framework</t>
  </si>
  <si>
    <t xml:space="preserve">Quarterly</t>
  </si>
  <si>
    <t xml:space="preserve">NIST 800-53 all control families</t>
  </si>
  <si>
    <t xml:space="preserve">NIST CSF 2.0 Updates</t>
  </si>
  <si>
    <t xml:space="preserve">https://www.nist.gov/cyberframework</t>
  </si>
  <si>
    <t xml:space="preserve">NIST CSF 2.0 all functions</t>
  </si>
  <si>
    <t xml:space="preserve">NIST AI RMF Updates</t>
  </si>
  <si>
    <t xml:space="preserve">https://www.nist.gov/artificial-intelligence</t>
  </si>
  <si>
    <t xml:space="preserve">AI Governance</t>
  </si>
  <si>
    <t xml:space="preserve">Monthly</t>
  </si>
  <si>
    <t xml:space="preserve">NIST AI RMF: GOVERN, MAP, MEASURE, MANAGE</t>
  </si>
  <si>
    <t xml:space="preserve">ISO 27001 Updates</t>
  </si>
  <si>
    <t xml:space="preserve">https://www.iso.org/standard/27001</t>
  </si>
  <si>
    <t xml:space="preserve">Annual</t>
  </si>
  <si>
    <t xml:space="preserve">ISO 27001 all clauses and Annex A</t>
  </si>
  <si>
    <t xml:space="preserve">ISO 42001 Updates</t>
  </si>
  <si>
    <t xml:space="preserve">https://www.iso.org/standard/81230.html</t>
  </si>
  <si>
    <t xml:space="preserve">ISO 42001 all clauses</t>
  </si>
  <si>
    <t xml:space="preserve">https://artificialintelligenceact.eu</t>
  </si>
  <si>
    <t xml:space="preserve">AI Governance / Regulatory</t>
  </si>
  <si>
    <t xml:space="preserve">EU AI Act Articles 9, 10, 11, 13, 17</t>
  </si>
  <si>
    <t xml:space="preserve">AWS Security Bulletins</t>
  </si>
  <si>
    <t xml:space="preserve">https://aws.amazon.com/security/security-bulletins/</t>
  </si>
  <si>
    <t xml:space="preserve">Cloud Security</t>
  </si>
  <si>
    <t xml:space="preserve">NIST 800-53: SI-2 | CIS Control 7 | CSF: PR.PS</t>
  </si>
  <si>
    <t xml:space="preserve">Azure Security Updates</t>
  </si>
  <si>
    <t xml:space="preserve">https://msrc.microsoft.com/update-guide/</t>
  </si>
  <si>
    <t xml:space="preserve">CIS Benchmarks</t>
  </si>
  <si>
    <t xml:space="preserve">https://www.cisecurity.org/cis-benchmarks</t>
  </si>
  <si>
    <t xml:space="preserve">Hardening</t>
  </si>
  <si>
    <t xml:space="preserve">CIS Controls 1-18 | NIST 800-53: CM-6</t>
  </si>
  <si>
    <t xml:space="preserve">MITRE ATT&amp;CK</t>
  </si>
  <si>
    <t xml:space="preserve">https://attack.mitre.org</t>
  </si>
  <si>
    <t xml:space="preserve">NIST CSF: DE.AE | NIST 800-53: RA-3</t>
  </si>
  <si>
    <t xml:space="preserve">MITRE ATLAS (AI)</t>
  </si>
  <si>
    <t xml:space="preserve">https://atlas.mitre.org</t>
  </si>
  <si>
    <t xml:space="preserve">AI Threat Intel</t>
  </si>
  <si>
    <t xml:space="preserve">NIST AI RMF: MAP 5 | ISO 42001: 6.1.2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</si>
</sst>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1B4F72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0D1B2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D4AC0D"/>
      <name val="Arial"/>
      <family val="0"/>
      <charset val="1"/>
    </font>
    <font>
      <b val="true"/>
      <sz val="10"/>
      <color rgb="FFE67E22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9"/>
      <color rgb="FFC0392B"/>
      <name val="Arial"/>
      <family val="0"/>
      <charset val="1"/>
    </font>
    <font>
      <b val="true"/>
      <sz val="10"/>
      <color rgb="FF1E8449"/>
      <name val="Arial"/>
      <family val="0"/>
      <charset val="1"/>
    </font>
    <font>
      <b val="true"/>
      <sz val="9"/>
      <color rgb="FFE67E22"/>
      <name val="Arial"/>
      <family val="0"/>
      <charset val="1"/>
    </font>
    <font>
      <b val="true"/>
      <sz val="9"/>
      <color rgb="FFD4AC0D"/>
      <name val="Arial"/>
      <family val="0"/>
      <charset val="1"/>
    </font>
    <font>
      <b val="true"/>
      <sz val="9"/>
      <color rgb="FF1E8449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32"/>
    <col collapsed="false" customWidth="true" hidden="false" outlineLevel="0" max="6" min="6" style="0" width="14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28"/>
    <col collapsed="false" customWidth="true" hidden="false" outlineLevel="0" max="10" min="10" style="0" width="20"/>
    <col collapsed="false" customWidth="true" hidden="false" outlineLevel="0" max="11" min="11" style="0" width="14"/>
    <col collapsed="false" customWidth="true" hidden="false" outlineLevel="0" max="15" min="12" style="0" width="12"/>
    <col collapsed="false" customWidth="true" hidden="false" outlineLevel="0" max="16" min="16" style="0" width="28"/>
    <col collapsed="false" customWidth="true" hidden="false" outlineLevel="0" max="17" min="17" style="0" width="12"/>
    <col collapsed="false" customWidth="true" hidden="false" outlineLevel="0" max="18" min="18" style="0" width="32"/>
    <col collapsed="false" customWidth="true" hidden="false" outlineLevel="0" max="19" min="19" style="0" width="16"/>
    <col collapsed="false" customWidth="true" hidden="false" outlineLevel="0" max="20" min="20" style="0" width="18"/>
    <col collapsed="false" customWidth="true" hidden="false" outlineLevel="0" max="21" min="21" style="0" width="14"/>
    <col collapsed="false" customWidth="true" hidden="false" outlineLevel="0" max="22" min="22" style="0" width="12"/>
    <col collapsed="false" customWidth="true" hidden="false" outlineLevel="0" max="23" min="23" style="0" width="14"/>
    <col collapsed="false" customWidth="true" hidden="false" outlineLevel="0" max="24" min="24" style="0" width="30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customFormat="false" ht="21.7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5" t="s">
        <v>17</v>
      </c>
      <c r="Q3" s="5" t="s">
        <v>18</v>
      </c>
      <c r="R3" s="5" t="s">
        <v>19</v>
      </c>
      <c r="S3" s="5" t="s">
        <v>20</v>
      </c>
      <c r="T3" s="5" t="s">
        <v>21</v>
      </c>
      <c r="U3" s="5" t="s">
        <v>22</v>
      </c>
      <c r="V3" s="5" t="s">
        <v>23</v>
      </c>
      <c r="W3" s="5" t="s">
        <v>24</v>
      </c>
      <c r="X3" s="5" t="s">
        <v>25</v>
      </c>
    </row>
    <row r="5" customFormat="false" ht="39.75" hidden="false" customHeight="true" outlineLevel="0" collapsed="false">
      <c r="A5" s="6" t="s">
        <v>26</v>
      </c>
      <c r="B5" s="7" t="s">
        <v>27</v>
      </c>
      <c r="C5" s="7" t="s">
        <v>28</v>
      </c>
      <c r="D5" s="7" t="s">
        <v>29</v>
      </c>
      <c r="E5" s="7" t="s">
        <v>30</v>
      </c>
      <c r="F5" s="6" t="s">
        <v>31</v>
      </c>
      <c r="G5" s="7" t="s">
        <v>32</v>
      </c>
      <c r="H5" s="7" t="s">
        <v>33</v>
      </c>
      <c r="I5" s="7" t="s">
        <v>34</v>
      </c>
      <c r="J5" s="7" t="s">
        <v>35</v>
      </c>
      <c r="K5" s="6" t="n">
        <v>5</v>
      </c>
      <c r="L5" s="6" t="n">
        <v>5</v>
      </c>
      <c r="M5" s="8" t="n">
        <f aca="false">K5*L5</f>
        <v>25</v>
      </c>
      <c r="N5" s="6" t="s">
        <v>36</v>
      </c>
      <c r="O5" s="6" t="s">
        <v>36</v>
      </c>
      <c r="P5" s="7" t="s">
        <v>37</v>
      </c>
      <c r="Q5" s="6" t="s">
        <v>38</v>
      </c>
      <c r="R5" s="7" t="s">
        <v>39</v>
      </c>
      <c r="S5" s="6" t="s">
        <v>40</v>
      </c>
      <c r="T5" s="7" t="s">
        <v>41</v>
      </c>
      <c r="U5" s="6" t="s">
        <v>42</v>
      </c>
      <c r="V5" s="6" t="s">
        <v>43</v>
      </c>
      <c r="W5" s="6" t="s">
        <v>27</v>
      </c>
      <c r="X5" s="7" t="s">
        <v>44</v>
      </c>
    </row>
    <row r="6" customFormat="false" ht="39.75" hidden="false" customHeight="true" outlineLevel="0" collapsed="false">
      <c r="A6" s="9" t="s">
        <v>45</v>
      </c>
      <c r="B6" s="10" t="s">
        <v>27</v>
      </c>
      <c r="C6" s="10" t="s">
        <v>46</v>
      </c>
      <c r="D6" s="10" t="s">
        <v>47</v>
      </c>
      <c r="E6" s="10" t="s">
        <v>48</v>
      </c>
      <c r="F6" s="9" t="s">
        <v>49</v>
      </c>
      <c r="G6" s="10" t="s">
        <v>50</v>
      </c>
      <c r="H6" s="10" t="s">
        <v>51</v>
      </c>
      <c r="I6" s="10" t="s">
        <v>52</v>
      </c>
      <c r="J6" s="10" t="s">
        <v>53</v>
      </c>
      <c r="K6" s="9" t="n">
        <v>4</v>
      </c>
      <c r="L6" s="9" t="n">
        <v>5</v>
      </c>
      <c r="M6" s="11" t="n">
        <f aca="false">K6*L6</f>
        <v>20</v>
      </c>
      <c r="N6" s="9" t="s">
        <v>36</v>
      </c>
      <c r="O6" s="9" t="s">
        <v>36</v>
      </c>
      <c r="P6" s="10" t="s">
        <v>54</v>
      </c>
      <c r="Q6" s="9" t="s">
        <v>38</v>
      </c>
      <c r="R6" s="10" t="s">
        <v>55</v>
      </c>
      <c r="S6" s="9" t="s">
        <v>56</v>
      </c>
      <c r="T6" s="10" t="s">
        <v>41</v>
      </c>
      <c r="U6" s="9" t="s">
        <v>57</v>
      </c>
      <c r="V6" s="9" t="s">
        <v>58</v>
      </c>
      <c r="W6" s="9" t="s">
        <v>27</v>
      </c>
      <c r="X6" s="10" t="s">
        <v>59</v>
      </c>
    </row>
    <row r="7" customFormat="false" ht="39.75" hidden="false" customHeight="true" outlineLevel="0" collapsed="false">
      <c r="A7" s="6" t="s">
        <v>60</v>
      </c>
      <c r="B7" s="7" t="s">
        <v>27</v>
      </c>
      <c r="C7" s="7" t="s">
        <v>61</v>
      </c>
      <c r="D7" s="7" t="s">
        <v>62</v>
      </c>
      <c r="E7" s="7" t="s">
        <v>63</v>
      </c>
      <c r="F7" s="6" t="s">
        <v>64</v>
      </c>
      <c r="G7" s="7" t="s">
        <v>65</v>
      </c>
      <c r="H7" s="7" t="s">
        <v>66</v>
      </c>
      <c r="I7" s="7" t="s">
        <v>67</v>
      </c>
      <c r="J7" s="7" t="s">
        <v>68</v>
      </c>
      <c r="K7" s="6" t="n">
        <v>3</v>
      </c>
      <c r="L7" s="6" t="n">
        <v>4</v>
      </c>
      <c r="M7" s="8" t="n">
        <f aca="false">K7*L7</f>
        <v>12</v>
      </c>
      <c r="N7" s="6" t="s">
        <v>38</v>
      </c>
      <c r="O7" s="6" t="s">
        <v>38</v>
      </c>
      <c r="P7" s="7" t="s">
        <v>69</v>
      </c>
      <c r="Q7" s="6" t="s">
        <v>70</v>
      </c>
      <c r="R7" s="7" t="s">
        <v>71</v>
      </c>
      <c r="S7" s="6" t="s">
        <v>72</v>
      </c>
      <c r="T7" s="7" t="s">
        <v>41</v>
      </c>
      <c r="U7" s="6" t="s">
        <v>57</v>
      </c>
      <c r="V7" s="6" t="s">
        <v>73</v>
      </c>
      <c r="W7" s="6" t="s">
        <v>27</v>
      </c>
      <c r="X7" s="7" t="s">
        <v>74</v>
      </c>
    </row>
    <row r="8" customFormat="false" ht="39.75" hidden="false" customHeight="true" outlineLevel="0" collapsed="false">
      <c r="A8" s="9" t="s">
        <v>75</v>
      </c>
      <c r="B8" s="10" t="s">
        <v>27</v>
      </c>
      <c r="C8" s="10" t="s">
        <v>76</v>
      </c>
      <c r="D8" s="10" t="s">
        <v>77</v>
      </c>
      <c r="E8" s="10" t="s">
        <v>78</v>
      </c>
      <c r="F8" s="9" t="s">
        <v>79</v>
      </c>
      <c r="G8" s="10" t="s">
        <v>80</v>
      </c>
      <c r="H8" s="10" t="s">
        <v>81</v>
      </c>
      <c r="I8" s="10" t="s">
        <v>82</v>
      </c>
      <c r="J8" s="10" t="s">
        <v>83</v>
      </c>
      <c r="K8" s="9" t="n">
        <v>3</v>
      </c>
      <c r="L8" s="9" t="n">
        <v>5</v>
      </c>
      <c r="M8" s="11" t="n">
        <f aca="false">K8*L8</f>
        <v>15</v>
      </c>
      <c r="N8" s="9" t="s">
        <v>38</v>
      </c>
      <c r="O8" s="9" t="s">
        <v>38</v>
      </c>
      <c r="P8" s="10" t="s">
        <v>84</v>
      </c>
      <c r="Q8" s="9" t="s">
        <v>70</v>
      </c>
      <c r="R8" s="10" t="s">
        <v>85</v>
      </c>
      <c r="S8" s="9" t="s">
        <v>86</v>
      </c>
      <c r="T8" s="10" t="s">
        <v>41</v>
      </c>
      <c r="U8" s="9" t="s">
        <v>42</v>
      </c>
      <c r="V8" s="9" t="s">
        <v>87</v>
      </c>
      <c r="W8" s="9" t="s">
        <v>27</v>
      </c>
      <c r="X8" s="10" t="s">
        <v>88</v>
      </c>
    </row>
    <row r="9" customFormat="false" ht="39.75" hidden="false" customHeight="true" outlineLevel="0" collapsed="false">
      <c r="A9" s="6" t="s">
        <v>89</v>
      </c>
      <c r="B9" s="7" t="s">
        <v>27</v>
      </c>
      <c r="C9" s="7" t="s">
        <v>90</v>
      </c>
      <c r="D9" s="7" t="s">
        <v>91</v>
      </c>
      <c r="E9" s="7" t="s">
        <v>92</v>
      </c>
      <c r="F9" s="6" t="s">
        <v>93</v>
      </c>
      <c r="G9" s="7" t="s">
        <v>94</v>
      </c>
      <c r="H9" s="7" t="s">
        <v>95</v>
      </c>
      <c r="I9" s="7" t="s">
        <v>96</v>
      </c>
      <c r="J9" s="7" t="s">
        <v>68</v>
      </c>
      <c r="K9" s="6" t="n">
        <v>4</v>
      </c>
      <c r="L9" s="6" t="n">
        <v>4</v>
      </c>
      <c r="M9" s="8" t="n">
        <f aca="false">K9*L9</f>
        <v>16</v>
      </c>
      <c r="N9" s="6" t="s">
        <v>38</v>
      </c>
      <c r="O9" s="6" t="s">
        <v>38</v>
      </c>
      <c r="P9" s="7" t="s">
        <v>97</v>
      </c>
      <c r="Q9" s="6" t="s">
        <v>70</v>
      </c>
      <c r="R9" s="7" t="s">
        <v>98</v>
      </c>
      <c r="S9" s="6" t="s">
        <v>99</v>
      </c>
      <c r="T9" s="7" t="s">
        <v>41</v>
      </c>
      <c r="U9" s="6" t="s">
        <v>42</v>
      </c>
      <c r="V9" s="6" t="s">
        <v>100</v>
      </c>
      <c r="W9" s="6" t="s">
        <v>27</v>
      </c>
      <c r="X9" s="7" t="s">
        <v>101</v>
      </c>
    </row>
  </sheetData>
  <mergeCells count="2">
    <mergeCell ref="A1:X1"/>
    <mergeCell ref="A2:X2"/>
  </mergeCells>
  <conditionalFormatting sqref="N5:N500">
    <cfRule type="expression" priority="2" aboveAverage="0" equalAverage="0" bottom="0" percent="0" rank="0" text="" dxfId="0">
      <formula>$N5="Critical"</formula>
    </cfRule>
    <cfRule type="expression" priority="3" aboveAverage="0" equalAverage="0" bottom="0" percent="0" rank="0" text="" dxfId="1">
      <formula>$N5="High"</formula>
    </cfRule>
    <cfRule type="expression" priority="4" aboveAverage="0" equalAverage="0" bottom="0" percent="0" rank="0" text="" dxfId="2">
      <formula>$N5="Medium"</formula>
    </cfRule>
    <cfRule type="expression" priority="5" aboveAverage="0" equalAverage="0" bottom="0" percent="0" rank="0" text="" dxfId="3">
      <formula>$N5="Low"</formula>
    </cfRule>
  </conditionalFormatting>
  <conditionalFormatting sqref="O5:O500">
    <cfRule type="expression" priority="6" aboveAverage="0" equalAverage="0" bottom="0" percent="0" rank="0" text="" dxfId="0">
      <formula>$O5="Critical"</formula>
    </cfRule>
    <cfRule type="expression" priority="7" aboveAverage="0" equalAverage="0" bottom="0" percent="0" rank="0" text="" dxfId="1">
      <formula>$O5="High"</formula>
    </cfRule>
    <cfRule type="expression" priority="8" aboveAverage="0" equalAverage="0" bottom="0" percent="0" rank="0" text="" dxfId="2">
      <formula>$O5="Medium"</formula>
    </cfRule>
    <cfRule type="expression" priority="9" aboveAverage="0" equalAverage="0" bottom="0" percent="0" rank="0" text="" dxfId="3">
      <formula>$O5="Low"</formula>
    </cfRule>
  </conditionalFormatting>
  <conditionalFormatting sqref="Q5:Q500">
    <cfRule type="expression" priority="10" aboveAverage="0" equalAverage="0" bottom="0" percent="0" rank="0" text="" dxfId="0">
      <formula>$Q5="Critical"</formula>
    </cfRule>
    <cfRule type="expression" priority="11" aboveAverage="0" equalAverage="0" bottom="0" percent="0" rank="0" text="" dxfId="1">
      <formula>$Q5="High"</formula>
    </cfRule>
    <cfRule type="expression" priority="12" aboveAverage="0" equalAverage="0" bottom="0" percent="0" rank="0" text="" dxfId="2">
      <formula>$Q5="Medium"</formula>
    </cfRule>
    <cfRule type="expression" priority="13" aboveAverage="0" equalAverage="0" bottom="0" percent="0" rank="0" text="" dxfId="3">
      <formula>$Q5="Low"</formula>
    </cfRule>
  </conditionalFormatting>
  <conditionalFormatting sqref="U5:U500">
    <cfRule type="expression" priority="14" aboveAverage="0" equalAverage="0" bottom="0" percent="0" rank="0" text="" dxfId="0">
      <formula>$U5="Open"</formula>
    </cfRule>
    <cfRule type="expression" priority="15" aboveAverage="0" equalAverage="0" bottom="0" percent="0" rank="0" text="" dxfId="1">
      <formula>$U5="Mitigating"</formula>
    </cfRule>
    <cfRule type="expression" priority="16" aboveAverage="0" equalAverage="0" bottom="0" percent="0" rank="0" text="" dxfId="3">
      <formula>$U5="Closed"</formula>
    </cfRule>
    <cfRule type="expression" priority="17" aboveAverage="0" equalAverage="0" bottom="0" percent="0" rank="0" text="" dxfId="4">
      <formula>$U5="Accepted"</formula>
    </cfRule>
    <cfRule type="expression" priority="18" aboveAverage="0" equalAverage="0" bottom="0" percent="0" rank="0" text="" dxfId="5">
      <formula>$U5="Transferred"</formula>
    </cfRule>
  </conditionalFormatting>
  <conditionalFormatting sqref="M5">
    <cfRule type="expression" priority="19" aboveAverage="0" equalAverage="0" bottom="0" percent="0" rank="0" text="" dxfId="0">
      <formula>M5&gt;=20</formula>
    </cfRule>
    <cfRule type="expression" priority="20" aboveAverage="0" equalAverage="0" bottom="0" percent="0" rank="0" text="" dxfId="1">
      <formula>AND(M5&gt;=10,M5&lt;20)</formula>
    </cfRule>
    <cfRule type="expression" priority="21" aboveAverage="0" equalAverage="0" bottom="0" percent="0" rank="0" text="" dxfId="2">
      <formula>AND(M5&gt;=5,M5&lt;10)</formula>
    </cfRule>
    <cfRule type="expression" priority="22" aboveAverage="0" equalAverage="0" bottom="0" percent="0" rank="0" text="" dxfId="3">
      <formula>AND(M5&gt;=1,M5&lt;5)</formula>
    </cfRule>
  </conditionalFormatting>
  <conditionalFormatting sqref="M6">
    <cfRule type="expression" priority="23" aboveAverage="0" equalAverage="0" bottom="0" percent="0" rank="0" text="" dxfId="0">
      <formula>M6&gt;=20</formula>
    </cfRule>
    <cfRule type="expression" priority="24" aboveAverage="0" equalAverage="0" bottom="0" percent="0" rank="0" text="" dxfId="1">
      <formula>AND(M6&gt;=10,M6&lt;20)</formula>
    </cfRule>
    <cfRule type="expression" priority="25" aboveAverage="0" equalAverage="0" bottom="0" percent="0" rank="0" text="" dxfId="2">
      <formula>AND(M6&gt;=5,M6&lt;10)</formula>
    </cfRule>
    <cfRule type="expression" priority="26" aboveAverage="0" equalAverage="0" bottom="0" percent="0" rank="0" text="" dxfId="3">
      <formula>AND(M6&gt;=1,M6&lt;5)</formula>
    </cfRule>
  </conditionalFormatting>
  <conditionalFormatting sqref="M7">
    <cfRule type="expression" priority="27" aboveAverage="0" equalAverage="0" bottom="0" percent="0" rank="0" text="" dxfId="0">
      <formula>M7&gt;=20</formula>
    </cfRule>
    <cfRule type="expression" priority="28" aboveAverage="0" equalAverage="0" bottom="0" percent="0" rank="0" text="" dxfId="1">
      <formula>AND(M7&gt;=10,M7&lt;20)</formula>
    </cfRule>
    <cfRule type="expression" priority="29" aboveAverage="0" equalAverage="0" bottom="0" percent="0" rank="0" text="" dxfId="2">
      <formula>AND(M7&gt;=5,M7&lt;10)</formula>
    </cfRule>
    <cfRule type="expression" priority="30" aboveAverage="0" equalAverage="0" bottom="0" percent="0" rank="0" text="" dxfId="3">
      <formula>AND(M7&gt;=1,M7&lt;5)</formula>
    </cfRule>
  </conditionalFormatting>
  <conditionalFormatting sqref="M8">
    <cfRule type="expression" priority="31" aboveAverage="0" equalAverage="0" bottom="0" percent="0" rank="0" text="" dxfId="0">
      <formula>M8&gt;=20</formula>
    </cfRule>
    <cfRule type="expression" priority="32" aboveAverage="0" equalAverage="0" bottom="0" percent="0" rank="0" text="" dxfId="1">
      <formula>AND(M8&gt;=10,M8&lt;20)</formula>
    </cfRule>
    <cfRule type="expression" priority="33" aboveAverage="0" equalAverage="0" bottom="0" percent="0" rank="0" text="" dxfId="2">
      <formula>AND(M8&gt;=5,M8&lt;10)</formula>
    </cfRule>
    <cfRule type="expression" priority="34" aboveAverage="0" equalAverage="0" bottom="0" percent="0" rank="0" text="" dxfId="3">
      <formula>AND(M8&gt;=1,M8&lt;5)</formula>
    </cfRule>
  </conditionalFormatting>
  <conditionalFormatting sqref="M9">
    <cfRule type="expression" priority="35" aboveAverage="0" equalAverage="0" bottom="0" percent="0" rank="0" text="" dxfId="0">
      <formula>M9&gt;=20</formula>
    </cfRule>
    <cfRule type="expression" priority="36" aboveAverage="0" equalAverage="0" bottom="0" percent="0" rank="0" text="" dxfId="1">
      <formula>AND(M9&gt;=10,M9&lt;20)</formula>
    </cfRule>
    <cfRule type="expression" priority="37" aboveAverage="0" equalAverage="0" bottom="0" percent="0" rank="0" text="" dxfId="2">
      <formula>AND(M9&gt;=5,M9&lt;10)</formula>
    </cfRule>
    <cfRule type="expression" priority="38" aboveAverage="0" equalAverage="0" bottom="0" percent="0" rank="0" text="" dxfId="3">
      <formula>AND(M9&gt;=1,M9&lt;5)</formula>
    </cfRule>
  </conditionalFormatting>
  <conditionalFormatting sqref="M10">
    <cfRule type="expression" priority="39" aboveAverage="0" equalAverage="0" bottom="0" percent="0" rank="0" text="" dxfId="0">
      <formula>M10&gt;=20</formula>
    </cfRule>
    <cfRule type="expression" priority="40" aboveAverage="0" equalAverage="0" bottom="0" percent="0" rank="0" text="" dxfId="1">
      <formula>AND(M10&gt;=10,M10&lt;20)</formula>
    </cfRule>
    <cfRule type="expression" priority="41" aboveAverage="0" equalAverage="0" bottom="0" percent="0" rank="0" text="" dxfId="2">
      <formula>AND(M10&gt;=5,M10&lt;10)</formula>
    </cfRule>
    <cfRule type="expression" priority="42" aboveAverage="0" equalAverage="0" bottom="0" percent="0" rank="0" text="" dxfId="3">
      <formula>AND(M10&gt;=1,M10&lt;5)</formula>
    </cfRule>
  </conditionalFormatting>
  <conditionalFormatting sqref="M11">
    <cfRule type="expression" priority="43" aboveAverage="0" equalAverage="0" bottom="0" percent="0" rank="0" text="" dxfId="0">
      <formula>M11&gt;=20</formula>
    </cfRule>
    <cfRule type="expression" priority="44" aboveAverage="0" equalAverage="0" bottom="0" percent="0" rank="0" text="" dxfId="1">
      <formula>AND(M11&gt;=10,M11&lt;20)</formula>
    </cfRule>
    <cfRule type="expression" priority="45" aboveAverage="0" equalAverage="0" bottom="0" percent="0" rank="0" text="" dxfId="2">
      <formula>AND(M11&gt;=5,M11&lt;10)</formula>
    </cfRule>
    <cfRule type="expression" priority="46" aboveAverage="0" equalAverage="0" bottom="0" percent="0" rank="0" text="" dxfId="3">
      <formula>AND(M11&gt;=1,M11&lt;5)</formula>
    </cfRule>
  </conditionalFormatting>
  <conditionalFormatting sqref="M12">
    <cfRule type="expression" priority="47" aboveAverage="0" equalAverage="0" bottom="0" percent="0" rank="0" text="" dxfId="0">
      <formula>M12&gt;=20</formula>
    </cfRule>
    <cfRule type="expression" priority="48" aboveAverage="0" equalAverage="0" bottom="0" percent="0" rank="0" text="" dxfId="1">
      <formula>AND(M12&gt;=10,M12&lt;20)</formula>
    </cfRule>
    <cfRule type="expression" priority="49" aboveAverage="0" equalAverage="0" bottom="0" percent="0" rank="0" text="" dxfId="2">
      <formula>AND(M12&gt;=5,M12&lt;10)</formula>
    </cfRule>
    <cfRule type="expression" priority="50" aboveAverage="0" equalAverage="0" bottom="0" percent="0" rank="0" text="" dxfId="3">
      <formula>AND(M12&gt;=1,M12&lt;5)</formula>
    </cfRule>
  </conditionalFormatting>
  <conditionalFormatting sqref="M13">
    <cfRule type="expression" priority="51" aboveAverage="0" equalAverage="0" bottom="0" percent="0" rank="0" text="" dxfId="0">
      <formula>M13&gt;=20</formula>
    </cfRule>
    <cfRule type="expression" priority="52" aboveAverage="0" equalAverage="0" bottom="0" percent="0" rank="0" text="" dxfId="1">
      <formula>AND(M13&gt;=10,M13&lt;20)</formula>
    </cfRule>
    <cfRule type="expression" priority="53" aboveAverage="0" equalAverage="0" bottom="0" percent="0" rank="0" text="" dxfId="2">
      <formula>AND(M13&gt;=5,M13&lt;10)</formula>
    </cfRule>
    <cfRule type="expression" priority="54" aboveAverage="0" equalAverage="0" bottom="0" percent="0" rank="0" text="" dxfId="3">
      <formula>AND(M13&gt;=1,M13&lt;5)</formula>
    </cfRule>
  </conditionalFormatting>
  <conditionalFormatting sqref="M14">
    <cfRule type="expression" priority="55" aboveAverage="0" equalAverage="0" bottom="0" percent="0" rank="0" text="" dxfId="0">
      <formula>M14&gt;=20</formula>
    </cfRule>
    <cfRule type="expression" priority="56" aboveAverage="0" equalAverage="0" bottom="0" percent="0" rank="0" text="" dxfId="1">
      <formula>AND(M14&gt;=10,M14&lt;20)</formula>
    </cfRule>
    <cfRule type="expression" priority="57" aboveAverage="0" equalAverage="0" bottom="0" percent="0" rank="0" text="" dxfId="2">
      <formula>AND(M14&gt;=5,M14&lt;10)</formula>
    </cfRule>
    <cfRule type="expression" priority="58" aboveAverage="0" equalAverage="0" bottom="0" percent="0" rank="0" text="" dxfId="3">
      <formula>AND(M14&gt;=1,M14&lt;5)</formula>
    </cfRule>
  </conditionalFormatting>
  <conditionalFormatting sqref="M15">
    <cfRule type="expression" priority="59" aboveAverage="0" equalAverage="0" bottom="0" percent="0" rank="0" text="" dxfId="0">
      <formula>M15&gt;=20</formula>
    </cfRule>
    <cfRule type="expression" priority="60" aboveAverage="0" equalAverage="0" bottom="0" percent="0" rank="0" text="" dxfId="1">
      <formula>AND(M15&gt;=10,M15&lt;20)</formula>
    </cfRule>
    <cfRule type="expression" priority="61" aboveAverage="0" equalAverage="0" bottom="0" percent="0" rank="0" text="" dxfId="2">
      <formula>AND(M15&gt;=5,M15&lt;10)</formula>
    </cfRule>
    <cfRule type="expression" priority="62" aboveAverage="0" equalAverage="0" bottom="0" percent="0" rank="0" text="" dxfId="3">
      <formula>AND(M15&gt;=1,M15&lt;5)</formula>
    </cfRule>
  </conditionalFormatting>
  <conditionalFormatting sqref="M16">
    <cfRule type="expression" priority="63" aboveAverage="0" equalAverage="0" bottom="0" percent="0" rank="0" text="" dxfId="0">
      <formula>M16&gt;=20</formula>
    </cfRule>
    <cfRule type="expression" priority="64" aboveAverage="0" equalAverage="0" bottom="0" percent="0" rank="0" text="" dxfId="1">
      <formula>AND(M16&gt;=10,M16&lt;20)</formula>
    </cfRule>
    <cfRule type="expression" priority="65" aboveAverage="0" equalAverage="0" bottom="0" percent="0" rank="0" text="" dxfId="2">
      <formula>AND(M16&gt;=5,M16&lt;10)</formula>
    </cfRule>
    <cfRule type="expression" priority="66" aboveAverage="0" equalAverage="0" bottom="0" percent="0" rank="0" text="" dxfId="3">
      <formula>AND(M16&gt;=1,M16&lt;5)</formula>
    </cfRule>
  </conditionalFormatting>
  <conditionalFormatting sqref="M17">
    <cfRule type="expression" priority="67" aboveAverage="0" equalAverage="0" bottom="0" percent="0" rank="0" text="" dxfId="0">
      <formula>M17&gt;=20</formula>
    </cfRule>
    <cfRule type="expression" priority="68" aboveAverage="0" equalAverage="0" bottom="0" percent="0" rank="0" text="" dxfId="1">
      <formula>AND(M17&gt;=10,M17&lt;20)</formula>
    </cfRule>
    <cfRule type="expression" priority="69" aboveAverage="0" equalAverage="0" bottom="0" percent="0" rank="0" text="" dxfId="2">
      <formula>AND(M17&gt;=5,M17&lt;10)</formula>
    </cfRule>
    <cfRule type="expression" priority="70" aboveAverage="0" equalAverage="0" bottom="0" percent="0" rank="0" text="" dxfId="3">
      <formula>AND(M17&gt;=1,M17&lt;5)</formula>
    </cfRule>
  </conditionalFormatting>
  <conditionalFormatting sqref="M18">
    <cfRule type="expression" priority="71" aboveAverage="0" equalAverage="0" bottom="0" percent="0" rank="0" text="" dxfId="0">
      <formula>M18&gt;=20</formula>
    </cfRule>
    <cfRule type="expression" priority="72" aboveAverage="0" equalAverage="0" bottom="0" percent="0" rank="0" text="" dxfId="1">
      <formula>AND(M18&gt;=10,M18&lt;20)</formula>
    </cfRule>
    <cfRule type="expression" priority="73" aboveAverage="0" equalAverage="0" bottom="0" percent="0" rank="0" text="" dxfId="2">
      <formula>AND(M18&gt;=5,M18&lt;10)</formula>
    </cfRule>
    <cfRule type="expression" priority="74" aboveAverage="0" equalAverage="0" bottom="0" percent="0" rank="0" text="" dxfId="3">
      <formula>AND(M18&gt;=1,M18&lt;5)</formula>
    </cfRule>
  </conditionalFormatting>
  <conditionalFormatting sqref="M19">
    <cfRule type="expression" priority="75" aboveAverage="0" equalAverage="0" bottom="0" percent="0" rank="0" text="" dxfId="0">
      <formula>M19&gt;=20</formula>
    </cfRule>
    <cfRule type="expression" priority="76" aboveAverage="0" equalAverage="0" bottom="0" percent="0" rank="0" text="" dxfId="1">
      <formula>AND(M19&gt;=10,M19&lt;20)</formula>
    </cfRule>
    <cfRule type="expression" priority="77" aboveAverage="0" equalAverage="0" bottom="0" percent="0" rank="0" text="" dxfId="2">
      <formula>AND(M19&gt;=5,M19&lt;10)</formula>
    </cfRule>
    <cfRule type="expression" priority="78" aboveAverage="0" equalAverage="0" bottom="0" percent="0" rank="0" text="" dxfId="3">
      <formula>AND(M19&gt;=1,M19&lt;5)</formula>
    </cfRule>
  </conditionalFormatting>
  <conditionalFormatting sqref="M20">
    <cfRule type="expression" priority="79" aboveAverage="0" equalAverage="0" bottom="0" percent="0" rank="0" text="" dxfId="0">
      <formula>M20&gt;=20</formula>
    </cfRule>
    <cfRule type="expression" priority="80" aboveAverage="0" equalAverage="0" bottom="0" percent="0" rank="0" text="" dxfId="1">
      <formula>AND(M20&gt;=10,M20&lt;20)</formula>
    </cfRule>
    <cfRule type="expression" priority="81" aboveAverage="0" equalAverage="0" bottom="0" percent="0" rank="0" text="" dxfId="2">
      <formula>AND(M20&gt;=5,M20&lt;10)</formula>
    </cfRule>
    <cfRule type="expression" priority="82" aboveAverage="0" equalAverage="0" bottom="0" percent="0" rank="0" text="" dxfId="3">
      <formula>AND(M20&gt;=1,M20&lt;5)</formula>
    </cfRule>
  </conditionalFormatting>
  <conditionalFormatting sqref="M21">
    <cfRule type="expression" priority="83" aboveAverage="0" equalAverage="0" bottom="0" percent="0" rank="0" text="" dxfId="0">
      <formula>M21&gt;=20</formula>
    </cfRule>
    <cfRule type="expression" priority="84" aboveAverage="0" equalAverage="0" bottom="0" percent="0" rank="0" text="" dxfId="1">
      <formula>AND(M21&gt;=10,M21&lt;20)</formula>
    </cfRule>
    <cfRule type="expression" priority="85" aboveAverage="0" equalAverage="0" bottom="0" percent="0" rank="0" text="" dxfId="2">
      <formula>AND(M21&gt;=5,M21&lt;10)</formula>
    </cfRule>
    <cfRule type="expression" priority="86" aboveAverage="0" equalAverage="0" bottom="0" percent="0" rank="0" text="" dxfId="3">
      <formula>AND(M21&gt;=1,M21&lt;5)</formula>
    </cfRule>
  </conditionalFormatting>
  <conditionalFormatting sqref="M22">
    <cfRule type="expression" priority="87" aboveAverage="0" equalAverage="0" bottom="0" percent="0" rank="0" text="" dxfId="0">
      <formula>M22&gt;=20</formula>
    </cfRule>
    <cfRule type="expression" priority="88" aboveAverage="0" equalAverage="0" bottom="0" percent="0" rank="0" text="" dxfId="1">
      <formula>AND(M22&gt;=10,M22&lt;20)</formula>
    </cfRule>
    <cfRule type="expression" priority="89" aboveAverage="0" equalAverage="0" bottom="0" percent="0" rank="0" text="" dxfId="2">
      <formula>AND(M22&gt;=5,M22&lt;10)</formula>
    </cfRule>
    <cfRule type="expression" priority="90" aboveAverage="0" equalAverage="0" bottom="0" percent="0" rank="0" text="" dxfId="3">
      <formula>AND(M22&gt;=1,M22&lt;5)</formula>
    </cfRule>
  </conditionalFormatting>
  <conditionalFormatting sqref="M23">
    <cfRule type="expression" priority="91" aboveAverage="0" equalAverage="0" bottom="0" percent="0" rank="0" text="" dxfId="0">
      <formula>M23&gt;=20</formula>
    </cfRule>
    <cfRule type="expression" priority="92" aboveAverage="0" equalAverage="0" bottom="0" percent="0" rank="0" text="" dxfId="1">
      <formula>AND(M23&gt;=10,M23&lt;20)</formula>
    </cfRule>
    <cfRule type="expression" priority="93" aboveAverage="0" equalAverage="0" bottom="0" percent="0" rank="0" text="" dxfId="2">
      <formula>AND(M23&gt;=5,M23&lt;10)</formula>
    </cfRule>
    <cfRule type="expression" priority="94" aboveAverage="0" equalAverage="0" bottom="0" percent="0" rank="0" text="" dxfId="3">
      <formula>AND(M23&gt;=1,M23&lt;5)</formula>
    </cfRule>
  </conditionalFormatting>
  <conditionalFormatting sqref="M24">
    <cfRule type="expression" priority="95" aboveAverage="0" equalAverage="0" bottom="0" percent="0" rank="0" text="" dxfId="0">
      <formula>M24&gt;=20</formula>
    </cfRule>
    <cfRule type="expression" priority="96" aboveAverage="0" equalAverage="0" bottom="0" percent="0" rank="0" text="" dxfId="1">
      <formula>AND(M24&gt;=10,M24&lt;20)</formula>
    </cfRule>
    <cfRule type="expression" priority="97" aboveAverage="0" equalAverage="0" bottom="0" percent="0" rank="0" text="" dxfId="2">
      <formula>AND(M24&gt;=5,M24&lt;10)</formula>
    </cfRule>
    <cfRule type="expression" priority="98" aboveAverage="0" equalAverage="0" bottom="0" percent="0" rank="0" text="" dxfId="3">
      <formula>AND(M24&gt;=1,M24&lt;5)</formula>
    </cfRule>
  </conditionalFormatting>
  <conditionalFormatting sqref="M25">
    <cfRule type="expression" priority="99" aboveAverage="0" equalAverage="0" bottom="0" percent="0" rank="0" text="" dxfId="0">
      <formula>M25&gt;=20</formula>
    </cfRule>
    <cfRule type="expression" priority="100" aboveAverage="0" equalAverage="0" bottom="0" percent="0" rank="0" text="" dxfId="1">
      <formula>AND(M25&gt;=10,M25&lt;20)</formula>
    </cfRule>
    <cfRule type="expression" priority="101" aboveAverage="0" equalAverage="0" bottom="0" percent="0" rank="0" text="" dxfId="2">
      <formula>AND(M25&gt;=5,M25&lt;10)</formula>
    </cfRule>
    <cfRule type="expression" priority="102" aboveAverage="0" equalAverage="0" bottom="0" percent="0" rank="0" text="" dxfId="3">
      <formula>AND(M25&gt;=1,M25&lt;5)</formula>
    </cfRule>
  </conditionalFormatting>
  <conditionalFormatting sqref="M26">
    <cfRule type="expression" priority="103" aboveAverage="0" equalAverage="0" bottom="0" percent="0" rank="0" text="" dxfId="0">
      <formula>M26&gt;=20</formula>
    </cfRule>
    <cfRule type="expression" priority="104" aboveAverage="0" equalAverage="0" bottom="0" percent="0" rank="0" text="" dxfId="1">
      <formula>AND(M26&gt;=10,M26&lt;20)</formula>
    </cfRule>
    <cfRule type="expression" priority="105" aboveAverage="0" equalAverage="0" bottom="0" percent="0" rank="0" text="" dxfId="2">
      <formula>AND(M26&gt;=5,M26&lt;10)</formula>
    </cfRule>
    <cfRule type="expression" priority="106" aboveAverage="0" equalAverage="0" bottom="0" percent="0" rank="0" text="" dxfId="3">
      <formula>AND(M26&gt;=1,M26&lt;5)</formula>
    </cfRule>
  </conditionalFormatting>
  <conditionalFormatting sqref="M27">
    <cfRule type="expression" priority="107" aboveAverage="0" equalAverage="0" bottom="0" percent="0" rank="0" text="" dxfId="0">
      <formula>M27&gt;=20</formula>
    </cfRule>
    <cfRule type="expression" priority="108" aboveAverage="0" equalAverage="0" bottom="0" percent="0" rank="0" text="" dxfId="1">
      <formula>AND(M27&gt;=10,M27&lt;20)</formula>
    </cfRule>
    <cfRule type="expression" priority="109" aboveAverage="0" equalAverage="0" bottom="0" percent="0" rank="0" text="" dxfId="2">
      <formula>AND(M27&gt;=5,M27&lt;10)</formula>
    </cfRule>
    <cfRule type="expression" priority="110" aboveAverage="0" equalAverage="0" bottom="0" percent="0" rank="0" text="" dxfId="3">
      <formula>AND(M27&gt;=1,M27&lt;5)</formula>
    </cfRule>
  </conditionalFormatting>
  <conditionalFormatting sqref="M28">
    <cfRule type="expression" priority="111" aboveAverage="0" equalAverage="0" bottom="0" percent="0" rank="0" text="" dxfId="0">
      <formula>M28&gt;=20</formula>
    </cfRule>
    <cfRule type="expression" priority="112" aboveAverage="0" equalAverage="0" bottom="0" percent="0" rank="0" text="" dxfId="1">
      <formula>AND(M28&gt;=10,M28&lt;20)</formula>
    </cfRule>
    <cfRule type="expression" priority="113" aboveAverage="0" equalAverage="0" bottom="0" percent="0" rank="0" text="" dxfId="2">
      <formula>AND(M28&gt;=5,M28&lt;10)</formula>
    </cfRule>
    <cfRule type="expression" priority="114" aboveAverage="0" equalAverage="0" bottom="0" percent="0" rank="0" text="" dxfId="3">
      <formula>AND(M28&gt;=1,M28&lt;5)</formula>
    </cfRule>
  </conditionalFormatting>
  <conditionalFormatting sqref="M29">
    <cfRule type="expression" priority="115" aboveAverage="0" equalAverage="0" bottom="0" percent="0" rank="0" text="" dxfId="0">
      <formula>M29&gt;=20</formula>
    </cfRule>
    <cfRule type="expression" priority="116" aboveAverage="0" equalAverage="0" bottom="0" percent="0" rank="0" text="" dxfId="1">
      <formula>AND(M29&gt;=10,M29&lt;20)</formula>
    </cfRule>
    <cfRule type="expression" priority="117" aboveAverage="0" equalAverage="0" bottom="0" percent="0" rank="0" text="" dxfId="2">
      <formula>AND(M29&gt;=5,M29&lt;10)</formula>
    </cfRule>
    <cfRule type="expression" priority="118" aboveAverage="0" equalAverage="0" bottom="0" percent="0" rank="0" text="" dxfId="3">
      <formula>AND(M29&gt;=1,M29&lt;5)</formula>
    </cfRule>
  </conditionalFormatting>
  <conditionalFormatting sqref="M30">
    <cfRule type="expression" priority="119" aboveAverage="0" equalAverage="0" bottom="0" percent="0" rank="0" text="" dxfId="0">
      <formula>M30&gt;=20</formula>
    </cfRule>
    <cfRule type="expression" priority="120" aboveAverage="0" equalAverage="0" bottom="0" percent="0" rank="0" text="" dxfId="1">
      <formula>AND(M30&gt;=10,M30&lt;20)</formula>
    </cfRule>
    <cfRule type="expression" priority="121" aboveAverage="0" equalAverage="0" bottom="0" percent="0" rank="0" text="" dxfId="2">
      <formula>AND(M30&gt;=5,M30&lt;10)</formula>
    </cfRule>
    <cfRule type="expression" priority="122" aboveAverage="0" equalAverage="0" bottom="0" percent="0" rank="0" text="" dxfId="3">
      <formula>AND(M30&gt;=1,M30&lt;5)</formula>
    </cfRule>
  </conditionalFormatting>
  <conditionalFormatting sqref="M31">
    <cfRule type="expression" priority="123" aboveAverage="0" equalAverage="0" bottom="0" percent="0" rank="0" text="" dxfId="0">
      <formula>M31&gt;=20</formula>
    </cfRule>
    <cfRule type="expression" priority="124" aboveAverage="0" equalAverage="0" bottom="0" percent="0" rank="0" text="" dxfId="1">
      <formula>AND(M31&gt;=10,M31&lt;20)</formula>
    </cfRule>
    <cfRule type="expression" priority="125" aboveAverage="0" equalAverage="0" bottom="0" percent="0" rank="0" text="" dxfId="2">
      <formula>AND(M31&gt;=5,M31&lt;10)</formula>
    </cfRule>
    <cfRule type="expression" priority="126" aboveAverage="0" equalAverage="0" bottom="0" percent="0" rank="0" text="" dxfId="3">
      <formula>AND(M31&gt;=1,M31&lt;5)</formula>
    </cfRule>
  </conditionalFormatting>
  <conditionalFormatting sqref="M32">
    <cfRule type="expression" priority="127" aboveAverage="0" equalAverage="0" bottom="0" percent="0" rank="0" text="" dxfId="0">
      <formula>M32&gt;=20</formula>
    </cfRule>
    <cfRule type="expression" priority="128" aboveAverage="0" equalAverage="0" bottom="0" percent="0" rank="0" text="" dxfId="1">
      <formula>AND(M32&gt;=10,M32&lt;20)</formula>
    </cfRule>
    <cfRule type="expression" priority="129" aboveAverage="0" equalAverage="0" bottom="0" percent="0" rank="0" text="" dxfId="2">
      <formula>AND(M32&gt;=5,M32&lt;10)</formula>
    </cfRule>
    <cfRule type="expression" priority="130" aboveAverage="0" equalAverage="0" bottom="0" percent="0" rank="0" text="" dxfId="3">
      <formula>AND(M32&gt;=1,M32&lt;5)</formula>
    </cfRule>
  </conditionalFormatting>
  <conditionalFormatting sqref="M33">
    <cfRule type="expression" priority="131" aboveAverage="0" equalAverage="0" bottom="0" percent="0" rank="0" text="" dxfId="0">
      <formula>M33&gt;=20</formula>
    </cfRule>
    <cfRule type="expression" priority="132" aboveAverage="0" equalAverage="0" bottom="0" percent="0" rank="0" text="" dxfId="1">
      <formula>AND(M33&gt;=10,M33&lt;20)</formula>
    </cfRule>
    <cfRule type="expression" priority="133" aboveAverage="0" equalAverage="0" bottom="0" percent="0" rank="0" text="" dxfId="2">
      <formula>AND(M33&gt;=5,M33&lt;10)</formula>
    </cfRule>
    <cfRule type="expression" priority="134" aboveAverage="0" equalAverage="0" bottom="0" percent="0" rank="0" text="" dxfId="3">
      <formula>AND(M33&gt;=1,M33&lt;5)</formula>
    </cfRule>
  </conditionalFormatting>
  <conditionalFormatting sqref="M34">
    <cfRule type="expression" priority="135" aboveAverage="0" equalAverage="0" bottom="0" percent="0" rank="0" text="" dxfId="0">
      <formula>M34&gt;=20</formula>
    </cfRule>
    <cfRule type="expression" priority="136" aboveAverage="0" equalAverage="0" bottom="0" percent="0" rank="0" text="" dxfId="1">
      <formula>AND(M34&gt;=10,M34&lt;20)</formula>
    </cfRule>
    <cfRule type="expression" priority="137" aboveAverage="0" equalAverage="0" bottom="0" percent="0" rank="0" text="" dxfId="2">
      <formula>AND(M34&gt;=5,M34&lt;10)</formula>
    </cfRule>
    <cfRule type="expression" priority="138" aboveAverage="0" equalAverage="0" bottom="0" percent="0" rank="0" text="" dxfId="3">
      <formula>AND(M34&gt;=1,M34&lt;5)</formula>
    </cfRule>
  </conditionalFormatting>
  <conditionalFormatting sqref="M35">
    <cfRule type="expression" priority="139" aboveAverage="0" equalAverage="0" bottom="0" percent="0" rank="0" text="" dxfId="0">
      <formula>M35&gt;=20</formula>
    </cfRule>
    <cfRule type="expression" priority="140" aboveAverage="0" equalAverage="0" bottom="0" percent="0" rank="0" text="" dxfId="1">
      <formula>AND(M35&gt;=10,M35&lt;20)</formula>
    </cfRule>
    <cfRule type="expression" priority="141" aboveAverage="0" equalAverage="0" bottom="0" percent="0" rank="0" text="" dxfId="2">
      <formula>AND(M35&gt;=5,M35&lt;10)</formula>
    </cfRule>
    <cfRule type="expression" priority="142" aboveAverage="0" equalAverage="0" bottom="0" percent="0" rank="0" text="" dxfId="3">
      <formula>AND(M35&gt;=1,M35&lt;5)</formula>
    </cfRule>
  </conditionalFormatting>
  <conditionalFormatting sqref="M36">
    <cfRule type="expression" priority="143" aboveAverage="0" equalAverage="0" bottom="0" percent="0" rank="0" text="" dxfId="0">
      <formula>M36&gt;=20</formula>
    </cfRule>
    <cfRule type="expression" priority="144" aboveAverage="0" equalAverage="0" bottom="0" percent="0" rank="0" text="" dxfId="1">
      <formula>AND(M36&gt;=10,M36&lt;20)</formula>
    </cfRule>
    <cfRule type="expression" priority="145" aboveAverage="0" equalAverage="0" bottom="0" percent="0" rank="0" text="" dxfId="2">
      <formula>AND(M36&gt;=5,M36&lt;10)</formula>
    </cfRule>
    <cfRule type="expression" priority="146" aboveAverage="0" equalAverage="0" bottom="0" percent="0" rank="0" text="" dxfId="3">
      <formula>AND(M36&gt;=1,M36&lt;5)</formula>
    </cfRule>
  </conditionalFormatting>
  <conditionalFormatting sqref="M37">
    <cfRule type="expression" priority="147" aboveAverage="0" equalAverage="0" bottom="0" percent="0" rank="0" text="" dxfId="0">
      <formula>M37&gt;=20</formula>
    </cfRule>
    <cfRule type="expression" priority="148" aboveAverage="0" equalAverage="0" bottom="0" percent="0" rank="0" text="" dxfId="1">
      <formula>AND(M37&gt;=10,M37&lt;20)</formula>
    </cfRule>
    <cfRule type="expression" priority="149" aboveAverage="0" equalAverage="0" bottom="0" percent="0" rank="0" text="" dxfId="2">
      <formula>AND(M37&gt;=5,M37&lt;10)</formula>
    </cfRule>
    <cfRule type="expression" priority="150" aboveAverage="0" equalAverage="0" bottom="0" percent="0" rank="0" text="" dxfId="3">
      <formula>AND(M37&gt;=1,M37&lt;5)</formula>
    </cfRule>
  </conditionalFormatting>
  <conditionalFormatting sqref="M38">
    <cfRule type="expression" priority="151" aboveAverage="0" equalAverage="0" bottom="0" percent="0" rank="0" text="" dxfId="0">
      <formula>M38&gt;=20</formula>
    </cfRule>
    <cfRule type="expression" priority="152" aboveAverage="0" equalAverage="0" bottom="0" percent="0" rank="0" text="" dxfId="1">
      <formula>AND(M38&gt;=10,M38&lt;20)</formula>
    </cfRule>
    <cfRule type="expression" priority="153" aboveAverage="0" equalAverage="0" bottom="0" percent="0" rank="0" text="" dxfId="2">
      <formula>AND(M38&gt;=5,M38&lt;10)</formula>
    </cfRule>
    <cfRule type="expression" priority="154" aboveAverage="0" equalAverage="0" bottom="0" percent="0" rank="0" text="" dxfId="3">
      <formula>AND(M38&gt;=1,M38&lt;5)</formula>
    </cfRule>
  </conditionalFormatting>
  <conditionalFormatting sqref="M39">
    <cfRule type="expression" priority="155" aboveAverage="0" equalAverage="0" bottom="0" percent="0" rank="0" text="" dxfId="0">
      <formula>M39&gt;=20</formula>
    </cfRule>
    <cfRule type="expression" priority="156" aboveAverage="0" equalAverage="0" bottom="0" percent="0" rank="0" text="" dxfId="1">
      <formula>AND(M39&gt;=10,M39&lt;20)</formula>
    </cfRule>
    <cfRule type="expression" priority="157" aboveAverage="0" equalAverage="0" bottom="0" percent="0" rank="0" text="" dxfId="2">
      <formula>AND(M39&gt;=5,M39&lt;10)</formula>
    </cfRule>
    <cfRule type="expression" priority="158" aboveAverage="0" equalAverage="0" bottom="0" percent="0" rank="0" text="" dxfId="3">
      <formula>AND(M39&gt;=1,M39&lt;5)</formula>
    </cfRule>
  </conditionalFormatting>
  <conditionalFormatting sqref="M40">
    <cfRule type="expression" priority="159" aboveAverage="0" equalAverage="0" bottom="0" percent="0" rank="0" text="" dxfId="0">
      <formula>M40&gt;=20</formula>
    </cfRule>
    <cfRule type="expression" priority="160" aboveAverage="0" equalAverage="0" bottom="0" percent="0" rank="0" text="" dxfId="1">
      <formula>AND(M40&gt;=10,M40&lt;20)</formula>
    </cfRule>
    <cfRule type="expression" priority="161" aboveAverage="0" equalAverage="0" bottom="0" percent="0" rank="0" text="" dxfId="2">
      <formula>AND(M40&gt;=5,M40&lt;10)</formula>
    </cfRule>
    <cfRule type="expression" priority="162" aboveAverage="0" equalAverage="0" bottom="0" percent="0" rank="0" text="" dxfId="3">
      <formula>AND(M40&gt;=1,M40&lt;5)</formula>
    </cfRule>
  </conditionalFormatting>
  <conditionalFormatting sqref="M41">
    <cfRule type="expression" priority="163" aboveAverage="0" equalAverage="0" bottom="0" percent="0" rank="0" text="" dxfId="0">
      <formula>M41&gt;=20</formula>
    </cfRule>
    <cfRule type="expression" priority="164" aboveAverage="0" equalAverage="0" bottom="0" percent="0" rank="0" text="" dxfId="1">
      <formula>AND(M41&gt;=10,M41&lt;20)</formula>
    </cfRule>
    <cfRule type="expression" priority="165" aboveAverage="0" equalAverage="0" bottom="0" percent="0" rank="0" text="" dxfId="2">
      <formula>AND(M41&gt;=5,M41&lt;10)</formula>
    </cfRule>
    <cfRule type="expression" priority="166" aboveAverage="0" equalAverage="0" bottom="0" percent="0" rank="0" text="" dxfId="3">
      <formula>AND(M41&gt;=1,M41&lt;5)</formula>
    </cfRule>
  </conditionalFormatting>
  <conditionalFormatting sqref="M42">
    <cfRule type="expression" priority="167" aboveAverage="0" equalAverage="0" bottom="0" percent="0" rank="0" text="" dxfId="0">
      <formula>M42&gt;=20</formula>
    </cfRule>
    <cfRule type="expression" priority="168" aboveAverage="0" equalAverage="0" bottom="0" percent="0" rank="0" text="" dxfId="1">
      <formula>AND(M42&gt;=10,M42&lt;20)</formula>
    </cfRule>
    <cfRule type="expression" priority="169" aboveAverage="0" equalAverage="0" bottom="0" percent="0" rank="0" text="" dxfId="2">
      <formula>AND(M42&gt;=5,M42&lt;10)</formula>
    </cfRule>
    <cfRule type="expression" priority="170" aboveAverage="0" equalAverage="0" bottom="0" percent="0" rank="0" text="" dxfId="3">
      <formula>AND(M42&gt;=1,M42&lt;5)</formula>
    </cfRule>
  </conditionalFormatting>
  <conditionalFormatting sqref="M43">
    <cfRule type="expression" priority="171" aboveAverage="0" equalAverage="0" bottom="0" percent="0" rank="0" text="" dxfId="0">
      <formula>M43&gt;=20</formula>
    </cfRule>
    <cfRule type="expression" priority="172" aboveAverage="0" equalAverage="0" bottom="0" percent="0" rank="0" text="" dxfId="1">
      <formula>AND(M43&gt;=10,M43&lt;20)</formula>
    </cfRule>
    <cfRule type="expression" priority="173" aboveAverage="0" equalAverage="0" bottom="0" percent="0" rank="0" text="" dxfId="2">
      <formula>AND(M43&gt;=5,M43&lt;10)</formula>
    </cfRule>
    <cfRule type="expression" priority="174" aboveAverage="0" equalAverage="0" bottom="0" percent="0" rank="0" text="" dxfId="3">
      <formula>AND(M43&gt;=1,M43&lt;5)</formula>
    </cfRule>
  </conditionalFormatting>
  <conditionalFormatting sqref="M44">
    <cfRule type="expression" priority="175" aboveAverage="0" equalAverage="0" bottom="0" percent="0" rank="0" text="" dxfId="0">
      <formula>M44&gt;=20</formula>
    </cfRule>
    <cfRule type="expression" priority="176" aboveAverage="0" equalAverage="0" bottom="0" percent="0" rank="0" text="" dxfId="1">
      <formula>AND(M44&gt;=10,M44&lt;20)</formula>
    </cfRule>
    <cfRule type="expression" priority="177" aboveAverage="0" equalAverage="0" bottom="0" percent="0" rank="0" text="" dxfId="2">
      <formula>AND(M44&gt;=5,M44&lt;10)</formula>
    </cfRule>
    <cfRule type="expression" priority="178" aboveAverage="0" equalAverage="0" bottom="0" percent="0" rank="0" text="" dxfId="3">
      <formula>AND(M44&gt;=1,M44&lt;5)</formula>
    </cfRule>
  </conditionalFormatting>
  <conditionalFormatting sqref="M45">
    <cfRule type="expression" priority="179" aboveAverage="0" equalAverage="0" bottom="0" percent="0" rank="0" text="" dxfId="0">
      <formula>M45&gt;=20</formula>
    </cfRule>
    <cfRule type="expression" priority="180" aboveAverage="0" equalAverage="0" bottom="0" percent="0" rank="0" text="" dxfId="1">
      <formula>AND(M45&gt;=10,M45&lt;20)</formula>
    </cfRule>
    <cfRule type="expression" priority="181" aboveAverage="0" equalAverage="0" bottom="0" percent="0" rank="0" text="" dxfId="2">
      <formula>AND(M45&gt;=5,M45&lt;10)</formula>
    </cfRule>
    <cfRule type="expression" priority="182" aboveAverage="0" equalAverage="0" bottom="0" percent="0" rank="0" text="" dxfId="3">
      <formula>AND(M45&gt;=1,M45&lt;5)</formula>
    </cfRule>
  </conditionalFormatting>
  <conditionalFormatting sqref="M46">
    <cfRule type="expression" priority="183" aboveAverage="0" equalAverage="0" bottom="0" percent="0" rank="0" text="" dxfId="0">
      <formula>M46&gt;=20</formula>
    </cfRule>
    <cfRule type="expression" priority="184" aboveAverage="0" equalAverage="0" bottom="0" percent="0" rank="0" text="" dxfId="1">
      <formula>AND(M46&gt;=10,M46&lt;20)</formula>
    </cfRule>
    <cfRule type="expression" priority="185" aboveAverage="0" equalAverage="0" bottom="0" percent="0" rank="0" text="" dxfId="2">
      <formula>AND(M46&gt;=5,M46&lt;10)</formula>
    </cfRule>
    <cfRule type="expression" priority="186" aboveAverage="0" equalAverage="0" bottom="0" percent="0" rank="0" text="" dxfId="3">
      <formula>AND(M46&gt;=1,M46&lt;5)</formula>
    </cfRule>
  </conditionalFormatting>
  <conditionalFormatting sqref="M47">
    <cfRule type="expression" priority="187" aboveAverage="0" equalAverage="0" bottom="0" percent="0" rank="0" text="" dxfId="0">
      <formula>M47&gt;=20</formula>
    </cfRule>
    <cfRule type="expression" priority="188" aboveAverage="0" equalAverage="0" bottom="0" percent="0" rank="0" text="" dxfId="1">
      <formula>AND(M47&gt;=10,M47&lt;20)</formula>
    </cfRule>
    <cfRule type="expression" priority="189" aboveAverage="0" equalAverage="0" bottom="0" percent="0" rank="0" text="" dxfId="2">
      <formula>AND(M47&gt;=5,M47&lt;10)</formula>
    </cfRule>
    <cfRule type="expression" priority="190" aboveAverage="0" equalAverage="0" bottom="0" percent="0" rank="0" text="" dxfId="3">
      <formula>AND(M47&gt;=1,M47&lt;5)</formula>
    </cfRule>
  </conditionalFormatting>
  <conditionalFormatting sqref="M48">
    <cfRule type="expression" priority="191" aboveAverage="0" equalAverage="0" bottom="0" percent="0" rank="0" text="" dxfId="0">
      <formula>M48&gt;=20</formula>
    </cfRule>
    <cfRule type="expression" priority="192" aboveAverage="0" equalAverage="0" bottom="0" percent="0" rank="0" text="" dxfId="1">
      <formula>AND(M48&gt;=10,M48&lt;20)</formula>
    </cfRule>
    <cfRule type="expression" priority="193" aboveAverage="0" equalAverage="0" bottom="0" percent="0" rank="0" text="" dxfId="2">
      <formula>AND(M48&gt;=5,M48&lt;10)</formula>
    </cfRule>
    <cfRule type="expression" priority="194" aboveAverage="0" equalAverage="0" bottom="0" percent="0" rank="0" text="" dxfId="3">
      <formula>AND(M48&gt;=1,M48&lt;5)</formula>
    </cfRule>
  </conditionalFormatting>
  <conditionalFormatting sqref="M49">
    <cfRule type="expression" priority="195" aboveAverage="0" equalAverage="0" bottom="0" percent="0" rank="0" text="" dxfId="0">
      <formula>M49&gt;=20</formula>
    </cfRule>
    <cfRule type="expression" priority="196" aboveAverage="0" equalAverage="0" bottom="0" percent="0" rank="0" text="" dxfId="1">
      <formula>AND(M49&gt;=10,M49&lt;20)</formula>
    </cfRule>
    <cfRule type="expression" priority="197" aboveAverage="0" equalAverage="0" bottom="0" percent="0" rank="0" text="" dxfId="2">
      <formula>AND(M49&gt;=5,M49&lt;10)</formula>
    </cfRule>
    <cfRule type="expression" priority="198" aboveAverage="0" equalAverage="0" bottom="0" percent="0" rank="0" text="" dxfId="3">
      <formula>AND(M49&gt;=1,M49&lt;5)</formula>
    </cfRule>
  </conditionalFormatting>
  <conditionalFormatting sqref="M50">
    <cfRule type="expression" priority="199" aboveAverage="0" equalAverage="0" bottom="0" percent="0" rank="0" text="" dxfId="0">
      <formula>M50&gt;=20</formula>
    </cfRule>
    <cfRule type="expression" priority="200" aboveAverage="0" equalAverage="0" bottom="0" percent="0" rank="0" text="" dxfId="1">
      <formula>AND(M50&gt;=10,M50&lt;20)</formula>
    </cfRule>
    <cfRule type="expression" priority="201" aboveAverage="0" equalAverage="0" bottom="0" percent="0" rank="0" text="" dxfId="2">
      <formula>AND(M50&gt;=5,M50&lt;10)</formula>
    </cfRule>
    <cfRule type="expression" priority="202" aboveAverage="0" equalAverage="0" bottom="0" percent="0" rank="0" text="" dxfId="3">
      <formula>AND(M50&gt;=1,M50&lt;5)</formula>
    </cfRule>
  </conditionalFormatting>
  <conditionalFormatting sqref="M51">
    <cfRule type="expression" priority="203" aboveAverage="0" equalAverage="0" bottom="0" percent="0" rank="0" text="" dxfId="0">
      <formula>M51&gt;=20</formula>
    </cfRule>
    <cfRule type="expression" priority="204" aboveAverage="0" equalAverage="0" bottom="0" percent="0" rank="0" text="" dxfId="1">
      <formula>AND(M51&gt;=10,M51&lt;20)</formula>
    </cfRule>
    <cfRule type="expression" priority="205" aboveAverage="0" equalAverage="0" bottom="0" percent="0" rank="0" text="" dxfId="2">
      <formula>AND(M51&gt;=5,M51&lt;10)</formula>
    </cfRule>
    <cfRule type="expression" priority="206" aboveAverage="0" equalAverage="0" bottom="0" percent="0" rank="0" text="" dxfId="3">
      <formula>AND(M51&gt;=1,M51&lt;5)</formula>
    </cfRule>
  </conditionalFormatting>
  <conditionalFormatting sqref="M52">
    <cfRule type="expression" priority="207" aboveAverage="0" equalAverage="0" bottom="0" percent="0" rank="0" text="" dxfId="0">
      <formula>M52&gt;=20</formula>
    </cfRule>
    <cfRule type="expression" priority="208" aboveAverage="0" equalAverage="0" bottom="0" percent="0" rank="0" text="" dxfId="1">
      <formula>AND(M52&gt;=10,M52&lt;20)</formula>
    </cfRule>
    <cfRule type="expression" priority="209" aboveAverage="0" equalAverage="0" bottom="0" percent="0" rank="0" text="" dxfId="2">
      <formula>AND(M52&gt;=5,M52&lt;10)</formula>
    </cfRule>
    <cfRule type="expression" priority="210" aboveAverage="0" equalAverage="0" bottom="0" percent="0" rank="0" text="" dxfId="3">
      <formula>AND(M52&gt;=1,M52&lt;5)</formula>
    </cfRule>
  </conditionalFormatting>
  <conditionalFormatting sqref="M53">
    <cfRule type="expression" priority="211" aboveAverage="0" equalAverage="0" bottom="0" percent="0" rank="0" text="" dxfId="0">
      <formula>M53&gt;=20</formula>
    </cfRule>
    <cfRule type="expression" priority="212" aboveAverage="0" equalAverage="0" bottom="0" percent="0" rank="0" text="" dxfId="1">
      <formula>AND(M53&gt;=10,M53&lt;20)</formula>
    </cfRule>
    <cfRule type="expression" priority="213" aboveAverage="0" equalAverage="0" bottom="0" percent="0" rank="0" text="" dxfId="2">
      <formula>AND(M53&gt;=5,M53&lt;10)</formula>
    </cfRule>
    <cfRule type="expression" priority="214" aboveAverage="0" equalAverage="0" bottom="0" percent="0" rank="0" text="" dxfId="3">
      <formula>AND(M53&gt;=1,M53&lt;5)</formula>
    </cfRule>
  </conditionalFormatting>
  <conditionalFormatting sqref="M54">
    <cfRule type="expression" priority="215" aboveAverage="0" equalAverage="0" bottom="0" percent="0" rank="0" text="" dxfId="0">
      <formula>M54&gt;=20</formula>
    </cfRule>
    <cfRule type="expression" priority="216" aboveAverage="0" equalAverage="0" bottom="0" percent="0" rank="0" text="" dxfId="1">
      <formula>AND(M54&gt;=10,M54&lt;20)</formula>
    </cfRule>
    <cfRule type="expression" priority="217" aboveAverage="0" equalAverage="0" bottom="0" percent="0" rank="0" text="" dxfId="2">
      <formula>AND(M54&gt;=5,M54&lt;10)</formula>
    </cfRule>
    <cfRule type="expression" priority="218" aboveAverage="0" equalAverage="0" bottom="0" percent="0" rank="0" text="" dxfId="3">
      <formula>AND(M54&gt;=1,M54&lt;5)</formula>
    </cfRule>
  </conditionalFormatting>
  <conditionalFormatting sqref="M55">
    <cfRule type="expression" priority="219" aboveAverage="0" equalAverage="0" bottom="0" percent="0" rank="0" text="" dxfId="0">
      <formula>M55&gt;=20</formula>
    </cfRule>
    <cfRule type="expression" priority="220" aboveAverage="0" equalAverage="0" bottom="0" percent="0" rank="0" text="" dxfId="1">
      <formula>AND(M55&gt;=10,M55&lt;20)</formula>
    </cfRule>
    <cfRule type="expression" priority="221" aboveAverage="0" equalAverage="0" bottom="0" percent="0" rank="0" text="" dxfId="2">
      <formula>AND(M55&gt;=5,M55&lt;10)</formula>
    </cfRule>
    <cfRule type="expression" priority="222" aboveAverage="0" equalAverage="0" bottom="0" percent="0" rank="0" text="" dxfId="3">
      <formula>AND(M55&gt;=1,M55&lt;5)</formula>
    </cfRule>
  </conditionalFormatting>
  <conditionalFormatting sqref="M56">
    <cfRule type="expression" priority="223" aboveAverage="0" equalAverage="0" bottom="0" percent="0" rank="0" text="" dxfId="0">
      <formula>M56&gt;=20</formula>
    </cfRule>
    <cfRule type="expression" priority="224" aboveAverage="0" equalAverage="0" bottom="0" percent="0" rank="0" text="" dxfId="1">
      <formula>AND(M56&gt;=10,M56&lt;20)</formula>
    </cfRule>
    <cfRule type="expression" priority="225" aboveAverage="0" equalAverage="0" bottom="0" percent="0" rank="0" text="" dxfId="2">
      <formula>AND(M56&gt;=5,M56&lt;10)</formula>
    </cfRule>
    <cfRule type="expression" priority="226" aboveAverage="0" equalAverage="0" bottom="0" percent="0" rank="0" text="" dxfId="3">
      <formula>AND(M56&gt;=1,M56&lt;5)</formula>
    </cfRule>
  </conditionalFormatting>
  <conditionalFormatting sqref="M57">
    <cfRule type="expression" priority="227" aboveAverage="0" equalAverage="0" bottom="0" percent="0" rank="0" text="" dxfId="0">
      <formula>M57&gt;=20</formula>
    </cfRule>
    <cfRule type="expression" priority="228" aboveAverage="0" equalAverage="0" bottom="0" percent="0" rank="0" text="" dxfId="1">
      <formula>AND(M57&gt;=10,M57&lt;20)</formula>
    </cfRule>
    <cfRule type="expression" priority="229" aboveAverage="0" equalAverage="0" bottom="0" percent="0" rank="0" text="" dxfId="2">
      <formula>AND(M57&gt;=5,M57&lt;10)</formula>
    </cfRule>
    <cfRule type="expression" priority="230" aboveAverage="0" equalAverage="0" bottom="0" percent="0" rank="0" text="" dxfId="3">
      <formula>AND(M57&gt;=1,M57&lt;5)</formula>
    </cfRule>
  </conditionalFormatting>
  <conditionalFormatting sqref="M58">
    <cfRule type="expression" priority="231" aboveAverage="0" equalAverage="0" bottom="0" percent="0" rank="0" text="" dxfId="0">
      <formula>M58&gt;=20</formula>
    </cfRule>
    <cfRule type="expression" priority="232" aboveAverage="0" equalAverage="0" bottom="0" percent="0" rank="0" text="" dxfId="1">
      <formula>AND(M58&gt;=10,M58&lt;20)</formula>
    </cfRule>
    <cfRule type="expression" priority="233" aboveAverage="0" equalAverage="0" bottom="0" percent="0" rank="0" text="" dxfId="2">
      <formula>AND(M58&gt;=5,M58&lt;10)</formula>
    </cfRule>
    <cfRule type="expression" priority="234" aboveAverage="0" equalAverage="0" bottom="0" percent="0" rank="0" text="" dxfId="3">
      <formula>AND(M58&gt;=1,M58&lt;5)</formula>
    </cfRule>
  </conditionalFormatting>
  <conditionalFormatting sqref="M59">
    <cfRule type="expression" priority="235" aboveAverage="0" equalAverage="0" bottom="0" percent="0" rank="0" text="" dxfId="0">
      <formula>M59&gt;=20</formula>
    </cfRule>
    <cfRule type="expression" priority="236" aboveAverage="0" equalAverage="0" bottom="0" percent="0" rank="0" text="" dxfId="1">
      <formula>AND(M59&gt;=10,M59&lt;20)</formula>
    </cfRule>
    <cfRule type="expression" priority="237" aboveAverage="0" equalAverage="0" bottom="0" percent="0" rank="0" text="" dxfId="2">
      <formula>AND(M59&gt;=5,M59&lt;10)</formula>
    </cfRule>
    <cfRule type="expression" priority="238" aboveAverage="0" equalAverage="0" bottom="0" percent="0" rank="0" text="" dxfId="3">
      <formula>AND(M59&gt;=1,M59&lt;5)</formula>
    </cfRule>
  </conditionalFormatting>
  <conditionalFormatting sqref="M60">
    <cfRule type="expression" priority="239" aboveAverage="0" equalAverage="0" bottom="0" percent="0" rank="0" text="" dxfId="0">
      <formula>M60&gt;=20</formula>
    </cfRule>
    <cfRule type="expression" priority="240" aboveAverage="0" equalAverage="0" bottom="0" percent="0" rank="0" text="" dxfId="1">
      <formula>AND(M60&gt;=10,M60&lt;20)</formula>
    </cfRule>
    <cfRule type="expression" priority="241" aboveAverage="0" equalAverage="0" bottom="0" percent="0" rank="0" text="" dxfId="2">
      <formula>AND(M60&gt;=5,M60&lt;10)</formula>
    </cfRule>
    <cfRule type="expression" priority="242" aboveAverage="0" equalAverage="0" bottom="0" percent="0" rank="0" text="" dxfId="3">
      <formula>AND(M60&gt;=1,M60&lt;5)</formula>
    </cfRule>
  </conditionalFormatting>
  <conditionalFormatting sqref="M61">
    <cfRule type="expression" priority="243" aboveAverage="0" equalAverage="0" bottom="0" percent="0" rank="0" text="" dxfId="0">
      <formula>M61&gt;=20</formula>
    </cfRule>
    <cfRule type="expression" priority="244" aboveAverage="0" equalAverage="0" bottom="0" percent="0" rank="0" text="" dxfId="1">
      <formula>AND(M61&gt;=10,M61&lt;20)</formula>
    </cfRule>
    <cfRule type="expression" priority="245" aboveAverage="0" equalAverage="0" bottom="0" percent="0" rank="0" text="" dxfId="2">
      <formula>AND(M61&gt;=5,M61&lt;10)</formula>
    </cfRule>
    <cfRule type="expression" priority="246" aboveAverage="0" equalAverage="0" bottom="0" percent="0" rank="0" text="" dxfId="3">
      <formula>AND(M61&gt;=1,M61&lt;5)</formula>
    </cfRule>
  </conditionalFormatting>
  <conditionalFormatting sqref="M62">
    <cfRule type="expression" priority="247" aboveAverage="0" equalAverage="0" bottom="0" percent="0" rank="0" text="" dxfId="0">
      <formula>M62&gt;=20</formula>
    </cfRule>
    <cfRule type="expression" priority="248" aboveAverage="0" equalAverage="0" bottom="0" percent="0" rank="0" text="" dxfId="1">
      <formula>AND(M62&gt;=10,M62&lt;20)</formula>
    </cfRule>
    <cfRule type="expression" priority="249" aboveAverage="0" equalAverage="0" bottom="0" percent="0" rank="0" text="" dxfId="2">
      <formula>AND(M62&gt;=5,M62&lt;10)</formula>
    </cfRule>
    <cfRule type="expression" priority="250" aboveAverage="0" equalAverage="0" bottom="0" percent="0" rank="0" text="" dxfId="3">
      <formula>AND(M62&gt;=1,M62&lt;5)</formula>
    </cfRule>
  </conditionalFormatting>
  <conditionalFormatting sqref="M63">
    <cfRule type="expression" priority="251" aboveAverage="0" equalAverage="0" bottom="0" percent="0" rank="0" text="" dxfId="0">
      <formula>M63&gt;=20</formula>
    </cfRule>
    <cfRule type="expression" priority="252" aboveAverage="0" equalAverage="0" bottom="0" percent="0" rank="0" text="" dxfId="1">
      <formula>AND(M63&gt;=10,M63&lt;20)</formula>
    </cfRule>
    <cfRule type="expression" priority="253" aboveAverage="0" equalAverage="0" bottom="0" percent="0" rank="0" text="" dxfId="2">
      <formula>AND(M63&gt;=5,M63&lt;10)</formula>
    </cfRule>
    <cfRule type="expression" priority="254" aboveAverage="0" equalAverage="0" bottom="0" percent="0" rank="0" text="" dxfId="3">
      <formula>AND(M63&gt;=1,M63&lt;5)</formula>
    </cfRule>
  </conditionalFormatting>
  <conditionalFormatting sqref="M64">
    <cfRule type="expression" priority="255" aboveAverage="0" equalAverage="0" bottom="0" percent="0" rank="0" text="" dxfId="0">
      <formula>M64&gt;=20</formula>
    </cfRule>
    <cfRule type="expression" priority="256" aboveAverage="0" equalAverage="0" bottom="0" percent="0" rank="0" text="" dxfId="1">
      <formula>AND(M64&gt;=10,M64&lt;20)</formula>
    </cfRule>
    <cfRule type="expression" priority="257" aboveAverage="0" equalAverage="0" bottom="0" percent="0" rank="0" text="" dxfId="2">
      <formula>AND(M64&gt;=5,M64&lt;10)</formula>
    </cfRule>
    <cfRule type="expression" priority="258" aboveAverage="0" equalAverage="0" bottom="0" percent="0" rank="0" text="" dxfId="3">
      <formula>AND(M64&gt;=1,M64&lt;5)</formula>
    </cfRule>
  </conditionalFormatting>
  <conditionalFormatting sqref="M65">
    <cfRule type="expression" priority="259" aboveAverage="0" equalAverage="0" bottom="0" percent="0" rank="0" text="" dxfId="0">
      <formula>M65&gt;=20</formula>
    </cfRule>
    <cfRule type="expression" priority="260" aboveAverage="0" equalAverage="0" bottom="0" percent="0" rank="0" text="" dxfId="1">
      <formula>AND(M65&gt;=10,M65&lt;20)</formula>
    </cfRule>
    <cfRule type="expression" priority="261" aboveAverage="0" equalAverage="0" bottom="0" percent="0" rank="0" text="" dxfId="2">
      <formula>AND(M65&gt;=5,M65&lt;10)</formula>
    </cfRule>
    <cfRule type="expression" priority="262" aboveAverage="0" equalAverage="0" bottom="0" percent="0" rank="0" text="" dxfId="3">
      <formula>AND(M65&gt;=1,M65&lt;5)</formula>
    </cfRule>
  </conditionalFormatting>
  <conditionalFormatting sqref="M66">
    <cfRule type="expression" priority="263" aboveAverage="0" equalAverage="0" bottom="0" percent="0" rank="0" text="" dxfId="0">
      <formula>M66&gt;=20</formula>
    </cfRule>
    <cfRule type="expression" priority="264" aboveAverage="0" equalAverage="0" bottom="0" percent="0" rank="0" text="" dxfId="1">
      <formula>AND(M66&gt;=10,M66&lt;20)</formula>
    </cfRule>
    <cfRule type="expression" priority="265" aboveAverage="0" equalAverage="0" bottom="0" percent="0" rank="0" text="" dxfId="2">
      <formula>AND(M66&gt;=5,M66&lt;10)</formula>
    </cfRule>
    <cfRule type="expression" priority="266" aboveAverage="0" equalAverage="0" bottom="0" percent="0" rank="0" text="" dxfId="3">
      <formula>AND(M66&gt;=1,M66&lt;5)</formula>
    </cfRule>
  </conditionalFormatting>
  <conditionalFormatting sqref="M67">
    <cfRule type="expression" priority="267" aboveAverage="0" equalAverage="0" bottom="0" percent="0" rank="0" text="" dxfId="0">
      <formula>M67&gt;=20</formula>
    </cfRule>
    <cfRule type="expression" priority="268" aboveAverage="0" equalAverage="0" bottom="0" percent="0" rank="0" text="" dxfId="1">
      <formula>AND(M67&gt;=10,M67&lt;20)</formula>
    </cfRule>
    <cfRule type="expression" priority="269" aboveAverage="0" equalAverage="0" bottom="0" percent="0" rank="0" text="" dxfId="2">
      <formula>AND(M67&gt;=5,M67&lt;10)</formula>
    </cfRule>
    <cfRule type="expression" priority="270" aboveAverage="0" equalAverage="0" bottom="0" percent="0" rank="0" text="" dxfId="3">
      <formula>AND(M67&gt;=1,M67&lt;5)</formula>
    </cfRule>
  </conditionalFormatting>
  <conditionalFormatting sqref="M68">
    <cfRule type="expression" priority="271" aboveAverage="0" equalAverage="0" bottom="0" percent="0" rank="0" text="" dxfId="0">
      <formula>M68&gt;=20</formula>
    </cfRule>
    <cfRule type="expression" priority="272" aboveAverage="0" equalAverage="0" bottom="0" percent="0" rank="0" text="" dxfId="1">
      <formula>AND(M68&gt;=10,M68&lt;20)</formula>
    </cfRule>
    <cfRule type="expression" priority="273" aboveAverage="0" equalAverage="0" bottom="0" percent="0" rank="0" text="" dxfId="2">
      <formula>AND(M68&gt;=5,M68&lt;10)</formula>
    </cfRule>
    <cfRule type="expression" priority="274" aboveAverage="0" equalAverage="0" bottom="0" percent="0" rank="0" text="" dxfId="3">
      <formula>AND(M68&gt;=1,M68&lt;5)</formula>
    </cfRule>
  </conditionalFormatting>
  <conditionalFormatting sqref="M69">
    <cfRule type="expression" priority="275" aboveAverage="0" equalAverage="0" bottom="0" percent="0" rank="0" text="" dxfId="0">
      <formula>M69&gt;=20</formula>
    </cfRule>
    <cfRule type="expression" priority="276" aboveAverage="0" equalAverage="0" bottom="0" percent="0" rank="0" text="" dxfId="1">
      <formula>AND(M69&gt;=10,M69&lt;20)</formula>
    </cfRule>
    <cfRule type="expression" priority="277" aboveAverage="0" equalAverage="0" bottom="0" percent="0" rank="0" text="" dxfId="2">
      <formula>AND(M69&gt;=5,M69&lt;10)</formula>
    </cfRule>
    <cfRule type="expression" priority="278" aboveAverage="0" equalAverage="0" bottom="0" percent="0" rank="0" text="" dxfId="3">
      <formula>AND(M69&gt;=1,M69&lt;5)</formula>
    </cfRule>
  </conditionalFormatting>
  <conditionalFormatting sqref="M70">
    <cfRule type="expression" priority="279" aboveAverage="0" equalAverage="0" bottom="0" percent="0" rank="0" text="" dxfId="0">
      <formula>M70&gt;=20</formula>
    </cfRule>
    <cfRule type="expression" priority="280" aboveAverage="0" equalAverage="0" bottom="0" percent="0" rank="0" text="" dxfId="1">
      <formula>AND(M70&gt;=10,M70&lt;20)</formula>
    </cfRule>
    <cfRule type="expression" priority="281" aboveAverage="0" equalAverage="0" bottom="0" percent="0" rank="0" text="" dxfId="2">
      <formula>AND(M70&gt;=5,M70&lt;10)</formula>
    </cfRule>
    <cfRule type="expression" priority="282" aboveAverage="0" equalAverage="0" bottom="0" percent="0" rank="0" text="" dxfId="3">
      <formula>AND(M70&gt;=1,M70&lt;5)</formula>
    </cfRule>
  </conditionalFormatting>
  <conditionalFormatting sqref="M71">
    <cfRule type="expression" priority="283" aboveAverage="0" equalAverage="0" bottom="0" percent="0" rank="0" text="" dxfId="0">
      <formula>M71&gt;=20</formula>
    </cfRule>
    <cfRule type="expression" priority="284" aboveAverage="0" equalAverage="0" bottom="0" percent="0" rank="0" text="" dxfId="1">
      <formula>AND(M71&gt;=10,M71&lt;20)</formula>
    </cfRule>
    <cfRule type="expression" priority="285" aboveAverage="0" equalAverage="0" bottom="0" percent="0" rank="0" text="" dxfId="2">
      <formula>AND(M71&gt;=5,M71&lt;10)</formula>
    </cfRule>
    <cfRule type="expression" priority="286" aboveAverage="0" equalAverage="0" bottom="0" percent="0" rank="0" text="" dxfId="3">
      <formula>AND(M71&gt;=1,M71&lt;5)</formula>
    </cfRule>
  </conditionalFormatting>
  <conditionalFormatting sqref="M72">
    <cfRule type="expression" priority="287" aboveAverage="0" equalAverage="0" bottom="0" percent="0" rank="0" text="" dxfId="0">
      <formula>M72&gt;=20</formula>
    </cfRule>
    <cfRule type="expression" priority="288" aboveAverage="0" equalAverage="0" bottom="0" percent="0" rank="0" text="" dxfId="1">
      <formula>AND(M72&gt;=10,M72&lt;20)</formula>
    </cfRule>
    <cfRule type="expression" priority="289" aboveAverage="0" equalAverage="0" bottom="0" percent="0" rank="0" text="" dxfId="2">
      <formula>AND(M72&gt;=5,M72&lt;10)</formula>
    </cfRule>
    <cfRule type="expression" priority="290" aboveAverage="0" equalAverage="0" bottom="0" percent="0" rank="0" text="" dxfId="3">
      <formula>AND(M72&gt;=1,M72&lt;5)</formula>
    </cfRule>
  </conditionalFormatting>
  <conditionalFormatting sqref="M73">
    <cfRule type="expression" priority="291" aboveAverage="0" equalAverage="0" bottom="0" percent="0" rank="0" text="" dxfId="0">
      <formula>M73&gt;=20</formula>
    </cfRule>
    <cfRule type="expression" priority="292" aboveAverage="0" equalAverage="0" bottom="0" percent="0" rank="0" text="" dxfId="1">
      <formula>AND(M73&gt;=10,M73&lt;20)</formula>
    </cfRule>
    <cfRule type="expression" priority="293" aboveAverage="0" equalAverage="0" bottom="0" percent="0" rank="0" text="" dxfId="2">
      <formula>AND(M73&gt;=5,M73&lt;10)</formula>
    </cfRule>
    <cfRule type="expression" priority="294" aboveAverage="0" equalAverage="0" bottom="0" percent="0" rank="0" text="" dxfId="3">
      <formula>AND(M73&gt;=1,M73&lt;5)</formula>
    </cfRule>
  </conditionalFormatting>
  <conditionalFormatting sqref="M74">
    <cfRule type="expression" priority="295" aboveAverage="0" equalAverage="0" bottom="0" percent="0" rank="0" text="" dxfId="0">
      <formula>M74&gt;=20</formula>
    </cfRule>
    <cfRule type="expression" priority="296" aboveAverage="0" equalAverage="0" bottom="0" percent="0" rank="0" text="" dxfId="1">
      <formula>AND(M74&gt;=10,M74&lt;20)</formula>
    </cfRule>
    <cfRule type="expression" priority="297" aboveAverage="0" equalAverage="0" bottom="0" percent="0" rank="0" text="" dxfId="2">
      <formula>AND(M74&gt;=5,M74&lt;10)</formula>
    </cfRule>
    <cfRule type="expression" priority="298" aboveAverage="0" equalAverage="0" bottom="0" percent="0" rank="0" text="" dxfId="3">
      <formula>AND(M74&gt;=1,M74&lt;5)</formula>
    </cfRule>
  </conditionalFormatting>
  <conditionalFormatting sqref="M75">
    <cfRule type="expression" priority="299" aboveAverage="0" equalAverage="0" bottom="0" percent="0" rank="0" text="" dxfId="0">
      <formula>M75&gt;=20</formula>
    </cfRule>
    <cfRule type="expression" priority="300" aboveAverage="0" equalAverage="0" bottom="0" percent="0" rank="0" text="" dxfId="1">
      <formula>AND(M75&gt;=10,M75&lt;20)</formula>
    </cfRule>
    <cfRule type="expression" priority="301" aboveAverage="0" equalAverage="0" bottom="0" percent="0" rank="0" text="" dxfId="2">
      <formula>AND(M75&gt;=5,M75&lt;10)</formula>
    </cfRule>
    <cfRule type="expression" priority="302" aboveAverage="0" equalAverage="0" bottom="0" percent="0" rank="0" text="" dxfId="3">
      <formula>AND(M75&gt;=1,M75&lt;5)</formula>
    </cfRule>
  </conditionalFormatting>
  <conditionalFormatting sqref="M76">
    <cfRule type="expression" priority="303" aboveAverage="0" equalAverage="0" bottom="0" percent="0" rank="0" text="" dxfId="0">
      <formula>M76&gt;=20</formula>
    </cfRule>
    <cfRule type="expression" priority="304" aboveAverage="0" equalAverage="0" bottom="0" percent="0" rank="0" text="" dxfId="1">
      <formula>AND(M76&gt;=10,M76&lt;20)</formula>
    </cfRule>
    <cfRule type="expression" priority="305" aboveAverage="0" equalAverage="0" bottom="0" percent="0" rank="0" text="" dxfId="2">
      <formula>AND(M76&gt;=5,M76&lt;10)</formula>
    </cfRule>
    <cfRule type="expression" priority="306" aboveAverage="0" equalAverage="0" bottom="0" percent="0" rank="0" text="" dxfId="3">
      <formula>AND(M76&gt;=1,M76&lt;5)</formula>
    </cfRule>
  </conditionalFormatting>
  <conditionalFormatting sqref="M77">
    <cfRule type="expression" priority="307" aboveAverage="0" equalAverage="0" bottom="0" percent="0" rank="0" text="" dxfId="0">
      <formula>M77&gt;=20</formula>
    </cfRule>
    <cfRule type="expression" priority="308" aboveAverage="0" equalAverage="0" bottom="0" percent="0" rank="0" text="" dxfId="1">
      <formula>AND(M77&gt;=10,M77&lt;20)</formula>
    </cfRule>
    <cfRule type="expression" priority="309" aboveAverage="0" equalAverage="0" bottom="0" percent="0" rank="0" text="" dxfId="2">
      <formula>AND(M77&gt;=5,M77&lt;10)</formula>
    </cfRule>
    <cfRule type="expression" priority="310" aboveAverage="0" equalAverage="0" bottom="0" percent="0" rank="0" text="" dxfId="3">
      <formula>AND(M77&gt;=1,M77&lt;5)</formula>
    </cfRule>
  </conditionalFormatting>
  <conditionalFormatting sqref="M78">
    <cfRule type="expression" priority="311" aboveAverage="0" equalAverage="0" bottom="0" percent="0" rank="0" text="" dxfId="0">
      <formula>M78&gt;=20</formula>
    </cfRule>
    <cfRule type="expression" priority="312" aboveAverage="0" equalAverage="0" bottom="0" percent="0" rank="0" text="" dxfId="1">
      <formula>AND(M78&gt;=10,M78&lt;20)</formula>
    </cfRule>
    <cfRule type="expression" priority="313" aboveAverage="0" equalAverage="0" bottom="0" percent="0" rank="0" text="" dxfId="2">
      <formula>AND(M78&gt;=5,M78&lt;10)</formula>
    </cfRule>
    <cfRule type="expression" priority="314" aboveAverage="0" equalAverage="0" bottom="0" percent="0" rank="0" text="" dxfId="3">
      <formula>AND(M78&gt;=1,M78&lt;5)</formula>
    </cfRule>
  </conditionalFormatting>
  <conditionalFormatting sqref="M79">
    <cfRule type="expression" priority="315" aboveAverage="0" equalAverage="0" bottom="0" percent="0" rank="0" text="" dxfId="0">
      <formula>M79&gt;=20</formula>
    </cfRule>
    <cfRule type="expression" priority="316" aboveAverage="0" equalAverage="0" bottom="0" percent="0" rank="0" text="" dxfId="1">
      <formula>AND(M79&gt;=10,M79&lt;20)</formula>
    </cfRule>
    <cfRule type="expression" priority="317" aboveAverage="0" equalAverage="0" bottom="0" percent="0" rank="0" text="" dxfId="2">
      <formula>AND(M79&gt;=5,M79&lt;10)</formula>
    </cfRule>
    <cfRule type="expression" priority="318" aboveAverage="0" equalAverage="0" bottom="0" percent="0" rank="0" text="" dxfId="3">
      <formula>AND(M79&gt;=1,M79&lt;5)</formula>
    </cfRule>
  </conditionalFormatting>
  <conditionalFormatting sqref="M80">
    <cfRule type="expression" priority="319" aboveAverage="0" equalAverage="0" bottom="0" percent="0" rank="0" text="" dxfId="0">
      <formula>M80&gt;=20</formula>
    </cfRule>
    <cfRule type="expression" priority="320" aboveAverage="0" equalAverage="0" bottom="0" percent="0" rank="0" text="" dxfId="1">
      <formula>AND(M80&gt;=10,M80&lt;20)</formula>
    </cfRule>
    <cfRule type="expression" priority="321" aboveAverage="0" equalAverage="0" bottom="0" percent="0" rank="0" text="" dxfId="2">
      <formula>AND(M80&gt;=5,M80&lt;10)</formula>
    </cfRule>
    <cfRule type="expression" priority="322" aboveAverage="0" equalAverage="0" bottom="0" percent="0" rank="0" text="" dxfId="3">
      <formula>AND(M80&gt;=1,M80&lt;5)</formula>
    </cfRule>
  </conditionalFormatting>
  <conditionalFormatting sqref="M81">
    <cfRule type="expression" priority="323" aboveAverage="0" equalAverage="0" bottom="0" percent="0" rank="0" text="" dxfId="0">
      <formula>M81&gt;=20</formula>
    </cfRule>
    <cfRule type="expression" priority="324" aboveAverage="0" equalAverage="0" bottom="0" percent="0" rank="0" text="" dxfId="1">
      <formula>AND(M81&gt;=10,M81&lt;20)</formula>
    </cfRule>
    <cfRule type="expression" priority="325" aboveAverage="0" equalAverage="0" bottom="0" percent="0" rank="0" text="" dxfId="2">
      <formula>AND(M81&gt;=5,M81&lt;10)</formula>
    </cfRule>
    <cfRule type="expression" priority="326" aboveAverage="0" equalAverage="0" bottom="0" percent="0" rank="0" text="" dxfId="3">
      <formula>AND(M81&gt;=1,M81&lt;5)</formula>
    </cfRule>
  </conditionalFormatting>
  <conditionalFormatting sqref="M82">
    <cfRule type="expression" priority="327" aboveAverage="0" equalAverage="0" bottom="0" percent="0" rank="0" text="" dxfId="0">
      <formula>M82&gt;=20</formula>
    </cfRule>
    <cfRule type="expression" priority="328" aboveAverage="0" equalAverage="0" bottom="0" percent="0" rank="0" text="" dxfId="1">
      <formula>AND(M82&gt;=10,M82&lt;20)</formula>
    </cfRule>
    <cfRule type="expression" priority="329" aboveAverage="0" equalAverage="0" bottom="0" percent="0" rank="0" text="" dxfId="2">
      <formula>AND(M82&gt;=5,M82&lt;10)</formula>
    </cfRule>
    <cfRule type="expression" priority="330" aboveAverage="0" equalAverage="0" bottom="0" percent="0" rank="0" text="" dxfId="3">
      <formula>AND(M82&gt;=1,M82&lt;5)</formula>
    </cfRule>
  </conditionalFormatting>
  <conditionalFormatting sqref="M83">
    <cfRule type="expression" priority="331" aboveAverage="0" equalAverage="0" bottom="0" percent="0" rank="0" text="" dxfId="0">
      <formula>M83&gt;=20</formula>
    </cfRule>
    <cfRule type="expression" priority="332" aboveAverage="0" equalAverage="0" bottom="0" percent="0" rank="0" text="" dxfId="1">
      <formula>AND(M83&gt;=10,M83&lt;20)</formula>
    </cfRule>
    <cfRule type="expression" priority="333" aboveAverage="0" equalAverage="0" bottom="0" percent="0" rank="0" text="" dxfId="2">
      <formula>AND(M83&gt;=5,M83&lt;10)</formula>
    </cfRule>
    <cfRule type="expression" priority="334" aboveAverage="0" equalAverage="0" bottom="0" percent="0" rank="0" text="" dxfId="3">
      <formula>AND(M83&gt;=1,M83&lt;5)</formula>
    </cfRule>
  </conditionalFormatting>
  <conditionalFormatting sqref="M84">
    <cfRule type="expression" priority="335" aboveAverage="0" equalAverage="0" bottom="0" percent="0" rank="0" text="" dxfId="0">
      <formula>M84&gt;=20</formula>
    </cfRule>
    <cfRule type="expression" priority="336" aboveAverage="0" equalAverage="0" bottom="0" percent="0" rank="0" text="" dxfId="1">
      <formula>AND(M84&gt;=10,M84&lt;20)</formula>
    </cfRule>
    <cfRule type="expression" priority="337" aboveAverage="0" equalAverage="0" bottom="0" percent="0" rank="0" text="" dxfId="2">
      <formula>AND(M84&gt;=5,M84&lt;10)</formula>
    </cfRule>
    <cfRule type="expression" priority="338" aboveAverage="0" equalAverage="0" bottom="0" percent="0" rank="0" text="" dxfId="3">
      <formula>AND(M84&gt;=1,M84&lt;5)</formula>
    </cfRule>
  </conditionalFormatting>
  <conditionalFormatting sqref="M85">
    <cfRule type="expression" priority="339" aboveAverage="0" equalAverage="0" bottom="0" percent="0" rank="0" text="" dxfId="0">
      <formula>M85&gt;=20</formula>
    </cfRule>
    <cfRule type="expression" priority="340" aboveAverage="0" equalAverage="0" bottom="0" percent="0" rank="0" text="" dxfId="1">
      <formula>AND(M85&gt;=10,M85&lt;20)</formula>
    </cfRule>
    <cfRule type="expression" priority="341" aboveAverage="0" equalAverage="0" bottom="0" percent="0" rank="0" text="" dxfId="2">
      <formula>AND(M85&gt;=5,M85&lt;10)</formula>
    </cfRule>
    <cfRule type="expression" priority="342" aboveAverage="0" equalAverage="0" bottom="0" percent="0" rank="0" text="" dxfId="3">
      <formula>AND(M85&gt;=1,M85&lt;5)</formula>
    </cfRule>
  </conditionalFormatting>
  <conditionalFormatting sqref="M86">
    <cfRule type="expression" priority="343" aboveAverage="0" equalAverage="0" bottom="0" percent="0" rank="0" text="" dxfId="0">
      <formula>M86&gt;=20</formula>
    </cfRule>
    <cfRule type="expression" priority="344" aboveAverage="0" equalAverage="0" bottom="0" percent="0" rank="0" text="" dxfId="1">
      <formula>AND(M86&gt;=10,M86&lt;20)</formula>
    </cfRule>
    <cfRule type="expression" priority="345" aboveAverage="0" equalAverage="0" bottom="0" percent="0" rank="0" text="" dxfId="2">
      <formula>AND(M86&gt;=5,M86&lt;10)</formula>
    </cfRule>
    <cfRule type="expression" priority="346" aboveAverage="0" equalAverage="0" bottom="0" percent="0" rank="0" text="" dxfId="3">
      <formula>AND(M86&gt;=1,M86&lt;5)</formula>
    </cfRule>
  </conditionalFormatting>
  <conditionalFormatting sqref="M87">
    <cfRule type="expression" priority="347" aboveAverage="0" equalAverage="0" bottom="0" percent="0" rank="0" text="" dxfId="0">
      <formula>M87&gt;=20</formula>
    </cfRule>
    <cfRule type="expression" priority="348" aboveAverage="0" equalAverage="0" bottom="0" percent="0" rank="0" text="" dxfId="1">
      <formula>AND(M87&gt;=10,M87&lt;20)</formula>
    </cfRule>
    <cfRule type="expression" priority="349" aboveAverage="0" equalAverage="0" bottom="0" percent="0" rank="0" text="" dxfId="2">
      <formula>AND(M87&gt;=5,M87&lt;10)</formula>
    </cfRule>
    <cfRule type="expression" priority="350" aboveAverage="0" equalAverage="0" bottom="0" percent="0" rank="0" text="" dxfId="3">
      <formula>AND(M87&gt;=1,M87&lt;5)</formula>
    </cfRule>
  </conditionalFormatting>
  <conditionalFormatting sqref="M88">
    <cfRule type="expression" priority="351" aboveAverage="0" equalAverage="0" bottom="0" percent="0" rank="0" text="" dxfId="0">
      <formula>M88&gt;=20</formula>
    </cfRule>
    <cfRule type="expression" priority="352" aboveAverage="0" equalAverage="0" bottom="0" percent="0" rank="0" text="" dxfId="1">
      <formula>AND(M88&gt;=10,M88&lt;20)</formula>
    </cfRule>
    <cfRule type="expression" priority="353" aboveAverage="0" equalAverage="0" bottom="0" percent="0" rank="0" text="" dxfId="2">
      <formula>AND(M88&gt;=5,M88&lt;10)</formula>
    </cfRule>
    <cfRule type="expression" priority="354" aboveAverage="0" equalAverage="0" bottom="0" percent="0" rank="0" text="" dxfId="3">
      <formula>AND(M88&gt;=1,M88&lt;5)</formula>
    </cfRule>
  </conditionalFormatting>
  <conditionalFormatting sqref="M89">
    <cfRule type="expression" priority="355" aboveAverage="0" equalAverage="0" bottom="0" percent="0" rank="0" text="" dxfId="0">
      <formula>M89&gt;=20</formula>
    </cfRule>
    <cfRule type="expression" priority="356" aboveAverage="0" equalAverage="0" bottom="0" percent="0" rank="0" text="" dxfId="1">
      <formula>AND(M89&gt;=10,M89&lt;20)</formula>
    </cfRule>
    <cfRule type="expression" priority="357" aboveAverage="0" equalAverage="0" bottom="0" percent="0" rank="0" text="" dxfId="2">
      <formula>AND(M89&gt;=5,M89&lt;10)</formula>
    </cfRule>
    <cfRule type="expression" priority="358" aboveAverage="0" equalAverage="0" bottom="0" percent="0" rank="0" text="" dxfId="3">
      <formula>AND(M89&gt;=1,M89&lt;5)</formula>
    </cfRule>
  </conditionalFormatting>
  <conditionalFormatting sqref="M90">
    <cfRule type="expression" priority="359" aboveAverage="0" equalAverage="0" bottom="0" percent="0" rank="0" text="" dxfId="0">
      <formula>M90&gt;=20</formula>
    </cfRule>
    <cfRule type="expression" priority="360" aboveAverage="0" equalAverage="0" bottom="0" percent="0" rank="0" text="" dxfId="1">
      <formula>AND(M90&gt;=10,M90&lt;20)</formula>
    </cfRule>
    <cfRule type="expression" priority="361" aboveAverage="0" equalAverage="0" bottom="0" percent="0" rank="0" text="" dxfId="2">
      <formula>AND(M90&gt;=5,M90&lt;10)</formula>
    </cfRule>
    <cfRule type="expression" priority="362" aboveAverage="0" equalAverage="0" bottom="0" percent="0" rank="0" text="" dxfId="3">
      <formula>AND(M90&gt;=1,M90&lt;5)</formula>
    </cfRule>
  </conditionalFormatting>
  <conditionalFormatting sqref="M91">
    <cfRule type="expression" priority="363" aboveAverage="0" equalAverage="0" bottom="0" percent="0" rank="0" text="" dxfId="0">
      <formula>M91&gt;=20</formula>
    </cfRule>
    <cfRule type="expression" priority="364" aboveAverage="0" equalAverage="0" bottom="0" percent="0" rank="0" text="" dxfId="1">
      <formula>AND(M91&gt;=10,M91&lt;20)</formula>
    </cfRule>
    <cfRule type="expression" priority="365" aboveAverage="0" equalAverage="0" bottom="0" percent="0" rank="0" text="" dxfId="2">
      <formula>AND(M91&gt;=5,M91&lt;10)</formula>
    </cfRule>
    <cfRule type="expression" priority="366" aboveAverage="0" equalAverage="0" bottom="0" percent="0" rank="0" text="" dxfId="3">
      <formula>AND(M91&gt;=1,M91&lt;5)</formula>
    </cfRule>
  </conditionalFormatting>
  <conditionalFormatting sqref="M92">
    <cfRule type="expression" priority="367" aboveAverage="0" equalAverage="0" bottom="0" percent="0" rank="0" text="" dxfId="0">
      <formula>M92&gt;=20</formula>
    </cfRule>
    <cfRule type="expression" priority="368" aboveAverage="0" equalAverage="0" bottom="0" percent="0" rank="0" text="" dxfId="1">
      <formula>AND(M92&gt;=10,M92&lt;20)</formula>
    </cfRule>
    <cfRule type="expression" priority="369" aboveAverage="0" equalAverage="0" bottom="0" percent="0" rank="0" text="" dxfId="2">
      <formula>AND(M92&gt;=5,M92&lt;10)</formula>
    </cfRule>
    <cfRule type="expression" priority="370" aboveAverage="0" equalAverage="0" bottom="0" percent="0" rank="0" text="" dxfId="3">
      <formula>AND(M92&gt;=1,M92&lt;5)</formula>
    </cfRule>
  </conditionalFormatting>
  <conditionalFormatting sqref="M93">
    <cfRule type="expression" priority="371" aboveAverage="0" equalAverage="0" bottom="0" percent="0" rank="0" text="" dxfId="0">
      <formula>M93&gt;=20</formula>
    </cfRule>
    <cfRule type="expression" priority="372" aboveAverage="0" equalAverage="0" bottom="0" percent="0" rank="0" text="" dxfId="1">
      <formula>AND(M93&gt;=10,M93&lt;20)</formula>
    </cfRule>
    <cfRule type="expression" priority="373" aboveAverage="0" equalAverage="0" bottom="0" percent="0" rank="0" text="" dxfId="2">
      <formula>AND(M93&gt;=5,M93&lt;10)</formula>
    </cfRule>
    <cfRule type="expression" priority="374" aboveAverage="0" equalAverage="0" bottom="0" percent="0" rank="0" text="" dxfId="3">
      <formula>AND(M93&gt;=1,M93&lt;5)</formula>
    </cfRule>
  </conditionalFormatting>
  <conditionalFormatting sqref="M94">
    <cfRule type="expression" priority="375" aboveAverage="0" equalAverage="0" bottom="0" percent="0" rank="0" text="" dxfId="0">
      <formula>M94&gt;=20</formula>
    </cfRule>
    <cfRule type="expression" priority="376" aboveAverage="0" equalAverage="0" bottom="0" percent="0" rank="0" text="" dxfId="1">
      <formula>AND(M94&gt;=10,M94&lt;20)</formula>
    </cfRule>
    <cfRule type="expression" priority="377" aboveAverage="0" equalAverage="0" bottom="0" percent="0" rank="0" text="" dxfId="2">
      <formula>AND(M94&gt;=5,M94&lt;10)</formula>
    </cfRule>
    <cfRule type="expression" priority="378" aboveAverage="0" equalAverage="0" bottom="0" percent="0" rank="0" text="" dxfId="3">
      <formula>AND(M94&gt;=1,M94&lt;5)</formula>
    </cfRule>
  </conditionalFormatting>
  <conditionalFormatting sqref="M95">
    <cfRule type="expression" priority="379" aboveAverage="0" equalAverage="0" bottom="0" percent="0" rank="0" text="" dxfId="0">
      <formula>M95&gt;=20</formula>
    </cfRule>
    <cfRule type="expression" priority="380" aboveAverage="0" equalAverage="0" bottom="0" percent="0" rank="0" text="" dxfId="1">
      <formula>AND(M95&gt;=10,M95&lt;20)</formula>
    </cfRule>
    <cfRule type="expression" priority="381" aboveAverage="0" equalAverage="0" bottom="0" percent="0" rank="0" text="" dxfId="2">
      <formula>AND(M95&gt;=5,M95&lt;10)</formula>
    </cfRule>
    <cfRule type="expression" priority="382" aboveAverage="0" equalAverage="0" bottom="0" percent="0" rank="0" text="" dxfId="3">
      <formula>AND(M95&gt;=1,M95&lt;5)</formula>
    </cfRule>
  </conditionalFormatting>
  <conditionalFormatting sqref="M96">
    <cfRule type="expression" priority="383" aboveAverage="0" equalAverage="0" bottom="0" percent="0" rank="0" text="" dxfId="0">
      <formula>M96&gt;=20</formula>
    </cfRule>
    <cfRule type="expression" priority="384" aboveAverage="0" equalAverage="0" bottom="0" percent="0" rank="0" text="" dxfId="1">
      <formula>AND(M96&gt;=10,M96&lt;20)</formula>
    </cfRule>
    <cfRule type="expression" priority="385" aboveAverage="0" equalAverage="0" bottom="0" percent="0" rank="0" text="" dxfId="2">
      <formula>AND(M96&gt;=5,M96&lt;10)</formula>
    </cfRule>
    <cfRule type="expression" priority="386" aboveAverage="0" equalAverage="0" bottom="0" percent="0" rank="0" text="" dxfId="3">
      <formula>AND(M96&gt;=1,M96&lt;5)</formula>
    </cfRule>
  </conditionalFormatting>
  <conditionalFormatting sqref="M97">
    <cfRule type="expression" priority="387" aboveAverage="0" equalAverage="0" bottom="0" percent="0" rank="0" text="" dxfId="0">
      <formula>M97&gt;=20</formula>
    </cfRule>
    <cfRule type="expression" priority="388" aboveAverage="0" equalAverage="0" bottom="0" percent="0" rank="0" text="" dxfId="1">
      <formula>AND(M97&gt;=10,M97&lt;20)</formula>
    </cfRule>
    <cfRule type="expression" priority="389" aboveAverage="0" equalAverage="0" bottom="0" percent="0" rank="0" text="" dxfId="2">
      <formula>AND(M97&gt;=5,M97&lt;10)</formula>
    </cfRule>
    <cfRule type="expression" priority="390" aboveAverage="0" equalAverage="0" bottom="0" percent="0" rank="0" text="" dxfId="3">
      <formula>AND(M97&gt;=1,M97&lt;5)</formula>
    </cfRule>
  </conditionalFormatting>
  <conditionalFormatting sqref="M98">
    <cfRule type="expression" priority="391" aboveAverage="0" equalAverage="0" bottom="0" percent="0" rank="0" text="" dxfId="0">
      <formula>M98&gt;=20</formula>
    </cfRule>
    <cfRule type="expression" priority="392" aboveAverage="0" equalAverage="0" bottom="0" percent="0" rank="0" text="" dxfId="1">
      <formula>AND(M98&gt;=10,M98&lt;20)</formula>
    </cfRule>
    <cfRule type="expression" priority="393" aboveAverage="0" equalAverage="0" bottom="0" percent="0" rank="0" text="" dxfId="2">
      <formula>AND(M98&gt;=5,M98&lt;10)</formula>
    </cfRule>
    <cfRule type="expression" priority="394" aboveAverage="0" equalAverage="0" bottom="0" percent="0" rank="0" text="" dxfId="3">
      <formula>AND(M98&gt;=1,M98&lt;5)</formula>
    </cfRule>
  </conditionalFormatting>
  <conditionalFormatting sqref="M99">
    <cfRule type="expression" priority="395" aboveAverage="0" equalAverage="0" bottom="0" percent="0" rank="0" text="" dxfId="0">
      <formula>M99&gt;=20</formula>
    </cfRule>
    <cfRule type="expression" priority="396" aboveAverage="0" equalAverage="0" bottom="0" percent="0" rank="0" text="" dxfId="1">
      <formula>AND(M99&gt;=10,M99&lt;20)</formula>
    </cfRule>
    <cfRule type="expression" priority="397" aboveAverage="0" equalAverage="0" bottom="0" percent="0" rank="0" text="" dxfId="2">
      <formula>AND(M99&gt;=5,M99&lt;10)</formula>
    </cfRule>
    <cfRule type="expression" priority="398" aboveAverage="0" equalAverage="0" bottom="0" percent="0" rank="0" text="" dxfId="3">
      <formula>AND(M99&gt;=1,M99&lt;5)</formula>
    </cfRule>
  </conditionalFormatting>
  <conditionalFormatting sqref="M100">
    <cfRule type="expression" priority="399" aboveAverage="0" equalAverage="0" bottom="0" percent="0" rank="0" text="" dxfId="0">
      <formula>M100&gt;=20</formula>
    </cfRule>
    <cfRule type="expression" priority="400" aboveAverage="0" equalAverage="0" bottom="0" percent="0" rank="0" text="" dxfId="1">
      <formula>AND(M100&gt;=10,M100&lt;20)</formula>
    </cfRule>
    <cfRule type="expression" priority="401" aboveAverage="0" equalAverage="0" bottom="0" percent="0" rank="0" text="" dxfId="2">
      <formula>AND(M100&gt;=5,M100&lt;10)</formula>
    </cfRule>
    <cfRule type="expression" priority="402" aboveAverage="0" equalAverage="0" bottom="0" percent="0" rank="0" text="" dxfId="3">
      <formula>AND(M100&gt;=1,M100&lt;5)</formula>
    </cfRule>
  </conditionalFormatting>
  <conditionalFormatting sqref="M101">
    <cfRule type="expression" priority="403" aboveAverage="0" equalAverage="0" bottom="0" percent="0" rank="0" text="" dxfId="0">
      <formula>M101&gt;=20</formula>
    </cfRule>
    <cfRule type="expression" priority="404" aboveAverage="0" equalAverage="0" bottom="0" percent="0" rank="0" text="" dxfId="1">
      <formula>AND(M101&gt;=10,M101&lt;20)</formula>
    </cfRule>
    <cfRule type="expression" priority="405" aboveAverage="0" equalAverage="0" bottom="0" percent="0" rank="0" text="" dxfId="2">
      <formula>AND(M101&gt;=5,M101&lt;10)</formula>
    </cfRule>
    <cfRule type="expression" priority="406" aboveAverage="0" equalAverage="0" bottom="0" percent="0" rank="0" text="" dxfId="3">
      <formula>AND(M101&gt;=1,M101&lt;5)</formula>
    </cfRule>
  </conditionalFormatting>
  <conditionalFormatting sqref="M102">
    <cfRule type="expression" priority="407" aboveAverage="0" equalAverage="0" bottom="0" percent="0" rank="0" text="" dxfId="0">
      <formula>M102&gt;=20</formula>
    </cfRule>
    <cfRule type="expression" priority="408" aboveAverage="0" equalAverage="0" bottom="0" percent="0" rank="0" text="" dxfId="1">
      <formula>AND(M102&gt;=10,M102&lt;20)</formula>
    </cfRule>
    <cfRule type="expression" priority="409" aboveAverage="0" equalAverage="0" bottom="0" percent="0" rank="0" text="" dxfId="2">
      <formula>AND(M102&gt;=5,M102&lt;10)</formula>
    </cfRule>
    <cfRule type="expression" priority="410" aboveAverage="0" equalAverage="0" bottom="0" percent="0" rank="0" text="" dxfId="3">
      <formula>AND(M102&gt;=1,M102&lt;5)</formula>
    </cfRule>
  </conditionalFormatting>
  <conditionalFormatting sqref="M103">
    <cfRule type="expression" priority="411" aboveAverage="0" equalAverage="0" bottom="0" percent="0" rank="0" text="" dxfId="0">
      <formula>M103&gt;=20</formula>
    </cfRule>
    <cfRule type="expression" priority="412" aboveAverage="0" equalAverage="0" bottom="0" percent="0" rank="0" text="" dxfId="1">
      <formula>AND(M103&gt;=10,M103&lt;20)</formula>
    </cfRule>
    <cfRule type="expression" priority="413" aboveAverage="0" equalAverage="0" bottom="0" percent="0" rank="0" text="" dxfId="2">
      <formula>AND(M103&gt;=5,M103&lt;10)</formula>
    </cfRule>
    <cfRule type="expression" priority="414" aboveAverage="0" equalAverage="0" bottom="0" percent="0" rank="0" text="" dxfId="3">
      <formula>AND(M103&gt;=1,M103&lt;5)</formula>
    </cfRule>
  </conditionalFormatting>
  <conditionalFormatting sqref="M104">
    <cfRule type="expression" priority="415" aboveAverage="0" equalAverage="0" bottom="0" percent="0" rank="0" text="" dxfId="0">
      <formula>M104&gt;=20</formula>
    </cfRule>
    <cfRule type="expression" priority="416" aboveAverage="0" equalAverage="0" bottom="0" percent="0" rank="0" text="" dxfId="1">
      <formula>AND(M104&gt;=10,M104&lt;20)</formula>
    </cfRule>
    <cfRule type="expression" priority="417" aboveAverage="0" equalAverage="0" bottom="0" percent="0" rank="0" text="" dxfId="2">
      <formula>AND(M104&gt;=5,M104&lt;10)</formula>
    </cfRule>
    <cfRule type="expression" priority="418" aboveAverage="0" equalAverage="0" bottom="0" percent="0" rank="0" text="" dxfId="3">
      <formula>AND(M104&gt;=1,M104&lt;5)</formula>
    </cfRule>
  </conditionalFormatting>
  <conditionalFormatting sqref="M105">
    <cfRule type="expression" priority="419" aboveAverage="0" equalAverage="0" bottom="0" percent="0" rank="0" text="" dxfId="0">
      <formula>M105&gt;=20</formula>
    </cfRule>
    <cfRule type="expression" priority="420" aboveAverage="0" equalAverage="0" bottom="0" percent="0" rank="0" text="" dxfId="1">
      <formula>AND(M105&gt;=10,M105&lt;20)</formula>
    </cfRule>
    <cfRule type="expression" priority="421" aboveAverage="0" equalAverage="0" bottom="0" percent="0" rank="0" text="" dxfId="2">
      <formula>AND(M105&gt;=5,M105&lt;10)</formula>
    </cfRule>
    <cfRule type="expression" priority="422" aboveAverage="0" equalAverage="0" bottom="0" percent="0" rank="0" text="" dxfId="3">
      <formula>AND(M105&gt;=1,M105&lt;5)</formula>
    </cfRule>
  </conditionalFormatting>
  <conditionalFormatting sqref="M106">
    <cfRule type="expression" priority="423" aboveAverage="0" equalAverage="0" bottom="0" percent="0" rank="0" text="" dxfId="0">
      <formula>M106&gt;=20</formula>
    </cfRule>
    <cfRule type="expression" priority="424" aboveAverage="0" equalAverage="0" bottom="0" percent="0" rank="0" text="" dxfId="1">
      <formula>AND(M106&gt;=10,M106&lt;20)</formula>
    </cfRule>
    <cfRule type="expression" priority="425" aboveAverage="0" equalAverage="0" bottom="0" percent="0" rank="0" text="" dxfId="2">
      <formula>AND(M106&gt;=5,M106&lt;10)</formula>
    </cfRule>
    <cfRule type="expression" priority="426" aboveAverage="0" equalAverage="0" bottom="0" percent="0" rank="0" text="" dxfId="3">
      <formula>AND(M106&gt;=1,M106&lt;5)</formula>
    </cfRule>
  </conditionalFormatting>
  <conditionalFormatting sqref="M107">
    <cfRule type="expression" priority="427" aboveAverage="0" equalAverage="0" bottom="0" percent="0" rank="0" text="" dxfId="0">
      <formula>M107&gt;=20</formula>
    </cfRule>
    <cfRule type="expression" priority="428" aboveAverage="0" equalAverage="0" bottom="0" percent="0" rank="0" text="" dxfId="1">
      <formula>AND(M107&gt;=10,M107&lt;20)</formula>
    </cfRule>
    <cfRule type="expression" priority="429" aboveAverage="0" equalAverage="0" bottom="0" percent="0" rank="0" text="" dxfId="2">
      <formula>AND(M107&gt;=5,M107&lt;10)</formula>
    </cfRule>
    <cfRule type="expression" priority="430" aboveAverage="0" equalAverage="0" bottom="0" percent="0" rank="0" text="" dxfId="3">
      <formula>AND(M107&gt;=1,M107&lt;5)</formula>
    </cfRule>
  </conditionalFormatting>
  <conditionalFormatting sqref="M108">
    <cfRule type="expression" priority="431" aboveAverage="0" equalAverage="0" bottom="0" percent="0" rank="0" text="" dxfId="0">
      <formula>M108&gt;=20</formula>
    </cfRule>
    <cfRule type="expression" priority="432" aboveAverage="0" equalAverage="0" bottom="0" percent="0" rank="0" text="" dxfId="1">
      <formula>AND(M108&gt;=10,M108&lt;20)</formula>
    </cfRule>
    <cfRule type="expression" priority="433" aboveAverage="0" equalAverage="0" bottom="0" percent="0" rank="0" text="" dxfId="2">
      <formula>AND(M108&gt;=5,M108&lt;10)</formula>
    </cfRule>
    <cfRule type="expression" priority="434" aboveAverage="0" equalAverage="0" bottom="0" percent="0" rank="0" text="" dxfId="3">
      <formula>AND(M108&gt;=1,M108&lt;5)</formula>
    </cfRule>
  </conditionalFormatting>
  <conditionalFormatting sqref="M109">
    <cfRule type="expression" priority="435" aboveAverage="0" equalAverage="0" bottom="0" percent="0" rank="0" text="" dxfId="0">
      <formula>M109&gt;=20</formula>
    </cfRule>
    <cfRule type="expression" priority="436" aboveAverage="0" equalAverage="0" bottom="0" percent="0" rank="0" text="" dxfId="1">
      <formula>AND(M109&gt;=10,M109&lt;20)</formula>
    </cfRule>
    <cfRule type="expression" priority="437" aboveAverage="0" equalAverage="0" bottom="0" percent="0" rank="0" text="" dxfId="2">
      <formula>AND(M109&gt;=5,M109&lt;10)</formula>
    </cfRule>
    <cfRule type="expression" priority="438" aboveAverage="0" equalAverage="0" bottom="0" percent="0" rank="0" text="" dxfId="3">
      <formula>AND(M109&gt;=1,M109&lt;5)</formula>
    </cfRule>
  </conditionalFormatting>
  <conditionalFormatting sqref="M110">
    <cfRule type="expression" priority="439" aboveAverage="0" equalAverage="0" bottom="0" percent="0" rank="0" text="" dxfId="0">
      <formula>M110&gt;=20</formula>
    </cfRule>
    <cfRule type="expression" priority="440" aboveAverage="0" equalAverage="0" bottom="0" percent="0" rank="0" text="" dxfId="1">
      <formula>AND(M110&gt;=10,M110&lt;20)</formula>
    </cfRule>
    <cfRule type="expression" priority="441" aboveAverage="0" equalAverage="0" bottom="0" percent="0" rank="0" text="" dxfId="2">
      <formula>AND(M110&gt;=5,M110&lt;10)</formula>
    </cfRule>
    <cfRule type="expression" priority="442" aboveAverage="0" equalAverage="0" bottom="0" percent="0" rank="0" text="" dxfId="3">
      <formula>AND(M110&gt;=1,M110&lt;5)</formula>
    </cfRule>
  </conditionalFormatting>
  <conditionalFormatting sqref="M111">
    <cfRule type="expression" priority="443" aboveAverage="0" equalAverage="0" bottom="0" percent="0" rank="0" text="" dxfId="0">
      <formula>M111&gt;=20</formula>
    </cfRule>
    <cfRule type="expression" priority="444" aboveAverage="0" equalAverage="0" bottom="0" percent="0" rank="0" text="" dxfId="1">
      <formula>AND(M111&gt;=10,M111&lt;20)</formula>
    </cfRule>
    <cfRule type="expression" priority="445" aboveAverage="0" equalAverage="0" bottom="0" percent="0" rank="0" text="" dxfId="2">
      <formula>AND(M111&gt;=5,M111&lt;10)</formula>
    </cfRule>
    <cfRule type="expression" priority="446" aboveAverage="0" equalAverage="0" bottom="0" percent="0" rank="0" text="" dxfId="3">
      <formula>AND(M111&gt;=1,M111&lt;5)</formula>
    </cfRule>
  </conditionalFormatting>
  <conditionalFormatting sqref="M112">
    <cfRule type="expression" priority="447" aboveAverage="0" equalAverage="0" bottom="0" percent="0" rank="0" text="" dxfId="0">
      <formula>M112&gt;=20</formula>
    </cfRule>
    <cfRule type="expression" priority="448" aboveAverage="0" equalAverage="0" bottom="0" percent="0" rank="0" text="" dxfId="1">
      <formula>AND(M112&gt;=10,M112&lt;20)</formula>
    </cfRule>
    <cfRule type="expression" priority="449" aboveAverage="0" equalAverage="0" bottom="0" percent="0" rank="0" text="" dxfId="2">
      <formula>AND(M112&gt;=5,M112&lt;10)</formula>
    </cfRule>
    <cfRule type="expression" priority="450" aboveAverage="0" equalAverage="0" bottom="0" percent="0" rank="0" text="" dxfId="3">
      <formula>AND(M112&gt;=1,M112&lt;5)</formula>
    </cfRule>
  </conditionalFormatting>
  <conditionalFormatting sqref="M113">
    <cfRule type="expression" priority="451" aboveAverage="0" equalAverage="0" bottom="0" percent="0" rank="0" text="" dxfId="0">
      <formula>M113&gt;=20</formula>
    </cfRule>
    <cfRule type="expression" priority="452" aboveAverage="0" equalAverage="0" bottom="0" percent="0" rank="0" text="" dxfId="1">
      <formula>AND(M113&gt;=10,M113&lt;20)</formula>
    </cfRule>
    <cfRule type="expression" priority="453" aboveAverage="0" equalAverage="0" bottom="0" percent="0" rank="0" text="" dxfId="2">
      <formula>AND(M113&gt;=5,M113&lt;10)</formula>
    </cfRule>
    <cfRule type="expression" priority="454" aboveAverage="0" equalAverage="0" bottom="0" percent="0" rank="0" text="" dxfId="3">
      <formula>AND(M113&gt;=1,M113&lt;5)</formula>
    </cfRule>
  </conditionalFormatting>
  <conditionalFormatting sqref="M114">
    <cfRule type="expression" priority="455" aboveAverage="0" equalAverage="0" bottom="0" percent="0" rank="0" text="" dxfId="0">
      <formula>M114&gt;=20</formula>
    </cfRule>
    <cfRule type="expression" priority="456" aboveAverage="0" equalAverage="0" bottom="0" percent="0" rank="0" text="" dxfId="1">
      <formula>AND(M114&gt;=10,M114&lt;20)</formula>
    </cfRule>
    <cfRule type="expression" priority="457" aboveAverage="0" equalAverage="0" bottom="0" percent="0" rank="0" text="" dxfId="2">
      <formula>AND(M114&gt;=5,M114&lt;10)</formula>
    </cfRule>
    <cfRule type="expression" priority="458" aboveAverage="0" equalAverage="0" bottom="0" percent="0" rank="0" text="" dxfId="3">
      <formula>AND(M114&gt;=1,M114&lt;5)</formula>
    </cfRule>
  </conditionalFormatting>
  <conditionalFormatting sqref="M115">
    <cfRule type="expression" priority="459" aboveAverage="0" equalAverage="0" bottom="0" percent="0" rank="0" text="" dxfId="0">
      <formula>M115&gt;=20</formula>
    </cfRule>
    <cfRule type="expression" priority="460" aboveAverage="0" equalAverage="0" bottom="0" percent="0" rank="0" text="" dxfId="1">
      <formula>AND(M115&gt;=10,M115&lt;20)</formula>
    </cfRule>
    <cfRule type="expression" priority="461" aboveAverage="0" equalAverage="0" bottom="0" percent="0" rank="0" text="" dxfId="2">
      <formula>AND(M115&gt;=5,M115&lt;10)</formula>
    </cfRule>
    <cfRule type="expression" priority="462" aboveAverage="0" equalAverage="0" bottom="0" percent="0" rank="0" text="" dxfId="3">
      <formula>AND(M115&gt;=1,M115&lt;5)</formula>
    </cfRule>
  </conditionalFormatting>
  <conditionalFormatting sqref="M116">
    <cfRule type="expression" priority="463" aboveAverage="0" equalAverage="0" bottom="0" percent="0" rank="0" text="" dxfId="0">
      <formula>M116&gt;=20</formula>
    </cfRule>
    <cfRule type="expression" priority="464" aboveAverage="0" equalAverage="0" bottom="0" percent="0" rank="0" text="" dxfId="1">
      <formula>AND(M116&gt;=10,M116&lt;20)</formula>
    </cfRule>
    <cfRule type="expression" priority="465" aboveAverage="0" equalAverage="0" bottom="0" percent="0" rank="0" text="" dxfId="2">
      <formula>AND(M116&gt;=5,M116&lt;10)</formula>
    </cfRule>
    <cfRule type="expression" priority="466" aboveAverage="0" equalAverage="0" bottom="0" percent="0" rank="0" text="" dxfId="3">
      <formula>AND(M116&gt;=1,M116&lt;5)</formula>
    </cfRule>
  </conditionalFormatting>
  <conditionalFormatting sqref="M117">
    <cfRule type="expression" priority="467" aboveAverage="0" equalAverage="0" bottom="0" percent="0" rank="0" text="" dxfId="0">
      <formula>M117&gt;=20</formula>
    </cfRule>
    <cfRule type="expression" priority="468" aboveAverage="0" equalAverage="0" bottom="0" percent="0" rank="0" text="" dxfId="1">
      <formula>AND(M117&gt;=10,M117&lt;20)</formula>
    </cfRule>
    <cfRule type="expression" priority="469" aboveAverage="0" equalAverage="0" bottom="0" percent="0" rank="0" text="" dxfId="2">
      <formula>AND(M117&gt;=5,M117&lt;10)</formula>
    </cfRule>
    <cfRule type="expression" priority="470" aboveAverage="0" equalAverage="0" bottom="0" percent="0" rank="0" text="" dxfId="3">
      <formula>AND(M117&gt;=1,M117&lt;5)</formula>
    </cfRule>
  </conditionalFormatting>
  <conditionalFormatting sqref="M118">
    <cfRule type="expression" priority="471" aboveAverage="0" equalAverage="0" bottom="0" percent="0" rank="0" text="" dxfId="0">
      <formula>M118&gt;=20</formula>
    </cfRule>
    <cfRule type="expression" priority="472" aboveAverage="0" equalAverage="0" bottom="0" percent="0" rank="0" text="" dxfId="1">
      <formula>AND(M118&gt;=10,M118&lt;20)</formula>
    </cfRule>
    <cfRule type="expression" priority="473" aboveAverage="0" equalAverage="0" bottom="0" percent="0" rank="0" text="" dxfId="2">
      <formula>AND(M118&gt;=5,M118&lt;10)</formula>
    </cfRule>
    <cfRule type="expression" priority="474" aboveAverage="0" equalAverage="0" bottom="0" percent="0" rank="0" text="" dxfId="3">
      <formula>AND(M118&gt;=1,M118&lt;5)</formula>
    </cfRule>
  </conditionalFormatting>
  <conditionalFormatting sqref="M119">
    <cfRule type="expression" priority="475" aboveAverage="0" equalAverage="0" bottom="0" percent="0" rank="0" text="" dxfId="0">
      <formula>M119&gt;=20</formula>
    </cfRule>
    <cfRule type="expression" priority="476" aboveAverage="0" equalAverage="0" bottom="0" percent="0" rank="0" text="" dxfId="1">
      <formula>AND(M119&gt;=10,M119&lt;20)</formula>
    </cfRule>
    <cfRule type="expression" priority="477" aboveAverage="0" equalAverage="0" bottom="0" percent="0" rank="0" text="" dxfId="2">
      <formula>AND(M119&gt;=5,M119&lt;10)</formula>
    </cfRule>
    <cfRule type="expression" priority="478" aboveAverage="0" equalAverage="0" bottom="0" percent="0" rank="0" text="" dxfId="3">
      <formula>AND(M119&gt;=1,M119&lt;5)</formula>
    </cfRule>
  </conditionalFormatting>
  <conditionalFormatting sqref="M120">
    <cfRule type="expression" priority="479" aboveAverage="0" equalAverage="0" bottom="0" percent="0" rank="0" text="" dxfId="0">
      <formula>M120&gt;=20</formula>
    </cfRule>
    <cfRule type="expression" priority="480" aboveAverage="0" equalAverage="0" bottom="0" percent="0" rank="0" text="" dxfId="1">
      <formula>AND(M120&gt;=10,M120&lt;20)</formula>
    </cfRule>
    <cfRule type="expression" priority="481" aboveAverage="0" equalAverage="0" bottom="0" percent="0" rank="0" text="" dxfId="2">
      <formula>AND(M120&gt;=5,M120&lt;10)</formula>
    </cfRule>
    <cfRule type="expression" priority="482" aboveAverage="0" equalAverage="0" bottom="0" percent="0" rank="0" text="" dxfId="3">
      <formula>AND(M120&gt;=1,M120&lt;5)</formula>
    </cfRule>
  </conditionalFormatting>
  <conditionalFormatting sqref="M121">
    <cfRule type="expression" priority="483" aboveAverage="0" equalAverage="0" bottom="0" percent="0" rank="0" text="" dxfId="0">
      <formula>M121&gt;=20</formula>
    </cfRule>
    <cfRule type="expression" priority="484" aboveAverage="0" equalAverage="0" bottom="0" percent="0" rank="0" text="" dxfId="1">
      <formula>AND(M121&gt;=10,M121&lt;20)</formula>
    </cfRule>
    <cfRule type="expression" priority="485" aboveAverage="0" equalAverage="0" bottom="0" percent="0" rank="0" text="" dxfId="2">
      <formula>AND(M121&gt;=5,M121&lt;10)</formula>
    </cfRule>
    <cfRule type="expression" priority="486" aboveAverage="0" equalAverage="0" bottom="0" percent="0" rank="0" text="" dxfId="3">
      <formula>AND(M121&gt;=1,M121&lt;5)</formula>
    </cfRule>
  </conditionalFormatting>
  <conditionalFormatting sqref="M122">
    <cfRule type="expression" priority="487" aboveAverage="0" equalAverage="0" bottom="0" percent="0" rank="0" text="" dxfId="0">
      <formula>M122&gt;=20</formula>
    </cfRule>
    <cfRule type="expression" priority="488" aboveAverage="0" equalAverage="0" bottom="0" percent="0" rank="0" text="" dxfId="1">
      <formula>AND(M122&gt;=10,M122&lt;20)</formula>
    </cfRule>
    <cfRule type="expression" priority="489" aboveAverage="0" equalAverage="0" bottom="0" percent="0" rank="0" text="" dxfId="2">
      <formula>AND(M122&gt;=5,M122&lt;10)</formula>
    </cfRule>
    <cfRule type="expression" priority="490" aboveAverage="0" equalAverage="0" bottom="0" percent="0" rank="0" text="" dxfId="3">
      <formula>AND(M122&gt;=1,M122&lt;5)</formula>
    </cfRule>
  </conditionalFormatting>
  <conditionalFormatting sqref="M123">
    <cfRule type="expression" priority="491" aboveAverage="0" equalAverage="0" bottom="0" percent="0" rank="0" text="" dxfId="0">
      <formula>M123&gt;=20</formula>
    </cfRule>
    <cfRule type="expression" priority="492" aboveAverage="0" equalAverage="0" bottom="0" percent="0" rank="0" text="" dxfId="1">
      <formula>AND(M123&gt;=10,M123&lt;20)</formula>
    </cfRule>
    <cfRule type="expression" priority="493" aboveAverage="0" equalAverage="0" bottom="0" percent="0" rank="0" text="" dxfId="2">
      <formula>AND(M123&gt;=5,M123&lt;10)</formula>
    </cfRule>
    <cfRule type="expression" priority="494" aboveAverage="0" equalAverage="0" bottom="0" percent="0" rank="0" text="" dxfId="3">
      <formula>AND(M123&gt;=1,M123&lt;5)</formula>
    </cfRule>
  </conditionalFormatting>
  <conditionalFormatting sqref="M124">
    <cfRule type="expression" priority="495" aboveAverage="0" equalAverage="0" bottom="0" percent="0" rank="0" text="" dxfId="0">
      <formula>M124&gt;=20</formula>
    </cfRule>
    <cfRule type="expression" priority="496" aboveAverage="0" equalAverage="0" bottom="0" percent="0" rank="0" text="" dxfId="1">
      <formula>AND(M124&gt;=10,M124&lt;20)</formula>
    </cfRule>
    <cfRule type="expression" priority="497" aboveAverage="0" equalAverage="0" bottom="0" percent="0" rank="0" text="" dxfId="2">
      <formula>AND(M124&gt;=5,M124&lt;10)</formula>
    </cfRule>
    <cfRule type="expression" priority="498" aboveAverage="0" equalAverage="0" bottom="0" percent="0" rank="0" text="" dxfId="3">
      <formula>AND(M124&gt;=1,M124&lt;5)</formula>
    </cfRule>
  </conditionalFormatting>
  <conditionalFormatting sqref="M125">
    <cfRule type="expression" priority="499" aboveAverage="0" equalAverage="0" bottom="0" percent="0" rank="0" text="" dxfId="0">
      <formula>M125&gt;=20</formula>
    </cfRule>
    <cfRule type="expression" priority="500" aboveAverage="0" equalAverage="0" bottom="0" percent="0" rank="0" text="" dxfId="1">
      <formula>AND(M125&gt;=10,M125&lt;20)</formula>
    </cfRule>
    <cfRule type="expression" priority="501" aboveAverage="0" equalAverage="0" bottom="0" percent="0" rank="0" text="" dxfId="2">
      <formula>AND(M125&gt;=5,M125&lt;10)</formula>
    </cfRule>
    <cfRule type="expression" priority="502" aboveAverage="0" equalAverage="0" bottom="0" percent="0" rank="0" text="" dxfId="3">
      <formula>AND(M125&gt;=1,M125&lt;5)</formula>
    </cfRule>
  </conditionalFormatting>
  <conditionalFormatting sqref="M126">
    <cfRule type="expression" priority="503" aboveAverage="0" equalAverage="0" bottom="0" percent="0" rank="0" text="" dxfId="0">
      <formula>M126&gt;=20</formula>
    </cfRule>
    <cfRule type="expression" priority="504" aboveAverage="0" equalAverage="0" bottom="0" percent="0" rank="0" text="" dxfId="1">
      <formula>AND(M126&gt;=10,M126&lt;20)</formula>
    </cfRule>
    <cfRule type="expression" priority="505" aboveAverage="0" equalAverage="0" bottom="0" percent="0" rank="0" text="" dxfId="2">
      <formula>AND(M126&gt;=5,M126&lt;10)</formula>
    </cfRule>
    <cfRule type="expression" priority="506" aboveAverage="0" equalAverage="0" bottom="0" percent="0" rank="0" text="" dxfId="3">
      <formula>AND(M126&gt;=1,M126&lt;5)</formula>
    </cfRule>
  </conditionalFormatting>
  <conditionalFormatting sqref="M127">
    <cfRule type="expression" priority="507" aboveAverage="0" equalAverage="0" bottom="0" percent="0" rank="0" text="" dxfId="0">
      <formula>M127&gt;=20</formula>
    </cfRule>
    <cfRule type="expression" priority="508" aboveAverage="0" equalAverage="0" bottom="0" percent="0" rank="0" text="" dxfId="1">
      <formula>AND(M127&gt;=10,M127&lt;20)</formula>
    </cfRule>
    <cfRule type="expression" priority="509" aboveAverage="0" equalAverage="0" bottom="0" percent="0" rank="0" text="" dxfId="2">
      <formula>AND(M127&gt;=5,M127&lt;10)</formula>
    </cfRule>
    <cfRule type="expression" priority="510" aboveAverage="0" equalAverage="0" bottom="0" percent="0" rank="0" text="" dxfId="3">
      <formula>AND(M127&gt;=1,M127&lt;5)</formula>
    </cfRule>
  </conditionalFormatting>
  <conditionalFormatting sqref="M128">
    <cfRule type="expression" priority="511" aboveAverage="0" equalAverage="0" bottom="0" percent="0" rank="0" text="" dxfId="0">
      <formula>M128&gt;=20</formula>
    </cfRule>
    <cfRule type="expression" priority="512" aboveAverage="0" equalAverage="0" bottom="0" percent="0" rank="0" text="" dxfId="1">
      <formula>AND(M128&gt;=10,M128&lt;20)</formula>
    </cfRule>
    <cfRule type="expression" priority="513" aboveAverage="0" equalAverage="0" bottom="0" percent="0" rank="0" text="" dxfId="2">
      <formula>AND(M128&gt;=5,M128&lt;10)</formula>
    </cfRule>
    <cfRule type="expression" priority="514" aboveAverage="0" equalAverage="0" bottom="0" percent="0" rank="0" text="" dxfId="3">
      <formula>AND(M128&gt;=1,M128&lt;5)</formula>
    </cfRule>
  </conditionalFormatting>
  <conditionalFormatting sqref="M129">
    <cfRule type="expression" priority="515" aboveAverage="0" equalAverage="0" bottom="0" percent="0" rank="0" text="" dxfId="0">
      <formula>M129&gt;=20</formula>
    </cfRule>
    <cfRule type="expression" priority="516" aboveAverage="0" equalAverage="0" bottom="0" percent="0" rank="0" text="" dxfId="1">
      <formula>AND(M129&gt;=10,M129&lt;20)</formula>
    </cfRule>
    <cfRule type="expression" priority="517" aboveAverage="0" equalAverage="0" bottom="0" percent="0" rank="0" text="" dxfId="2">
      <formula>AND(M129&gt;=5,M129&lt;10)</formula>
    </cfRule>
    <cfRule type="expression" priority="518" aboveAverage="0" equalAverage="0" bottom="0" percent="0" rank="0" text="" dxfId="3">
      <formula>AND(M129&gt;=1,M129&lt;5)</formula>
    </cfRule>
  </conditionalFormatting>
  <conditionalFormatting sqref="M130">
    <cfRule type="expression" priority="519" aboveAverage="0" equalAverage="0" bottom="0" percent="0" rank="0" text="" dxfId="0">
      <formula>M130&gt;=20</formula>
    </cfRule>
    <cfRule type="expression" priority="520" aboveAverage="0" equalAverage="0" bottom="0" percent="0" rank="0" text="" dxfId="1">
      <formula>AND(M130&gt;=10,M130&lt;20)</formula>
    </cfRule>
    <cfRule type="expression" priority="521" aboveAverage="0" equalAverage="0" bottom="0" percent="0" rank="0" text="" dxfId="2">
      <formula>AND(M130&gt;=5,M130&lt;10)</formula>
    </cfRule>
    <cfRule type="expression" priority="522" aboveAverage="0" equalAverage="0" bottom="0" percent="0" rank="0" text="" dxfId="3">
      <formula>AND(M130&gt;=1,M130&lt;5)</formula>
    </cfRule>
  </conditionalFormatting>
  <conditionalFormatting sqref="M131">
    <cfRule type="expression" priority="523" aboveAverage="0" equalAverage="0" bottom="0" percent="0" rank="0" text="" dxfId="0">
      <formula>M131&gt;=20</formula>
    </cfRule>
    <cfRule type="expression" priority="524" aboveAverage="0" equalAverage="0" bottom="0" percent="0" rank="0" text="" dxfId="1">
      <formula>AND(M131&gt;=10,M131&lt;20)</formula>
    </cfRule>
    <cfRule type="expression" priority="525" aboveAverage="0" equalAverage="0" bottom="0" percent="0" rank="0" text="" dxfId="2">
      <formula>AND(M131&gt;=5,M131&lt;10)</formula>
    </cfRule>
    <cfRule type="expression" priority="526" aboveAverage="0" equalAverage="0" bottom="0" percent="0" rank="0" text="" dxfId="3">
      <formula>AND(M131&gt;=1,M131&lt;5)</formula>
    </cfRule>
  </conditionalFormatting>
  <conditionalFormatting sqref="M132">
    <cfRule type="expression" priority="527" aboveAverage="0" equalAverage="0" bottom="0" percent="0" rank="0" text="" dxfId="0">
      <formula>M132&gt;=20</formula>
    </cfRule>
    <cfRule type="expression" priority="528" aboveAverage="0" equalAverage="0" bottom="0" percent="0" rank="0" text="" dxfId="1">
      <formula>AND(M132&gt;=10,M132&lt;20)</formula>
    </cfRule>
    <cfRule type="expression" priority="529" aboveAverage="0" equalAverage="0" bottom="0" percent="0" rank="0" text="" dxfId="2">
      <formula>AND(M132&gt;=5,M132&lt;10)</formula>
    </cfRule>
    <cfRule type="expression" priority="530" aboveAverage="0" equalAverage="0" bottom="0" percent="0" rank="0" text="" dxfId="3">
      <formula>AND(M132&gt;=1,M132&lt;5)</formula>
    </cfRule>
  </conditionalFormatting>
  <conditionalFormatting sqref="M133">
    <cfRule type="expression" priority="531" aboveAverage="0" equalAverage="0" bottom="0" percent="0" rank="0" text="" dxfId="0">
      <formula>M133&gt;=20</formula>
    </cfRule>
    <cfRule type="expression" priority="532" aboveAverage="0" equalAverage="0" bottom="0" percent="0" rank="0" text="" dxfId="1">
      <formula>AND(M133&gt;=10,M133&lt;20)</formula>
    </cfRule>
    <cfRule type="expression" priority="533" aboveAverage="0" equalAverage="0" bottom="0" percent="0" rank="0" text="" dxfId="2">
      <formula>AND(M133&gt;=5,M133&lt;10)</formula>
    </cfRule>
    <cfRule type="expression" priority="534" aboveAverage="0" equalAverage="0" bottom="0" percent="0" rank="0" text="" dxfId="3">
      <formula>AND(M133&gt;=1,M133&lt;5)</formula>
    </cfRule>
  </conditionalFormatting>
  <conditionalFormatting sqref="M134">
    <cfRule type="expression" priority="535" aboveAverage="0" equalAverage="0" bottom="0" percent="0" rank="0" text="" dxfId="0">
      <formula>M134&gt;=20</formula>
    </cfRule>
    <cfRule type="expression" priority="536" aboveAverage="0" equalAverage="0" bottom="0" percent="0" rank="0" text="" dxfId="1">
      <formula>AND(M134&gt;=10,M134&lt;20)</formula>
    </cfRule>
    <cfRule type="expression" priority="537" aboveAverage="0" equalAverage="0" bottom="0" percent="0" rank="0" text="" dxfId="2">
      <formula>AND(M134&gt;=5,M134&lt;10)</formula>
    </cfRule>
    <cfRule type="expression" priority="538" aboveAverage="0" equalAverage="0" bottom="0" percent="0" rank="0" text="" dxfId="3">
      <formula>AND(M134&gt;=1,M134&lt;5)</formula>
    </cfRule>
  </conditionalFormatting>
  <conditionalFormatting sqref="M135">
    <cfRule type="expression" priority="539" aboveAverage="0" equalAverage="0" bottom="0" percent="0" rank="0" text="" dxfId="0">
      <formula>M135&gt;=20</formula>
    </cfRule>
    <cfRule type="expression" priority="540" aboveAverage="0" equalAverage="0" bottom="0" percent="0" rank="0" text="" dxfId="1">
      <formula>AND(M135&gt;=10,M135&lt;20)</formula>
    </cfRule>
    <cfRule type="expression" priority="541" aboveAverage="0" equalAverage="0" bottom="0" percent="0" rank="0" text="" dxfId="2">
      <formula>AND(M135&gt;=5,M135&lt;10)</formula>
    </cfRule>
    <cfRule type="expression" priority="542" aboveAverage="0" equalAverage="0" bottom="0" percent="0" rank="0" text="" dxfId="3">
      <formula>AND(M135&gt;=1,M135&lt;5)</formula>
    </cfRule>
  </conditionalFormatting>
  <conditionalFormatting sqref="M136">
    <cfRule type="expression" priority="543" aboveAverage="0" equalAverage="0" bottom="0" percent="0" rank="0" text="" dxfId="0">
      <formula>M136&gt;=20</formula>
    </cfRule>
    <cfRule type="expression" priority="544" aboveAverage="0" equalAverage="0" bottom="0" percent="0" rank="0" text="" dxfId="1">
      <formula>AND(M136&gt;=10,M136&lt;20)</formula>
    </cfRule>
    <cfRule type="expression" priority="545" aboveAverage="0" equalAverage="0" bottom="0" percent="0" rank="0" text="" dxfId="2">
      <formula>AND(M136&gt;=5,M136&lt;10)</formula>
    </cfRule>
    <cfRule type="expression" priority="546" aboveAverage="0" equalAverage="0" bottom="0" percent="0" rank="0" text="" dxfId="3">
      <formula>AND(M136&gt;=1,M136&lt;5)</formula>
    </cfRule>
  </conditionalFormatting>
  <conditionalFormatting sqref="M137">
    <cfRule type="expression" priority="547" aboveAverage="0" equalAverage="0" bottom="0" percent="0" rank="0" text="" dxfId="0">
      <formula>M137&gt;=20</formula>
    </cfRule>
    <cfRule type="expression" priority="548" aboveAverage="0" equalAverage="0" bottom="0" percent="0" rank="0" text="" dxfId="1">
      <formula>AND(M137&gt;=10,M137&lt;20)</formula>
    </cfRule>
    <cfRule type="expression" priority="549" aboveAverage="0" equalAverage="0" bottom="0" percent="0" rank="0" text="" dxfId="2">
      <formula>AND(M137&gt;=5,M137&lt;10)</formula>
    </cfRule>
    <cfRule type="expression" priority="550" aboveAverage="0" equalAverage="0" bottom="0" percent="0" rank="0" text="" dxfId="3">
      <formula>AND(M137&gt;=1,M137&lt;5)</formula>
    </cfRule>
  </conditionalFormatting>
  <conditionalFormatting sqref="M138">
    <cfRule type="expression" priority="551" aboveAverage="0" equalAverage="0" bottom="0" percent="0" rank="0" text="" dxfId="0">
      <formula>M138&gt;=20</formula>
    </cfRule>
    <cfRule type="expression" priority="552" aboveAverage="0" equalAverage="0" bottom="0" percent="0" rank="0" text="" dxfId="1">
      <formula>AND(M138&gt;=10,M138&lt;20)</formula>
    </cfRule>
    <cfRule type="expression" priority="553" aboveAverage="0" equalAverage="0" bottom="0" percent="0" rank="0" text="" dxfId="2">
      <formula>AND(M138&gt;=5,M138&lt;10)</formula>
    </cfRule>
    <cfRule type="expression" priority="554" aboveAverage="0" equalAverage="0" bottom="0" percent="0" rank="0" text="" dxfId="3">
      <formula>AND(M138&gt;=1,M138&lt;5)</formula>
    </cfRule>
  </conditionalFormatting>
  <conditionalFormatting sqref="M139">
    <cfRule type="expression" priority="555" aboveAverage="0" equalAverage="0" bottom="0" percent="0" rank="0" text="" dxfId="0">
      <formula>M139&gt;=20</formula>
    </cfRule>
    <cfRule type="expression" priority="556" aboveAverage="0" equalAverage="0" bottom="0" percent="0" rank="0" text="" dxfId="1">
      <formula>AND(M139&gt;=10,M139&lt;20)</formula>
    </cfRule>
    <cfRule type="expression" priority="557" aboveAverage="0" equalAverage="0" bottom="0" percent="0" rank="0" text="" dxfId="2">
      <formula>AND(M139&gt;=5,M139&lt;10)</formula>
    </cfRule>
    <cfRule type="expression" priority="558" aboveAverage="0" equalAverage="0" bottom="0" percent="0" rank="0" text="" dxfId="3">
      <formula>AND(M139&gt;=1,M139&lt;5)</formula>
    </cfRule>
  </conditionalFormatting>
  <conditionalFormatting sqref="M140">
    <cfRule type="expression" priority="559" aboveAverage="0" equalAverage="0" bottom="0" percent="0" rank="0" text="" dxfId="0">
      <formula>M140&gt;=20</formula>
    </cfRule>
    <cfRule type="expression" priority="560" aboveAverage="0" equalAverage="0" bottom="0" percent="0" rank="0" text="" dxfId="1">
      <formula>AND(M140&gt;=10,M140&lt;20)</formula>
    </cfRule>
    <cfRule type="expression" priority="561" aboveAverage="0" equalAverage="0" bottom="0" percent="0" rank="0" text="" dxfId="2">
      <formula>AND(M140&gt;=5,M140&lt;10)</formula>
    </cfRule>
    <cfRule type="expression" priority="562" aboveAverage="0" equalAverage="0" bottom="0" percent="0" rank="0" text="" dxfId="3">
      <formula>AND(M140&gt;=1,M140&lt;5)</formula>
    </cfRule>
  </conditionalFormatting>
  <conditionalFormatting sqref="M141">
    <cfRule type="expression" priority="563" aboveAverage="0" equalAverage="0" bottom="0" percent="0" rank="0" text="" dxfId="0">
      <formula>M141&gt;=20</formula>
    </cfRule>
    <cfRule type="expression" priority="564" aboveAverage="0" equalAverage="0" bottom="0" percent="0" rank="0" text="" dxfId="1">
      <formula>AND(M141&gt;=10,M141&lt;20)</formula>
    </cfRule>
    <cfRule type="expression" priority="565" aboveAverage="0" equalAverage="0" bottom="0" percent="0" rank="0" text="" dxfId="2">
      <formula>AND(M141&gt;=5,M141&lt;10)</formula>
    </cfRule>
    <cfRule type="expression" priority="566" aboveAverage="0" equalAverage="0" bottom="0" percent="0" rank="0" text="" dxfId="3">
      <formula>AND(M141&gt;=1,M141&lt;5)</formula>
    </cfRule>
  </conditionalFormatting>
  <conditionalFormatting sqref="M142">
    <cfRule type="expression" priority="567" aboveAverage="0" equalAverage="0" bottom="0" percent="0" rank="0" text="" dxfId="0">
      <formula>M142&gt;=20</formula>
    </cfRule>
    <cfRule type="expression" priority="568" aboveAverage="0" equalAverage="0" bottom="0" percent="0" rank="0" text="" dxfId="1">
      <formula>AND(M142&gt;=10,M142&lt;20)</formula>
    </cfRule>
    <cfRule type="expression" priority="569" aboveAverage="0" equalAverage="0" bottom="0" percent="0" rank="0" text="" dxfId="2">
      <formula>AND(M142&gt;=5,M142&lt;10)</formula>
    </cfRule>
    <cfRule type="expression" priority="570" aboveAverage="0" equalAverage="0" bottom="0" percent="0" rank="0" text="" dxfId="3">
      <formula>AND(M142&gt;=1,M142&lt;5)</formula>
    </cfRule>
  </conditionalFormatting>
  <conditionalFormatting sqref="M143">
    <cfRule type="expression" priority="571" aboveAverage="0" equalAverage="0" bottom="0" percent="0" rank="0" text="" dxfId="0">
      <formula>M143&gt;=20</formula>
    </cfRule>
    <cfRule type="expression" priority="572" aboveAverage="0" equalAverage="0" bottom="0" percent="0" rank="0" text="" dxfId="1">
      <formula>AND(M143&gt;=10,M143&lt;20)</formula>
    </cfRule>
    <cfRule type="expression" priority="573" aboveAverage="0" equalAverage="0" bottom="0" percent="0" rank="0" text="" dxfId="2">
      <formula>AND(M143&gt;=5,M143&lt;10)</formula>
    </cfRule>
    <cfRule type="expression" priority="574" aboveAverage="0" equalAverage="0" bottom="0" percent="0" rank="0" text="" dxfId="3">
      <formula>AND(M143&gt;=1,M143&lt;5)</formula>
    </cfRule>
  </conditionalFormatting>
  <conditionalFormatting sqref="M144">
    <cfRule type="expression" priority="575" aboveAverage="0" equalAverage="0" bottom="0" percent="0" rank="0" text="" dxfId="0">
      <formula>M144&gt;=20</formula>
    </cfRule>
    <cfRule type="expression" priority="576" aboveAverage="0" equalAverage="0" bottom="0" percent="0" rank="0" text="" dxfId="1">
      <formula>AND(M144&gt;=10,M144&lt;20)</formula>
    </cfRule>
    <cfRule type="expression" priority="577" aboveAverage="0" equalAverage="0" bottom="0" percent="0" rank="0" text="" dxfId="2">
      <formula>AND(M144&gt;=5,M144&lt;10)</formula>
    </cfRule>
    <cfRule type="expression" priority="578" aboveAverage="0" equalAverage="0" bottom="0" percent="0" rank="0" text="" dxfId="3">
      <formula>AND(M144&gt;=1,M144&lt;5)</formula>
    </cfRule>
  </conditionalFormatting>
  <conditionalFormatting sqref="M145">
    <cfRule type="expression" priority="579" aboveAverage="0" equalAverage="0" bottom="0" percent="0" rank="0" text="" dxfId="0">
      <formula>M145&gt;=20</formula>
    </cfRule>
    <cfRule type="expression" priority="580" aboveAverage="0" equalAverage="0" bottom="0" percent="0" rank="0" text="" dxfId="1">
      <formula>AND(M145&gt;=10,M145&lt;20)</formula>
    </cfRule>
    <cfRule type="expression" priority="581" aboveAverage="0" equalAverage="0" bottom="0" percent="0" rank="0" text="" dxfId="2">
      <formula>AND(M145&gt;=5,M145&lt;10)</formula>
    </cfRule>
    <cfRule type="expression" priority="582" aboveAverage="0" equalAverage="0" bottom="0" percent="0" rank="0" text="" dxfId="3">
      <formula>AND(M145&gt;=1,M145&lt;5)</formula>
    </cfRule>
  </conditionalFormatting>
  <conditionalFormatting sqref="M146">
    <cfRule type="expression" priority="583" aboveAverage="0" equalAverage="0" bottom="0" percent="0" rank="0" text="" dxfId="0">
      <formula>M146&gt;=20</formula>
    </cfRule>
    <cfRule type="expression" priority="584" aboveAverage="0" equalAverage="0" bottom="0" percent="0" rank="0" text="" dxfId="1">
      <formula>AND(M146&gt;=10,M146&lt;20)</formula>
    </cfRule>
    <cfRule type="expression" priority="585" aboveAverage="0" equalAverage="0" bottom="0" percent="0" rank="0" text="" dxfId="2">
      <formula>AND(M146&gt;=5,M146&lt;10)</formula>
    </cfRule>
    <cfRule type="expression" priority="586" aboveAverage="0" equalAverage="0" bottom="0" percent="0" rank="0" text="" dxfId="3">
      <formula>AND(M146&gt;=1,M146&lt;5)</formula>
    </cfRule>
  </conditionalFormatting>
  <conditionalFormatting sqref="M147">
    <cfRule type="expression" priority="587" aboveAverage="0" equalAverage="0" bottom="0" percent="0" rank="0" text="" dxfId="0">
      <formula>M147&gt;=20</formula>
    </cfRule>
    <cfRule type="expression" priority="588" aboveAverage="0" equalAverage="0" bottom="0" percent="0" rank="0" text="" dxfId="1">
      <formula>AND(M147&gt;=10,M147&lt;20)</formula>
    </cfRule>
    <cfRule type="expression" priority="589" aboveAverage="0" equalAverage="0" bottom="0" percent="0" rank="0" text="" dxfId="2">
      <formula>AND(M147&gt;=5,M147&lt;10)</formula>
    </cfRule>
    <cfRule type="expression" priority="590" aboveAverage="0" equalAverage="0" bottom="0" percent="0" rank="0" text="" dxfId="3">
      <formula>AND(M147&gt;=1,M147&lt;5)</formula>
    </cfRule>
  </conditionalFormatting>
  <conditionalFormatting sqref="M148">
    <cfRule type="expression" priority="591" aboveAverage="0" equalAverage="0" bottom="0" percent="0" rank="0" text="" dxfId="0">
      <formula>M148&gt;=20</formula>
    </cfRule>
    <cfRule type="expression" priority="592" aboveAverage="0" equalAverage="0" bottom="0" percent="0" rank="0" text="" dxfId="1">
      <formula>AND(M148&gt;=10,M148&lt;20)</formula>
    </cfRule>
    <cfRule type="expression" priority="593" aboveAverage="0" equalAverage="0" bottom="0" percent="0" rank="0" text="" dxfId="2">
      <formula>AND(M148&gt;=5,M148&lt;10)</formula>
    </cfRule>
    <cfRule type="expression" priority="594" aboveAverage="0" equalAverage="0" bottom="0" percent="0" rank="0" text="" dxfId="3">
      <formula>AND(M148&gt;=1,M148&lt;5)</formula>
    </cfRule>
  </conditionalFormatting>
  <conditionalFormatting sqref="M149">
    <cfRule type="expression" priority="595" aboveAverage="0" equalAverage="0" bottom="0" percent="0" rank="0" text="" dxfId="0">
      <formula>M149&gt;=20</formula>
    </cfRule>
    <cfRule type="expression" priority="596" aboveAverage="0" equalAverage="0" bottom="0" percent="0" rank="0" text="" dxfId="1">
      <formula>AND(M149&gt;=10,M149&lt;20)</formula>
    </cfRule>
    <cfRule type="expression" priority="597" aboveAverage="0" equalAverage="0" bottom="0" percent="0" rank="0" text="" dxfId="2">
      <formula>AND(M149&gt;=5,M149&lt;10)</formula>
    </cfRule>
    <cfRule type="expression" priority="598" aboveAverage="0" equalAverage="0" bottom="0" percent="0" rank="0" text="" dxfId="3">
      <formula>AND(M149&gt;=1,M149&lt;5)</formula>
    </cfRule>
  </conditionalFormatting>
  <conditionalFormatting sqref="M150">
    <cfRule type="expression" priority="599" aboveAverage="0" equalAverage="0" bottom="0" percent="0" rank="0" text="" dxfId="0">
      <formula>M150&gt;=20</formula>
    </cfRule>
    <cfRule type="expression" priority="600" aboveAverage="0" equalAverage="0" bottom="0" percent="0" rank="0" text="" dxfId="1">
      <formula>AND(M150&gt;=10,M150&lt;20)</formula>
    </cfRule>
    <cfRule type="expression" priority="601" aboveAverage="0" equalAverage="0" bottom="0" percent="0" rank="0" text="" dxfId="2">
      <formula>AND(M150&gt;=5,M150&lt;10)</formula>
    </cfRule>
    <cfRule type="expression" priority="602" aboveAverage="0" equalAverage="0" bottom="0" percent="0" rank="0" text="" dxfId="3">
      <formula>AND(M150&gt;=1,M150&lt;5)</formula>
    </cfRule>
  </conditionalFormatting>
  <conditionalFormatting sqref="M151">
    <cfRule type="expression" priority="603" aboveAverage="0" equalAverage="0" bottom="0" percent="0" rank="0" text="" dxfId="0">
      <formula>M151&gt;=20</formula>
    </cfRule>
    <cfRule type="expression" priority="604" aboveAverage="0" equalAverage="0" bottom="0" percent="0" rank="0" text="" dxfId="1">
      <formula>AND(M151&gt;=10,M151&lt;20)</formula>
    </cfRule>
    <cfRule type="expression" priority="605" aboveAverage="0" equalAverage="0" bottom="0" percent="0" rank="0" text="" dxfId="2">
      <formula>AND(M151&gt;=5,M151&lt;10)</formula>
    </cfRule>
    <cfRule type="expression" priority="606" aboveAverage="0" equalAverage="0" bottom="0" percent="0" rank="0" text="" dxfId="3">
      <formula>AND(M151&gt;=1,M151&lt;5)</formula>
    </cfRule>
  </conditionalFormatting>
  <conditionalFormatting sqref="M152">
    <cfRule type="expression" priority="607" aboveAverage="0" equalAverage="0" bottom="0" percent="0" rank="0" text="" dxfId="0">
      <formula>M152&gt;=20</formula>
    </cfRule>
    <cfRule type="expression" priority="608" aboveAverage="0" equalAverage="0" bottom="0" percent="0" rank="0" text="" dxfId="1">
      <formula>AND(M152&gt;=10,M152&lt;20)</formula>
    </cfRule>
    <cfRule type="expression" priority="609" aboveAverage="0" equalAverage="0" bottom="0" percent="0" rank="0" text="" dxfId="2">
      <formula>AND(M152&gt;=5,M152&lt;10)</formula>
    </cfRule>
    <cfRule type="expression" priority="610" aboveAverage="0" equalAverage="0" bottom="0" percent="0" rank="0" text="" dxfId="3">
      <formula>AND(M152&gt;=1,M152&lt;5)</formula>
    </cfRule>
  </conditionalFormatting>
  <conditionalFormatting sqref="M153">
    <cfRule type="expression" priority="611" aboveAverage="0" equalAverage="0" bottom="0" percent="0" rank="0" text="" dxfId="0">
      <formula>M153&gt;=20</formula>
    </cfRule>
    <cfRule type="expression" priority="612" aboveAverage="0" equalAverage="0" bottom="0" percent="0" rank="0" text="" dxfId="1">
      <formula>AND(M153&gt;=10,M153&lt;20)</formula>
    </cfRule>
    <cfRule type="expression" priority="613" aboveAverage="0" equalAverage="0" bottom="0" percent="0" rank="0" text="" dxfId="2">
      <formula>AND(M153&gt;=5,M153&lt;10)</formula>
    </cfRule>
    <cfRule type="expression" priority="614" aboveAverage="0" equalAverage="0" bottom="0" percent="0" rank="0" text="" dxfId="3">
      <formula>AND(M153&gt;=1,M153&lt;5)</formula>
    </cfRule>
  </conditionalFormatting>
  <conditionalFormatting sqref="M154">
    <cfRule type="expression" priority="615" aboveAverage="0" equalAverage="0" bottom="0" percent="0" rank="0" text="" dxfId="0">
      <formula>M154&gt;=20</formula>
    </cfRule>
    <cfRule type="expression" priority="616" aboveAverage="0" equalAverage="0" bottom="0" percent="0" rank="0" text="" dxfId="1">
      <formula>AND(M154&gt;=10,M154&lt;20)</formula>
    </cfRule>
    <cfRule type="expression" priority="617" aboveAverage="0" equalAverage="0" bottom="0" percent="0" rank="0" text="" dxfId="2">
      <formula>AND(M154&gt;=5,M154&lt;10)</formula>
    </cfRule>
    <cfRule type="expression" priority="618" aboveAverage="0" equalAverage="0" bottom="0" percent="0" rank="0" text="" dxfId="3">
      <formula>AND(M154&gt;=1,M154&lt;5)</formula>
    </cfRule>
  </conditionalFormatting>
  <conditionalFormatting sqref="M155">
    <cfRule type="expression" priority="619" aboveAverage="0" equalAverage="0" bottom="0" percent="0" rank="0" text="" dxfId="0">
      <formula>M155&gt;=20</formula>
    </cfRule>
    <cfRule type="expression" priority="620" aboveAverage="0" equalAverage="0" bottom="0" percent="0" rank="0" text="" dxfId="1">
      <formula>AND(M155&gt;=10,M155&lt;20)</formula>
    </cfRule>
    <cfRule type="expression" priority="621" aboveAverage="0" equalAverage="0" bottom="0" percent="0" rank="0" text="" dxfId="2">
      <formula>AND(M155&gt;=5,M155&lt;10)</formula>
    </cfRule>
    <cfRule type="expression" priority="622" aboveAverage="0" equalAverage="0" bottom="0" percent="0" rank="0" text="" dxfId="3">
      <formula>AND(M155&gt;=1,M155&lt;5)</formula>
    </cfRule>
  </conditionalFormatting>
  <conditionalFormatting sqref="M156">
    <cfRule type="expression" priority="623" aboveAverage="0" equalAverage="0" bottom="0" percent="0" rank="0" text="" dxfId="0">
      <formula>M156&gt;=20</formula>
    </cfRule>
    <cfRule type="expression" priority="624" aboveAverage="0" equalAverage="0" bottom="0" percent="0" rank="0" text="" dxfId="1">
      <formula>AND(M156&gt;=10,M156&lt;20)</formula>
    </cfRule>
    <cfRule type="expression" priority="625" aboveAverage="0" equalAverage="0" bottom="0" percent="0" rank="0" text="" dxfId="2">
      <formula>AND(M156&gt;=5,M156&lt;10)</formula>
    </cfRule>
    <cfRule type="expression" priority="626" aboveAverage="0" equalAverage="0" bottom="0" percent="0" rank="0" text="" dxfId="3">
      <formula>AND(M156&gt;=1,M156&lt;5)</formula>
    </cfRule>
  </conditionalFormatting>
  <conditionalFormatting sqref="M157">
    <cfRule type="expression" priority="627" aboveAverage="0" equalAverage="0" bottom="0" percent="0" rank="0" text="" dxfId="0">
      <formula>M157&gt;=20</formula>
    </cfRule>
    <cfRule type="expression" priority="628" aboveAverage="0" equalAverage="0" bottom="0" percent="0" rank="0" text="" dxfId="1">
      <formula>AND(M157&gt;=10,M157&lt;20)</formula>
    </cfRule>
    <cfRule type="expression" priority="629" aboveAverage="0" equalAverage="0" bottom="0" percent="0" rank="0" text="" dxfId="2">
      <formula>AND(M157&gt;=5,M157&lt;10)</formula>
    </cfRule>
    <cfRule type="expression" priority="630" aboveAverage="0" equalAverage="0" bottom="0" percent="0" rank="0" text="" dxfId="3">
      <formula>AND(M157&gt;=1,M157&lt;5)</formula>
    </cfRule>
  </conditionalFormatting>
  <conditionalFormatting sqref="M158">
    <cfRule type="expression" priority="631" aboveAverage="0" equalAverage="0" bottom="0" percent="0" rank="0" text="" dxfId="0">
      <formula>M158&gt;=20</formula>
    </cfRule>
    <cfRule type="expression" priority="632" aboveAverage="0" equalAverage="0" bottom="0" percent="0" rank="0" text="" dxfId="1">
      <formula>AND(M158&gt;=10,M158&lt;20)</formula>
    </cfRule>
    <cfRule type="expression" priority="633" aboveAverage="0" equalAverage="0" bottom="0" percent="0" rank="0" text="" dxfId="2">
      <formula>AND(M158&gt;=5,M158&lt;10)</formula>
    </cfRule>
    <cfRule type="expression" priority="634" aboveAverage="0" equalAverage="0" bottom="0" percent="0" rank="0" text="" dxfId="3">
      <formula>AND(M158&gt;=1,M158&lt;5)</formula>
    </cfRule>
  </conditionalFormatting>
  <conditionalFormatting sqref="M159">
    <cfRule type="expression" priority="635" aboveAverage="0" equalAverage="0" bottom="0" percent="0" rank="0" text="" dxfId="0">
      <formula>M159&gt;=20</formula>
    </cfRule>
    <cfRule type="expression" priority="636" aboveAverage="0" equalAverage="0" bottom="0" percent="0" rank="0" text="" dxfId="1">
      <formula>AND(M159&gt;=10,M159&lt;20)</formula>
    </cfRule>
    <cfRule type="expression" priority="637" aboveAverage="0" equalAverage="0" bottom="0" percent="0" rank="0" text="" dxfId="2">
      <formula>AND(M159&gt;=5,M159&lt;10)</formula>
    </cfRule>
    <cfRule type="expression" priority="638" aboveAverage="0" equalAverage="0" bottom="0" percent="0" rank="0" text="" dxfId="3">
      <formula>AND(M159&gt;=1,M159&lt;5)</formula>
    </cfRule>
  </conditionalFormatting>
  <conditionalFormatting sqref="M160">
    <cfRule type="expression" priority="639" aboveAverage="0" equalAverage="0" bottom="0" percent="0" rank="0" text="" dxfId="0">
      <formula>M160&gt;=20</formula>
    </cfRule>
    <cfRule type="expression" priority="640" aboveAverage="0" equalAverage="0" bottom="0" percent="0" rank="0" text="" dxfId="1">
      <formula>AND(M160&gt;=10,M160&lt;20)</formula>
    </cfRule>
    <cfRule type="expression" priority="641" aboveAverage="0" equalAverage="0" bottom="0" percent="0" rank="0" text="" dxfId="2">
      <formula>AND(M160&gt;=5,M160&lt;10)</formula>
    </cfRule>
    <cfRule type="expression" priority="642" aboveAverage="0" equalAverage="0" bottom="0" percent="0" rank="0" text="" dxfId="3">
      <formula>AND(M160&gt;=1,M160&lt;5)</formula>
    </cfRule>
  </conditionalFormatting>
  <conditionalFormatting sqref="M161">
    <cfRule type="expression" priority="643" aboveAverage="0" equalAverage="0" bottom="0" percent="0" rank="0" text="" dxfId="0">
      <formula>M161&gt;=20</formula>
    </cfRule>
    <cfRule type="expression" priority="644" aboveAverage="0" equalAverage="0" bottom="0" percent="0" rank="0" text="" dxfId="1">
      <formula>AND(M161&gt;=10,M161&lt;20)</formula>
    </cfRule>
    <cfRule type="expression" priority="645" aboveAverage="0" equalAverage="0" bottom="0" percent="0" rank="0" text="" dxfId="2">
      <formula>AND(M161&gt;=5,M161&lt;10)</formula>
    </cfRule>
    <cfRule type="expression" priority="646" aboveAverage="0" equalAverage="0" bottom="0" percent="0" rank="0" text="" dxfId="3">
      <formula>AND(M161&gt;=1,M161&lt;5)</formula>
    </cfRule>
  </conditionalFormatting>
  <conditionalFormatting sqref="M162">
    <cfRule type="expression" priority="647" aboveAverage="0" equalAverage="0" bottom="0" percent="0" rank="0" text="" dxfId="0">
      <formula>M162&gt;=20</formula>
    </cfRule>
    <cfRule type="expression" priority="648" aboveAverage="0" equalAverage="0" bottom="0" percent="0" rank="0" text="" dxfId="1">
      <formula>AND(M162&gt;=10,M162&lt;20)</formula>
    </cfRule>
    <cfRule type="expression" priority="649" aboveAverage="0" equalAverage="0" bottom="0" percent="0" rank="0" text="" dxfId="2">
      <formula>AND(M162&gt;=5,M162&lt;10)</formula>
    </cfRule>
    <cfRule type="expression" priority="650" aboveAverage="0" equalAverage="0" bottom="0" percent="0" rank="0" text="" dxfId="3">
      <formula>AND(M162&gt;=1,M162&lt;5)</formula>
    </cfRule>
  </conditionalFormatting>
  <conditionalFormatting sqref="M163">
    <cfRule type="expression" priority="651" aboveAverage="0" equalAverage="0" bottom="0" percent="0" rank="0" text="" dxfId="0">
      <formula>M163&gt;=20</formula>
    </cfRule>
    <cfRule type="expression" priority="652" aboveAverage="0" equalAverage="0" bottom="0" percent="0" rank="0" text="" dxfId="1">
      <formula>AND(M163&gt;=10,M163&lt;20)</formula>
    </cfRule>
    <cfRule type="expression" priority="653" aboveAverage="0" equalAverage="0" bottom="0" percent="0" rank="0" text="" dxfId="2">
      <formula>AND(M163&gt;=5,M163&lt;10)</formula>
    </cfRule>
    <cfRule type="expression" priority="654" aboveAverage="0" equalAverage="0" bottom="0" percent="0" rank="0" text="" dxfId="3">
      <formula>AND(M163&gt;=1,M163&lt;5)</formula>
    </cfRule>
  </conditionalFormatting>
  <conditionalFormatting sqref="M164">
    <cfRule type="expression" priority="655" aboveAverage="0" equalAverage="0" bottom="0" percent="0" rank="0" text="" dxfId="0">
      <formula>M164&gt;=20</formula>
    </cfRule>
    <cfRule type="expression" priority="656" aboveAverage="0" equalAverage="0" bottom="0" percent="0" rank="0" text="" dxfId="1">
      <formula>AND(M164&gt;=10,M164&lt;20)</formula>
    </cfRule>
    <cfRule type="expression" priority="657" aboveAverage="0" equalAverage="0" bottom="0" percent="0" rank="0" text="" dxfId="2">
      <formula>AND(M164&gt;=5,M164&lt;10)</formula>
    </cfRule>
    <cfRule type="expression" priority="658" aboveAverage="0" equalAverage="0" bottom="0" percent="0" rank="0" text="" dxfId="3">
      <formula>AND(M164&gt;=1,M164&lt;5)</formula>
    </cfRule>
  </conditionalFormatting>
  <conditionalFormatting sqref="M165">
    <cfRule type="expression" priority="659" aboveAverage="0" equalAverage="0" bottom="0" percent="0" rank="0" text="" dxfId="0">
      <formula>M165&gt;=20</formula>
    </cfRule>
    <cfRule type="expression" priority="660" aboveAverage="0" equalAverage="0" bottom="0" percent="0" rank="0" text="" dxfId="1">
      <formula>AND(M165&gt;=10,M165&lt;20)</formula>
    </cfRule>
    <cfRule type="expression" priority="661" aboveAverage="0" equalAverage="0" bottom="0" percent="0" rank="0" text="" dxfId="2">
      <formula>AND(M165&gt;=5,M165&lt;10)</formula>
    </cfRule>
    <cfRule type="expression" priority="662" aboveAverage="0" equalAverage="0" bottom="0" percent="0" rank="0" text="" dxfId="3">
      <formula>AND(M165&gt;=1,M165&lt;5)</formula>
    </cfRule>
  </conditionalFormatting>
  <conditionalFormatting sqref="M166">
    <cfRule type="expression" priority="663" aboveAverage="0" equalAverage="0" bottom="0" percent="0" rank="0" text="" dxfId="0">
      <formula>M166&gt;=20</formula>
    </cfRule>
    <cfRule type="expression" priority="664" aboveAverage="0" equalAverage="0" bottom="0" percent="0" rank="0" text="" dxfId="1">
      <formula>AND(M166&gt;=10,M166&lt;20)</formula>
    </cfRule>
    <cfRule type="expression" priority="665" aboveAverage="0" equalAverage="0" bottom="0" percent="0" rank="0" text="" dxfId="2">
      <formula>AND(M166&gt;=5,M166&lt;10)</formula>
    </cfRule>
    <cfRule type="expression" priority="666" aboveAverage="0" equalAverage="0" bottom="0" percent="0" rank="0" text="" dxfId="3">
      <formula>AND(M166&gt;=1,M166&lt;5)</formula>
    </cfRule>
  </conditionalFormatting>
  <conditionalFormatting sqref="M167">
    <cfRule type="expression" priority="667" aboveAverage="0" equalAverage="0" bottom="0" percent="0" rank="0" text="" dxfId="0">
      <formula>M167&gt;=20</formula>
    </cfRule>
    <cfRule type="expression" priority="668" aboveAverage="0" equalAverage="0" bottom="0" percent="0" rank="0" text="" dxfId="1">
      <formula>AND(M167&gt;=10,M167&lt;20)</formula>
    </cfRule>
    <cfRule type="expression" priority="669" aboveAverage="0" equalAverage="0" bottom="0" percent="0" rank="0" text="" dxfId="2">
      <formula>AND(M167&gt;=5,M167&lt;10)</formula>
    </cfRule>
    <cfRule type="expression" priority="670" aboveAverage="0" equalAverage="0" bottom="0" percent="0" rank="0" text="" dxfId="3">
      <formula>AND(M167&gt;=1,M167&lt;5)</formula>
    </cfRule>
  </conditionalFormatting>
  <conditionalFormatting sqref="M168">
    <cfRule type="expression" priority="671" aboveAverage="0" equalAverage="0" bottom="0" percent="0" rank="0" text="" dxfId="0">
      <formula>M168&gt;=20</formula>
    </cfRule>
    <cfRule type="expression" priority="672" aboveAverage="0" equalAverage="0" bottom="0" percent="0" rank="0" text="" dxfId="1">
      <formula>AND(M168&gt;=10,M168&lt;20)</formula>
    </cfRule>
    <cfRule type="expression" priority="673" aboveAverage="0" equalAverage="0" bottom="0" percent="0" rank="0" text="" dxfId="2">
      <formula>AND(M168&gt;=5,M168&lt;10)</formula>
    </cfRule>
    <cfRule type="expression" priority="674" aboveAverage="0" equalAverage="0" bottom="0" percent="0" rank="0" text="" dxfId="3">
      <formula>AND(M168&gt;=1,M168&lt;5)</formula>
    </cfRule>
  </conditionalFormatting>
  <conditionalFormatting sqref="M169">
    <cfRule type="expression" priority="675" aboveAverage="0" equalAverage="0" bottom="0" percent="0" rank="0" text="" dxfId="0">
      <formula>M169&gt;=20</formula>
    </cfRule>
    <cfRule type="expression" priority="676" aboveAverage="0" equalAverage="0" bottom="0" percent="0" rank="0" text="" dxfId="1">
      <formula>AND(M169&gt;=10,M169&lt;20)</formula>
    </cfRule>
    <cfRule type="expression" priority="677" aboveAverage="0" equalAverage="0" bottom="0" percent="0" rank="0" text="" dxfId="2">
      <formula>AND(M169&gt;=5,M169&lt;10)</formula>
    </cfRule>
    <cfRule type="expression" priority="678" aboveAverage="0" equalAverage="0" bottom="0" percent="0" rank="0" text="" dxfId="3">
      <formula>AND(M169&gt;=1,M169&lt;5)</formula>
    </cfRule>
  </conditionalFormatting>
  <conditionalFormatting sqref="M170">
    <cfRule type="expression" priority="679" aboveAverage="0" equalAverage="0" bottom="0" percent="0" rank="0" text="" dxfId="0">
      <formula>M170&gt;=20</formula>
    </cfRule>
    <cfRule type="expression" priority="680" aboveAverage="0" equalAverage="0" bottom="0" percent="0" rank="0" text="" dxfId="1">
      <formula>AND(M170&gt;=10,M170&lt;20)</formula>
    </cfRule>
    <cfRule type="expression" priority="681" aboveAverage="0" equalAverage="0" bottom="0" percent="0" rank="0" text="" dxfId="2">
      <formula>AND(M170&gt;=5,M170&lt;10)</formula>
    </cfRule>
    <cfRule type="expression" priority="682" aboveAverage="0" equalAverage="0" bottom="0" percent="0" rank="0" text="" dxfId="3">
      <formula>AND(M170&gt;=1,M170&lt;5)</formula>
    </cfRule>
  </conditionalFormatting>
  <conditionalFormatting sqref="M171">
    <cfRule type="expression" priority="683" aboveAverage="0" equalAverage="0" bottom="0" percent="0" rank="0" text="" dxfId="0">
      <formula>M171&gt;=20</formula>
    </cfRule>
    <cfRule type="expression" priority="684" aboveAverage="0" equalAverage="0" bottom="0" percent="0" rank="0" text="" dxfId="1">
      <formula>AND(M171&gt;=10,M171&lt;20)</formula>
    </cfRule>
    <cfRule type="expression" priority="685" aboveAverage="0" equalAverage="0" bottom="0" percent="0" rank="0" text="" dxfId="2">
      <formula>AND(M171&gt;=5,M171&lt;10)</formula>
    </cfRule>
    <cfRule type="expression" priority="686" aboveAverage="0" equalAverage="0" bottom="0" percent="0" rank="0" text="" dxfId="3">
      <formula>AND(M171&gt;=1,M171&lt;5)</formula>
    </cfRule>
  </conditionalFormatting>
  <conditionalFormatting sqref="M172">
    <cfRule type="expression" priority="687" aboveAverage="0" equalAverage="0" bottom="0" percent="0" rank="0" text="" dxfId="0">
      <formula>M172&gt;=20</formula>
    </cfRule>
    <cfRule type="expression" priority="688" aboveAverage="0" equalAverage="0" bottom="0" percent="0" rank="0" text="" dxfId="1">
      <formula>AND(M172&gt;=10,M172&lt;20)</formula>
    </cfRule>
    <cfRule type="expression" priority="689" aboveAverage="0" equalAverage="0" bottom="0" percent="0" rank="0" text="" dxfId="2">
      <formula>AND(M172&gt;=5,M172&lt;10)</formula>
    </cfRule>
    <cfRule type="expression" priority="690" aboveAverage="0" equalAverage="0" bottom="0" percent="0" rank="0" text="" dxfId="3">
      <formula>AND(M172&gt;=1,M172&lt;5)</formula>
    </cfRule>
  </conditionalFormatting>
  <conditionalFormatting sqref="M173">
    <cfRule type="expression" priority="691" aboveAverage="0" equalAverage="0" bottom="0" percent="0" rank="0" text="" dxfId="0">
      <formula>M173&gt;=20</formula>
    </cfRule>
    <cfRule type="expression" priority="692" aboveAverage="0" equalAverage="0" bottom="0" percent="0" rank="0" text="" dxfId="1">
      <formula>AND(M173&gt;=10,M173&lt;20)</formula>
    </cfRule>
    <cfRule type="expression" priority="693" aboveAverage="0" equalAverage="0" bottom="0" percent="0" rank="0" text="" dxfId="2">
      <formula>AND(M173&gt;=5,M173&lt;10)</formula>
    </cfRule>
    <cfRule type="expression" priority="694" aboveAverage="0" equalAverage="0" bottom="0" percent="0" rank="0" text="" dxfId="3">
      <formula>AND(M173&gt;=1,M173&lt;5)</formula>
    </cfRule>
  </conditionalFormatting>
  <conditionalFormatting sqref="M174">
    <cfRule type="expression" priority="695" aboveAverage="0" equalAverage="0" bottom="0" percent="0" rank="0" text="" dxfId="0">
      <formula>M174&gt;=20</formula>
    </cfRule>
    <cfRule type="expression" priority="696" aboveAverage="0" equalAverage="0" bottom="0" percent="0" rank="0" text="" dxfId="1">
      <formula>AND(M174&gt;=10,M174&lt;20)</formula>
    </cfRule>
    <cfRule type="expression" priority="697" aboveAverage="0" equalAverage="0" bottom="0" percent="0" rank="0" text="" dxfId="2">
      <formula>AND(M174&gt;=5,M174&lt;10)</formula>
    </cfRule>
    <cfRule type="expression" priority="698" aboveAverage="0" equalAverage="0" bottom="0" percent="0" rank="0" text="" dxfId="3">
      <formula>AND(M174&gt;=1,M174&lt;5)</formula>
    </cfRule>
  </conditionalFormatting>
  <conditionalFormatting sqref="M175">
    <cfRule type="expression" priority="699" aboveAverage="0" equalAverage="0" bottom="0" percent="0" rank="0" text="" dxfId="0">
      <formula>M175&gt;=20</formula>
    </cfRule>
    <cfRule type="expression" priority="700" aboveAverage="0" equalAverage="0" bottom="0" percent="0" rank="0" text="" dxfId="1">
      <formula>AND(M175&gt;=10,M175&lt;20)</formula>
    </cfRule>
    <cfRule type="expression" priority="701" aboveAverage="0" equalAverage="0" bottom="0" percent="0" rank="0" text="" dxfId="2">
      <formula>AND(M175&gt;=5,M175&lt;10)</formula>
    </cfRule>
    <cfRule type="expression" priority="702" aboveAverage="0" equalAverage="0" bottom="0" percent="0" rank="0" text="" dxfId="3">
      <formula>AND(M175&gt;=1,M175&lt;5)</formula>
    </cfRule>
  </conditionalFormatting>
  <conditionalFormatting sqref="M176">
    <cfRule type="expression" priority="703" aboveAverage="0" equalAverage="0" bottom="0" percent="0" rank="0" text="" dxfId="0">
      <formula>M176&gt;=20</formula>
    </cfRule>
    <cfRule type="expression" priority="704" aboveAverage="0" equalAverage="0" bottom="0" percent="0" rank="0" text="" dxfId="1">
      <formula>AND(M176&gt;=10,M176&lt;20)</formula>
    </cfRule>
    <cfRule type="expression" priority="705" aboveAverage="0" equalAverage="0" bottom="0" percent="0" rank="0" text="" dxfId="2">
      <formula>AND(M176&gt;=5,M176&lt;10)</formula>
    </cfRule>
    <cfRule type="expression" priority="706" aboveAverage="0" equalAverage="0" bottom="0" percent="0" rank="0" text="" dxfId="3">
      <formula>AND(M176&gt;=1,M176&lt;5)</formula>
    </cfRule>
  </conditionalFormatting>
  <conditionalFormatting sqref="M177">
    <cfRule type="expression" priority="707" aboveAverage="0" equalAverage="0" bottom="0" percent="0" rank="0" text="" dxfId="0">
      <formula>M177&gt;=20</formula>
    </cfRule>
    <cfRule type="expression" priority="708" aboveAverage="0" equalAverage="0" bottom="0" percent="0" rank="0" text="" dxfId="1">
      <formula>AND(M177&gt;=10,M177&lt;20)</formula>
    </cfRule>
    <cfRule type="expression" priority="709" aboveAverage="0" equalAverage="0" bottom="0" percent="0" rank="0" text="" dxfId="2">
      <formula>AND(M177&gt;=5,M177&lt;10)</formula>
    </cfRule>
    <cfRule type="expression" priority="710" aboveAverage="0" equalAverage="0" bottom="0" percent="0" rank="0" text="" dxfId="3">
      <formula>AND(M177&gt;=1,M177&lt;5)</formula>
    </cfRule>
  </conditionalFormatting>
  <conditionalFormatting sqref="M178">
    <cfRule type="expression" priority="711" aboveAverage="0" equalAverage="0" bottom="0" percent="0" rank="0" text="" dxfId="0">
      <formula>M178&gt;=20</formula>
    </cfRule>
    <cfRule type="expression" priority="712" aboveAverage="0" equalAverage="0" bottom="0" percent="0" rank="0" text="" dxfId="1">
      <formula>AND(M178&gt;=10,M178&lt;20)</formula>
    </cfRule>
    <cfRule type="expression" priority="713" aboveAverage="0" equalAverage="0" bottom="0" percent="0" rank="0" text="" dxfId="2">
      <formula>AND(M178&gt;=5,M178&lt;10)</formula>
    </cfRule>
    <cfRule type="expression" priority="714" aboveAverage="0" equalAverage="0" bottom="0" percent="0" rank="0" text="" dxfId="3">
      <formula>AND(M178&gt;=1,M178&lt;5)</formula>
    </cfRule>
  </conditionalFormatting>
  <conditionalFormatting sqref="M179">
    <cfRule type="expression" priority="715" aboveAverage="0" equalAverage="0" bottom="0" percent="0" rank="0" text="" dxfId="0">
      <formula>M179&gt;=20</formula>
    </cfRule>
    <cfRule type="expression" priority="716" aboveAverage="0" equalAverage="0" bottom="0" percent="0" rank="0" text="" dxfId="1">
      <formula>AND(M179&gt;=10,M179&lt;20)</formula>
    </cfRule>
    <cfRule type="expression" priority="717" aboveAverage="0" equalAverage="0" bottom="0" percent="0" rank="0" text="" dxfId="2">
      <formula>AND(M179&gt;=5,M179&lt;10)</formula>
    </cfRule>
    <cfRule type="expression" priority="718" aboveAverage="0" equalAverage="0" bottom="0" percent="0" rank="0" text="" dxfId="3">
      <formula>AND(M179&gt;=1,M179&lt;5)</formula>
    </cfRule>
  </conditionalFormatting>
  <conditionalFormatting sqref="M180">
    <cfRule type="expression" priority="719" aboveAverage="0" equalAverage="0" bottom="0" percent="0" rank="0" text="" dxfId="0">
      <formula>M180&gt;=20</formula>
    </cfRule>
    <cfRule type="expression" priority="720" aboveAverage="0" equalAverage="0" bottom="0" percent="0" rank="0" text="" dxfId="1">
      <formula>AND(M180&gt;=10,M180&lt;20)</formula>
    </cfRule>
    <cfRule type="expression" priority="721" aboveAverage="0" equalAverage="0" bottom="0" percent="0" rank="0" text="" dxfId="2">
      <formula>AND(M180&gt;=5,M180&lt;10)</formula>
    </cfRule>
    <cfRule type="expression" priority="722" aboveAverage="0" equalAverage="0" bottom="0" percent="0" rank="0" text="" dxfId="3">
      <formula>AND(M180&gt;=1,M180&lt;5)</formula>
    </cfRule>
  </conditionalFormatting>
  <conditionalFormatting sqref="M181">
    <cfRule type="expression" priority="723" aboveAverage="0" equalAverage="0" bottom="0" percent="0" rank="0" text="" dxfId="0">
      <formula>M181&gt;=20</formula>
    </cfRule>
    <cfRule type="expression" priority="724" aboveAverage="0" equalAverage="0" bottom="0" percent="0" rank="0" text="" dxfId="1">
      <formula>AND(M181&gt;=10,M181&lt;20)</formula>
    </cfRule>
    <cfRule type="expression" priority="725" aboveAverage="0" equalAverage="0" bottom="0" percent="0" rank="0" text="" dxfId="2">
      <formula>AND(M181&gt;=5,M181&lt;10)</formula>
    </cfRule>
    <cfRule type="expression" priority="726" aboveAverage="0" equalAverage="0" bottom="0" percent="0" rank="0" text="" dxfId="3">
      <formula>AND(M181&gt;=1,M181&lt;5)</formula>
    </cfRule>
  </conditionalFormatting>
  <conditionalFormatting sqref="M182">
    <cfRule type="expression" priority="727" aboveAverage="0" equalAverage="0" bottom="0" percent="0" rank="0" text="" dxfId="0">
      <formula>M182&gt;=20</formula>
    </cfRule>
    <cfRule type="expression" priority="728" aboveAverage="0" equalAverage="0" bottom="0" percent="0" rank="0" text="" dxfId="1">
      <formula>AND(M182&gt;=10,M182&lt;20)</formula>
    </cfRule>
    <cfRule type="expression" priority="729" aboveAverage="0" equalAverage="0" bottom="0" percent="0" rank="0" text="" dxfId="2">
      <formula>AND(M182&gt;=5,M182&lt;10)</formula>
    </cfRule>
    <cfRule type="expression" priority="730" aboveAverage="0" equalAverage="0" bottom="0" percent="0" rank="0" text="" dxfId="3">
      <formula>AND(M182&gt;=1,M182&lt;5)</formula>
    </cfRule>
  </conditionalFormatting>
  <conditionalFormatting sqref="M183">
    <cfRule type="expression" priority="731" aboveAverage="0" equalAverage="0" bottom="0" percent="0" rank="0" text="" dxfId="0">
      <formula>M183&gt;=20</formula>
    </cfRule>
    <cfRule type="expression" priority="732" aboveAverage="0" equalAverage="0" bottom="0" percent="0" rank="0" text="" dxfId="1">
      <formula>AND(M183&gt;=10,M183&lt;20)</formula>
    </cfRule>
    <cfRule type="expression" priority="733" aboveAverage="0" equalAverage="0" bottom="0" percent="0" rank="0" text="" dxfId="2">
      <formula>AND(M183&gt;=5,M183&lt;10)</formula>
    </cfRule>
    <cfRule type="expression" priority="734" aboveAverage="0" equalAverage="0" bottom="0" percent="0" rank="0" text="" dxfId="3">
      <formula>AND(M183&gt;=1,M183&lt;5)</formula>
    </cfRule>
  </conditionalFormatting>
  <conditionalFormatting sqref="M184">
    <cfRule type="expression" priority="735" aboveAverage="0" equalAverage="0" bottom="0" percent="0" rank="0" text="" dxfId="0">
      <formula>M184&gt;=20</formula>
    </cfRule>
    <cfRule type="expression" priority="736" aboveAverage="0" equalAverage="0" bottom="0" percent="0" rank="0" text="" dxfId="1">
      <formula>AND(M184&gt;=10,M184&lt;20)</formula>
    </cfRule>
    <cfRule type="expression" priority="737" aboveAverage="0" equalAverage="0" bottom="0" percent="0" rank="0" text="" dxfId="2">
      <formula>AND(M184&gt;=5,M184&lt;10)</formula>
    </cfRule>
    <cfRule type="expression" priority="738" aboveAverage="0" equalAverage="0" bottom="0" percent="0" rank="0" text="" dxfId="3">
      <formula>AND(M184&gt;=1,M184&lt;5)</formula>
    </cfRule>
  </conditionalFormatting>
  <conditionalFormatting sqref="M185">
    <cfRule type="expression" priority="739" aboveAverage="0" equalAverage="0" bottom="0" percent="0" rank="0" text="" dxfId="0">
      <formula>M185&gt;=20</formula>
    </cfRule>
    <cfRule type="expression" priority="740" aboveAverage="0" equalAverage="0" bottom="0" percent="0" rank="0" text="" dxfId="1">
      <formula>AND(M185&gt;=10,M185&lt;20)</formula>
    </cfRule>
    <cfRule type="expression" priority="741" aboveAverage="0" equalAverage="0" bottom="0" percent="0" rank="0" text="" dxfId="2">
      <formula>AND(M185&gt;=5,M185&lt;10)</formula>
    </cfRule>
    <cfRule type="expression" priority="742" aboveAverage="0" equalAverage="0" bottom="0" percent="0" rank="0" text="" dxfId="3">
      <formula>AND(M185&gt;=1,M185&lt;5)</formula>
    </cfRule>
  </conditionalFormatting>
  <conditionalFormatting sqref="M186">
    <cfRule type="expression" priority="743" aboveAverage="0" equalAverage="0" bottom="0" percent="0" rank="0" text="" dxfId="0">
      <formula>M186&gt;=20</formula>
    </cfRule>
    <cfRule type="expression" priority="744" aboveAverage="0" equalAverage="0" bottom="0" percent="0" rank="0" text="" dxfId="1">
      <formula>AND(M186&gt;=10,M186&lt;20)</formula>
    </cfRule>
    <cfRule type="expression" priority="745" aboveAverage="0" equalAverage="0" bottom="0" percent="0" rank="0" text="" dxfId="2">
      <formula>AND(M186&gt;=5,M186&lt;10)</formula>
    </cfRule>
    <cfRule type="expression" priority="746" aboveAverage="0" equalAverage="0" bottom="0" percent="0" rank="0" text="" dxfId="3">
      <formula>AND(M186&gt;=1,M186&lt;5)</formula>
    </cfRule>
  </conditionalFormatting>
  <conditionalFormatting sqref="M187">
    <cfRule type="expression" priority="747" aboveAverage="0" equalAverage="0" bottom="0" percent="0" rank="0" text="" dxfId="0">
      <formula>M187&gt;=20</formula>
    </cfRule>
    <cfRule type="expression" priority="748" aboveAverage="0" equalAverage="0" bottom="0" percent="0" rank="0" text="" dxfId="1">
      <formula>AND(M187&gt;=10,M187&lt;20)</formula>
    </cfRule>
    <cfRule type="expression" priority="749" aboveAverage="0" equalAverage="0" bottom="0" percent="0" rank="0" text="" dxfId="2">
      <formula>AND(M187&gt;=5,M187&lt;10)</formula>
    </cfRule>
    <cfRule type="expression" priority="750" aboveAverage="0" equalAverage="0" bottom="0" percent="0" rank="0" text="" dxfId="3">
      <formula>AND(M187&gt;=1,M187&lt;5)</formula>
    </cfRule>
  </conditionalFormatting>
  <conditionalFormatting sqref="M188">
    <cfRule type="expression" priority="751" aboveAverage="0" equalAverage="0" bottom="0" percent="0" rank="0" text="" dxfId="0">
      <formula>M188&gt;=20</formula>
    </cfRule>
    <cfRule type="expression" priority="752" aboveAverage="0" equalAverage="0" bottom="0" percent="0" rank="0" text="" dxfId="1">
      <formula>AND(M188&gt;=10,M188&lt;20)</formula>
    </cfRule>
    <cfRule type="expression" priority="753" aboveAverage="0" equalAverage="0" bottom="0" percent="0" rank="0" text="" dxfId="2">
      <formula>AND(M188&gt;=5,M188&lt;10)</formula>
    </cfRule>
    <cfRule type="expression" priority="754" aboveAverage="0" equalAverage="0" bottom="0" percent="0" rank="0" text="" dxfId="3">
      <formula>AND(M188&gt;=1,M188&lt;5)</formula>
    </cfRule>
  </conditionalFormatting>
  <conditionalFormatting sqref="M189">
    <cfRule type="expression" priority="755" aboveAverage="0" equalAverage="0" bottom="0" percent="0" rank="0" text="" dxfId="0">
      <formula>M189&gt;=20</formula>
    </cfRule>
    <cfRule type="expression" priority="756" aboveAverage="0" equalAverage="0" bottom="0" percent="0" rank="0" text="" dxfId="1">
      <formula>AND(M189&gt;=10,M189&lt;20)</formula>
    </cfRule>
    <cfRule type="expression" priority="757" aboveAverage="0" equalAverage="0" bottom="0" percent="0" rank="0" text="" dxfId="2">
      <formula>AND(M189&gt;=5,M189&lt;10)</formula>
    </cfRule>
    <cfRule type="expression" priority="758" aboveAverage="0" equalAverage="0" bottom="0" percent="0" rank="0" text="" dxfId="3">
      <formula>AND(M189&gt;=1,M189&lt;5)</formula>
    </cfRule>
  </conditionalFormatting>
  <conditionalFormatting sqref="M190">
    <cfRule type="expression" priority="759" aboveAverage="0" equalAverage="0" bottom="0" percent="0" rank="0" text="" dxfId="0">
      <formula>M190&gt;=20</formula>
    </cfRule>
    <cfRule type="expression" priority="760" aboveAverage="0" equalAverage="0" bottom="0" percent="0" rank="0" text="" dxfId="1">
      <formula>AND(M190&gt;=10,M190&lt;20)</formula>
    </cfRule>
    <cfRule type="expression" priority="761" aboveAverage="0" equalAverage="0" bottom="0" percent="0" rank="0" text="" dxfId="2">
      <formula>AND(M190&gt;=5,M190&lt;10)</formula>
    </cfRule>
    <cfRule type="expression" priority="762" aboveAverage="0" equalAverage="0" bottom="0" percent="0" rank="0" text="" dxfId="3">
      <formula>AND(M190&gt;=1,M190&lt;5)</formula>
    </cfRule>
  </conditionalFormatting>
  <conditionalFormatting sqref="M191">
    <cfRule type="expression" priority="763" aboveAverage="0" equalAverage="0" bottom="0" percent="0" rank="0" text="" dxfId="0">
      <formula>M191&gt;=20</formula>
    </cfRule>
    <cfRule type="expression" priority="764" aboveAverage="0" equalAverage="0" bottom="0" percent="0" rank="0" text="" dxfId="1">
      <formula>AND(M191&gt;=10,M191&lt;20)</formula>
    </cfRule>
    <cfRule type="expression" priority="765" aboveAverage="0" equalAverage="0" bottom="0" percent="0" rank="0" text="" dxfId="2">
      <formula>AND(M191&gt;=5,M191&lt;10)</formula>
    </cfRule>
    <cfRule type="expression" priority="766" aboveAverage="0" equalAverage="0" bottom="0" percent="0" rank="0" text="" dxfId="3">
      <formula>AND(M191&gt;=1,M191&lt;5)</formula>
    </cfRule>
  </conditionalFormatting>
  <conditionalFormatting sqref="M192">
    <cfRule type="expression" priority="767" aboveAverage="0" equalAverage="0" bottom="0" percent="0" rank="0" text="" dxfId="0">
      <formula>M192&gt;=20</formula>
    </cfRule>
    <cfRule type="expression" priority="768" aboveAverage="0" equalAverage="0" bottom="0" percent="0" rank="0" text="" dxfId="1">
      <formula>AND(M192&gt;=10,M192&lt;20)</formula>
    </cfRule>
    <cfRule type="expression" priority="769" aboveAverage="0" equalAverage="0" bottom="0" percent="0" rank="0" text="" dxfId="2">
      <formula>AND(M192&gt;=5,M192&lt;10)</formula>
    </cfRule>
    <cfRule type="expression" priority="770" aboveAverage="0" equalAverage="0" bottom="0" percent="0" rank="0" text="" dxfId="3">
      <formula>AND(M192&gt;=1,M192&lt;5)</formula>
    </cfRule>
  </conditionalFormatting>
  <conditionalFormatting sqref="M193">
    <cfRule type="expression" priority="771" aboveAverage="0" equalAverage="0" bottom="0" percent="0" rank="0" text="" dxfId="0">
      <formula>M193&gt;=20</formula>
    </cfRule>
    <cfRule type="expression" priority="772" aboveAverage="0" equalAverage="0" bottom="0" percent="0" rank="0" text="" dxfId="1">
      <formula>AND(M193&gt;=10,M193&lt;20)</formula>
    </cfRule>
    <cfRule type="expression" priority="773" aboveAverage="0" equalAverage="0" bottom="0" percent="0" rank="0" text="" dxfId="2">
      <formula>AND(M193&gt;=5,M193&lt;10)</formula>
    </cfRule>
    <cfRule type="expression" priority="774" aboveAverage="0" equalAverage="0" bottom="0" percent="0" rank="0" text="" dxfId="3">
      <formula>AND(M193&gt;=1,M193&lt;5)</formula>
    </cfRule>
  </conditionalFormatting>
  <conditionalFormatting sqref="M194">
    <cfRule type="expression" priority="775" aboveAverage="0" equalAverage="0" bottom="0" percent="0" rank="0" text="" dxfId="0">
      <formula>M194&gt;=20</formula>
    </cfRule>
    <cfRule type="expression" priority="776" aboveAverage="0" equalAverage="0" bottom="0" percent="0" rank="0" text="" dxfId="1">
      <formula>AND(M194&gt;=10,M194&lt;20)</formula>
    </cfRule>
    <cfRule type="expression" priority="777" aboveAverage="0" equalAverage="0" bottom="0" percent="0" rank="0" text="" dxfId="2">
      <formula>AND(M194&gt;=5,M194&lt;10)</formula>
    </cfRule>
    <cfRule type="expression" priority="778" aboveAverage="0" equalAverage="0" bottom="0" percent="0" rank="0" text="" dxfId="3">
      <formula>AND(M194&gt;=1,M194&lt;5)</formula>
    </cfRule>
  </conditionalFormatting>
  <conditionalFormatting sqref="M195">
    <cfRule type="expression" priority="779" aboveAverage="0" equalAverage="0" bottom="0" percent="0" rank="0" text="" dxfId="0">
      <formula>M195&gt;=20</formula>
    </cfRule>
    <cfRule type="expression" priority="780" aboveAverage="0" equalAverage="0" bottom="0" percent="0" rank="0" text="" dxfId="1">
      <formula>AND(M195&gt;=10,M195&lt;20)</formula>
    </cfRule>
    <cfRule type="expression" priority="781" aboveAverage="0" equalAverage="0" bottom="0" percent="0" rank="0" text="" dxfId="2">
      <formula>AND(M195&gt;=5,M195&lt;10)</formula>
    </cfRule>
    <cfRule type="expression" priority="782" aboveAverage="0" equalAverage="0" bottom="0" percent="0" rank="0" text="" dxfId="3">
      <formula>AND(M195&gt;=1,M195&lt;5)</formula>
    </cfRule>
  </conditionalFormatting>
  <conditionalFormatting sqref="M196">
    <cfRule type="expression" priority="783" aboveAverage="0" equalAverage="0" bottom="0" percent="0" rank="0" text="" dxfId="0">
      <formula>M196&gt;=20</formula>
    </cfRule>
    <cfRule type="expression" priority="784" aboveAverage="0" equalAverage="0" bottom="0" percent="0" rank="0" text="" dxfId="1">
      <formula>AND(M196&gt;=10,M196&lt;20)</formula>
    </cfRule>
    <cfRule type="expression" priority="785" aboveAverage="0" equalAverage="0" bottom="0" percent="0" rank="0" text="" dxfId="2">
      <formula>AND(M196&gt;=5,M196&lt;10)</formula>
    </cfRule>
    <cfRule type="expression" priority="786" aboveAverage="0" equalAverage="0" bottom="0" percent="0" rank="0" text="" dxfId="3">
      <formula>AND(M196&gt;=1,M196&lt;5)</formula>
    </cfRule>
  </conditionalFormatting>
  <conditionalFormatting sqref="M197">
    <cfRule type="expression" priority="787" aboveAverage="0" equalAverage="0" bottom="0" percent="0" rank="0" text="" dxfId="0">
      <formula>M197&gt;=20</formula>
    </cfRule>
    <cfRule type="expression" priority="788" aboveAverage="0" equalAverage="0" bottom="0" percent="0" rank="0" text="" dxfId="1">
      <formula>AND(M197&gt;=10,M197&lt;20)</formula>
    </cfRule>
    <cfRule type="expression" priority="789" aboveAverage="0" equalAverage="0" bottom="0" percent="0" rank="0" text="" dxfId="2">
      <formula>AND(M197&gt;=5,M197&lt;10)</formula>
    </cfRule>
    <cfRule type="expression" priority="790" aboveAverage="0" equalAverage="0" bottom="0" percent="0" rank="0" text="" dxfId="3">
      <formula>AND(M197&gt;=1,M197&lt;5)</formula>
    </cfRule>
  </conditionalFormatting>
  <conditionalFormatting sqref="M198">
    <cfRule type="expression" priority="791" aboveAverage="0" equalAverage="0" bottom="0" percent="0" rank="0" text="" dxfId="0">
      <formula>M198&gt;=20</formula>
    </cfRule>
    <cfRule type="expression" priority="792" aboveAverage="0" equalAverage="0" bottom="0" percent="0" rank="0" text="" dxfId="1">
      <formula>AND(M198&gt;=10,M198&lt;20)</formula>
    </cfRule>
    <cfRule type="expression" priority="793" aboveAverage="0" equalAverage="0" bottom="0" percent="0" rank="0" text="" dxfId="2">
      <formula>AND(M198&gt;=5,M198&lt;10)</formula>
    </cfRule>
    <cfRule type="expression" priority="794" aboveAverage="0" equalAverage="0" bottom="0" percent="0" rank="0" text="" dxfId="3">
      <formula>AND(M198&gt;=1,M198&lt;5)</formula>
    </cfRule>
  </conditionalFormatting>
  <conditionalFormatting sqref="M199">
    <cfRule type="expression" priority="795" aboveAverage="0" equalAverage="0" bottom="0" percent="0" rank="0" text="" dxfId="0">
      <formula>M199&gt;=20</formula>
    </cfRule>
    <cfRule type="expression" priority="796" aboveAverage="0" equalAverage="0" bottom="0" percent="0" rank="0" text="" dxfId="1">
      <formula>AND(M199&gt;=10,M199&lt;20)</formula>
    </cfRule>
    <cfRule type="expression" priority="797" aboveAverage="0" equalAverage="0" bottom="0" percent="0" rank="0" text="" dxfId="2">
      <formula>AND(M199&gt;=5,M199&lt;10)</formula>
    </cfRule>
    <cfRule type="expression" priority="798" aboveAverage="0" equalAverage="0" bottom="0" percent="0" rank="0" text="" dxfId="3">
      <formula>AND(M199&gt;=1,M199&lt;5)</formula>
    </cfRule>
  </conditionalFormatting>
  <conditionalFormatting sqref="M200">
    <cfRule type="expression" priority="799" aboveAverage="0" equalAverage="0" bottom="0" percent="0" rank="0" text="" dxfId="0">
      <formula>M200&gt;=20</formula>
    </cfRule>
    <cfRule type="expression" priority="800" aboveAverage="0" equalAverage="0" bottom="0" percent="0" rank="0" text="" dxfId="1">
      <formula>AND(M200&gt;=10,M200&lt;20)</formula>
    </cfRule>
    <cfRule type="expression" priority="801" aboveAverage="0" equalAverage="0" bottom="0" percent="0" rank="0" text="" dxfId="2">
      <formula>AND(M200&gt;=5,M200&lt;10)</formula>
    </cfRule>
    <cfRule type="expression" priority="802" aboveAverage="0" equalAverage="0" bottom="0" percent="0" rank="0" text="" dxfId="3">
      <formula>AND(M200&gt;=1,M200&lt;5)</formula>
    </cfRule>
  </conditionalFormatting>
  <conditionalFormatting sqref="M201">
    <cfRule type="expression" priority="803" aboveAverage="0" equalAverage="0" bottom="0" percent="0" rank="0" text="" dxfId="0">
      <formula>M201&gt;=20</formula>
    </cfRule>
    <cfRule type="expression" priority="804" aboveAverage="0" equalAverage="0" bottom="0" percent="0" rank="0" text="" dxfId="1">
      <formula>AND(M201&gt;=10,M201&lt;20)</formula>
    </cfRule>
    <cfRule type="expression" priority="805" aboveAverage="0" equalAverage="0" bottom="0" percent="0" rank="0" text="" dxfId="2">
      <formula>AND(M201&gt;=5,M201&lt;10)</formula>
    </cfRule>
    <cfRule type="expression" priority="806" aboveAverage="0" equalAverage="0" bottom="0" percent="0" rank="0" text="" dxfId="3">
      <formula>AND(M201&gt;=1,M201&lt;5)</formula>
    </cfRule>
  </conditionalFormatting>
  <conditionalFormatting sqref="M202">
    <cfRule type="expression" priority="807" aboveAverage="0" equalAverage="0" bottom="0" percent="0" rank="0" text="" dxfId="0">
      <formula>M202&gt;=20</formula>
    </cfRule>
    <cfRule type="expression" priority="808" aboveAverage="0" equalAverage="0" bottom="0" percent="0" rank="0" text="" dxfId="1">
      <formula>AND(M202&gt;=10,M202&lt;20)</formula>
    </cfRule>
    <cfRule type="expression" priority="809" aboveAverage="0" equalAverage="0" bottom="0" percent="0" rank="0" text="" dxfId="2">
      <formula>AND(M202&gt;=5,M202&lt;10)</formula>
    </cfRule>
    <cfRule type="expression" priority="810" aboveAverage="0" equalAverage="0" bottom="0" percent="0" rank="0" text="" dxfId="3">
      <formula>AND(M202&gt;=1,M202&lt;5)</formula>
    </cfRule>
  </conditionalFormatting>
  <conditionalFormatting sqref="M203">
    <cfRule type="expression" priority="811" aboveAverage="0" equalAverage="0" bottom="0" percent="0" rank="0" text="" dxfId="0">
      <formula>M203&gt;=20</formula>
    </cfRule>
    <cfRule type="expression" priority="812" aboveAverage="0" equalAverage="0" bottom="0" percent="0" rank="0" text="" dxfId="1">
      <formula>AND(M203&gt;=10,M203&lt;20)</formula>
    </cfRule>
    <cfRule type="expression" priority="813" aboveAverage="0" equalAverage="0" bottom="0" percent="0" rank="0" text="" dxfId="2">
      <formula>AND(M203&gt;=5,M203&lt;10)</formula>
    </cfRule>
    <cfRule type="expression" priority="814" aboveAverage="0" equalAverage="0" bottom="0" percent="0" rank="0" text="" dxfId="3">
      <formula>AND(M203&gt;=1,M203&lt;5)</formula>
    </cfRule>
  </conditionalFormatting>
  <conditionalFormatting sqref="M204">
    <cfRule type="expression" priority="815" aboveAverage="0" equalAverage="0" bottom="0" percent="0" rank="0" text="" dxfId="0">
      <formula>M204&gt;=20</formula>
    </cfRule>
    <cfRule type="expression" priority="816" aboveAverage="0" equalAverage="0" bottom="0" percent="0" rank="0" text="" dxfId="1">
      <formula>AND(M204&gt;=10,M204&lt;20)</formula>
    </cfRule>
    <cfRule type="expression" priority="817" aboveAverage="0" equalAverage="0" bottom="0" percent="0" rank="0" text="" dxfId="2">
      <formula>AND(M204&gt;=5,M204&lt;10)</formula>
    </cfRule>
    <cfRule type="expression" priority="818" aboveAverage="0" equalAverage="0" bottom="0" percent="0" rank="0" text="" dxfId="3">
      <formula>AND(M204&gt;=1,M204&lt;5)</formula>
    </cfRule>
  </conditionalFormatting>
  <conditionalFormatting sqref="M205">
    <cfRule type="expression" priority="819" aboveAverage="0" equalAverage="0" bottom="0" percent="0" rank="0" text="" dxfId="0">
      <formula>M205&gt;=20</formula>
    </cfRule>
    <cfRule type="expression" priority="820" aboveAverage="0" equalAverage="0" bottom="0" percent="0" rank="0" text="" dxfId="1">
      <formula>AND(M205&gt;=10,M205&lt;20)</formula>
    </cfRule>
    <cfRule type="expression" priority="821" aboveAverage="0" equalAverage="0" bottom="0" percent="0" rank="0" text="" dxfId="2">
      <formula>AND(M205&gt;=5,M205&lt;10)</formula>
    </cfRule>
    <cfRule type="expression" priority="822" aboveAverage="0" equalAverage="0" bottom="0" percent="0" rank="0" text="" dxfId="3">
      <formula>AND(M205&gt;=1,M205&lt;5)</formula>
    </cfRule>
  </conditionalFormatting>
  <conditionalFormatting sqref="M206">
    <cfRule type="expression" priority="823" aboveAverage="0" equalAverage="0" bottom="0" percent="0" rank="0" text="" dxfId="0">
      <formula>M206&gt;=20</formula>
    </cfRule>
    <cfRule type="expression" priority="824" aboveAverage="0" equalAverage="0" bottom="0" percent="0" rank="0" text="" dxfId="1">
      <formula>AND(M206&gt;=10,M206&lt;20)</formula>
    </cfRule>
    <cfRule type="expression" priority="825" aboveAverage="0" equalAverage="0" bottom="0" percent="0" rank="0" text="" dxfId="2">
      <formula>AND(M206&gt;=5,M206&lt;10)</formula>
    </cfRule>
    <cfRule type="expression" priority="826" aboveAverage="0" equalAverage="0" bottom="0" percent="0" rank="0" text="" dxfId="3">
      <formula>AND(M206&gt;=1,M206&lt;5)</formula>
    </cfRule>
  </conditionalFormatting>
  <conditionalFormatting sqref="M207">
    <cfRule type="expression" priority="827" aboveAverage="0" equalAverage="0" bottom="0" percent="0" rank="0" text="" dxfId="0">
      <formula>M207&gt;=20</formula>
    </cfRule>
    <cfRule type="expression" priority="828" aboveAverage="0" equalAverage="0" bottom="0" percent="0" rank="0" text="" dxfId="1">
      <formula>AND(M207&gt;=10,M207&lt;20)</formula>
    </cfRule>
    <cfRule type="expression" priority="829" aboveAverage="0" equalAverage="0" bottom="0" percent="0" rank="0" text="" dxfId="2">
      <formula>AND(M207&gt;=5,M207&lt;10)</formula>
    </cfRule>
    <cfRule type="expression" priority="830" aboveAverage="0" equalAverage="0" bottom="0" percent="0" rank="0" text="" dxfId="3">
      <formula>AND(M207&gt;=1,M207&lt;5)</formula>
    </cfRule>
  </conditionalFormatting>
  <conditionalFormatting sqref="M208">
    <cfRule type="expression" priority="831" aboveAverage="0" equalAverage="0" bottom="0" percent="0" rank="0" text="" dxfId="0">
      <formula>M208&gt;=20</formula>
    </cfRule>
    <cfRule type="expression" priority="832" aboveAverage="0" equalAverage="0" bottom="0" percent="0" rank="0" text="" dxfId="1">
      <formula>AND(M208&gt;=10,M208&lt;20)</formula>
    </cfRule>
    <cfRule type="expression" priority="833" aboveAverage="0" equalAverage="0" bottom="0" percent="0" rank="0" text="" dxfId="2">
      <formula>AND(M208&gt;=5,M208&lt;10)</formula>
    </cfRule>
    <cfRule type="expression" priority="834" aboveAverage="0" equalAverage="0" bottom="0" percent="0" rank="0" text="" dxfId="3">
      <formula>AND(M208&gt;=1,M208&lt;5)</formula>
    </cfRule>
  </conditionalFormatting>
  <conditionalFormatting sqref="M209">
    <cfRule type="expression" priority="835" aboveAverage="0" equalAverage="0" bottom="0" percent="0" rank="0" text="" dxfId="0">
      <formula>M209&gt;=20</formula>
    </cfRule>
    <cfRule type="expression" priority="836" aboveAverage="0" equalAverage="0" bottom="0" percent="0" rank="0" text="" dxfId="1">
      <formula>AND(M209&gt;=10,M209&lt;20)</formula>
    </cfRule>
    <cfRule type="expression" priority="837" aboveAverage="0" equalAverage="0" bottom="0" percent="0" rank="0" text="" dxfId="2">
      <formula>AND(M209&gt;=5,M209&lt;10)</formula>
    </cfRule>
    <cfRule type="expression" priority="838" aboveAverage="0" equalAverage="0" bottom="0" percent="0" rank="0" text="" dxfId="3">
      <formula>AND(M209&gt;=1,M209&lt;5)</formula>
    </cfRule>
  </conditionalFormatting>
  <conditionalFormatting sqref="M210">
    <cfRule type="expression" priority="839" aboveAverage="0" equalAverage="0" bottom="0" percent="0" rank="0" text="" dxfId="0">
      <formula>M210&gt;=20</formula>
    </cfRule>
    <cfRule type="expression" priority="840" aboveAverage="0" equalAverage="0" bottom="0" percent="0" rank="0" text="" dxfId="1">
      <formula>AND(M210&gt;=10,M210&lt;20)</formula>
    </cfRule>
    <cfRule type="expression" priority="841" aboveAverage="0" equalAverage="0" bottom="0" percent="0" rank="0" text="" dxfId="2">
      <formula>AND(M210&gt;=5,M210&lt;10)</formula>
    </cfRule>
    <cfRule type="expression" priority="842" aboveAverage="0" equalAverage="0" bottom="0" percent="0" rank="0" text="" dxfId="3">
      <formula>AND(M210&gt;=1,M210&lt;5)</formula>
    </cfRule>
  </conditionalFormatting>
  <conditionalFormatting sqref="M211">
    <cfRule type="expression" priority="843" aboveAverage="0" equalAverage="0" bottom="0" percent="0" rank="0" text="" dxfId="0">
      <formula>M211&gt;=20</formula>
    </cfRule>
    <cfRule type="expression" priority="844" aboveAverage="0" equalAverage="0" bottom="0" percent="0" rank="0" text="" dxfId="1">
      <formula>AND(M211&gt;=10,M211&lt;20)</formula>
    </cfRule>
    <cfRule type="expression" priority="845" aboveAverage="0" equalAverage="0" bottom="0" percent="0" rank="0" text="" dxfId="2">
      <formula>AND(M211&gt;=5,M211&lt;10)</formula>
    </cfRule>
    <cfRule type="expression" priority="846" aboveAverage="0" equalAverage="0" bottom="0" percent="0" rank="0" text="" dxfId="3">
      <formula>AND(M211&gt;=1,M211&lt;5)</formula>
    </cfRule>
  </conditionalFormatting>
  <conditionalFormatting sqref="M212">
    <cfRule type="expression" priority="847" aboveAverage="0" equalAverage="0" bottom="0" percent="0" rank="0" text="" dxfId="0">
      <formula>M212&gt;=20</formula>
    </cfRule>
    <cfRule type="expression" priority="848" aboveAverage="0" equalAverage="0" bottom="0" percent="0" rank="0" text="" dxfId="1">
      <formula>AND(M212&gt;=10,M212&lt;20)</formula>
    </cfRule>
    <cfRule type="expression" priority="849" aboveAverage="0" equalAverage="0" bottom="0" percent="0" rank="0" text="" dxfId="2">
      <formula>AND(M212&gt;=5,M212&lt;10)</formula>
    </cfRule>
    <cfRule type="expression" priority="850" aboveAverage="0" equalAverage="0" bottom="0" percent="0" rank="0" text="" dxfId="3">
      <formula>AND(M212&gt;=1,M212&lt;5)</formula>
    </cfRule>
  </conditionalFormatting>
  <conditionalFormatting sqref="M213">
    <cfRule type="expression" priority="851" aboveAverage="0" equalAverage="0" bottom="0" percent="0" rank="0" text="" dxfId="0">
      <formula>M213&gt;=20</formula>
    </cfRule>
    <cfRule type="expression" priority="852" aboveAverage="0" equalAverage="0" bottom="0" percent="0" rank="0" text="" dxfId="1">
      <formula>AND(M213&gt;=10,M213&lt;20)</formula>
    </cfRule>
    <cfRule type="expression" priority="853" aboveAverage="0" equalAverage="0" bottom="0" percent="0" rank="0" text="" dxfId="2">
      <formula>AND(M213&gt;=5,M213&lt;10)</formula>
    </cfRule>
    <cfRule type="expression" priority="854" aboveAverage="0" equalAverage="0" bottom="0" percent="0" rank="0" text="" dxfId="3">
      <formula>AND(M213&gt;=1,M213&lt;5)</formula>
    </cfRule>
  </conditionalFormatting>
  <conditionalFormatting sqref="M214">
    <cfRule type="expression" priority="855" aboveAverage="0" equalAverage="0" bottom="0" percent="0" rank="0" text="" dxfId="0">
      <formula>M214&gt;=20</formula>
    </cfRule>
    <cfRule type="expression" priority="856" aboveAverage="0" equalAverage="0" bottom="0" percent="0" rank="0" text="" dxfId="1">
      <formula>AND(M214&gt;=10,M214&lt;20)</formula>
    </cfRule>
    <cfRule type="expression" priority="857" aboveAverage="0" equalAverage="0" bottom="0" percent="0" rank="0" text="" dxfId="2">
      <formula>AND(M214&gt;=5,M214&lt;10)</formula>
    </cfRule>
    <cfRule type="expression" priority="858" aboveAverage="0" equalAverage="0" bottom="0" percent="0" rank="0" text="" dxfId="3">
      <formula>AND(M214&gt;=1,M214&lt;5)</formula>
    </cfRule>
  </conditionalFormatting>
  <conditionalFormatting sqref="M215">
    <cfRule type="expression" priority="859" aboveAverage="0" equalAverage="0" bottom="0" percent="0" rank="0" text="" dxfId="0">
      <formula>M215&gt;=20</formula>
    </cfRule>
    <cfRule type="expression" priority="860" aboveAverage="0" equalAverage="0" bottom="0" percent="0" rank="0" text="" dxfId="1">
      <formula>AND(M215&gt;=10,M215&lt;20)</formula>
    </cfRule>
    <cfRule type="expression" priority="861" aboveAverage="0" equalAverage="0" bottom="0" percent="0" rank="0" text="" dxfId="2">
      <formula>AND(M215&gt;=5,M215&lt;10)</formula>
    </cfRule>
    <cfRule type="expression" priority="862" aboveAverage="0" equalAverage="0" bottom="0" percent="0" rank="0" text="" dxfId="3">
      <formula>AND(M215&gt;=1,M215&lt;5)</formula>
    </cfRule>
  </conditionalFormatting>
  <conditionalFormatting sqref="M216">
    <cfRule type="expression" priority="863" aboveAverage="0" equalAverage="0" bottom="0" percent="0" rank="0" text="" dxfId="0">
      <formula>M216&gt;=20</formula>
    </cfRule>
    <cfRule type="expression" priority="864" aboveAverage="0" equalAverage="0" bottom="0" percent="0" rank="0" text="" dxfId="1">
      <formula>AND(M216&gt;=10,M216&lt;20)</formula>
    </cfRule>
    <cfRule type="expression" priority="865" aboveAverage="0" equalAverage="0" bottom="0" percent="0" rank="0" text="" dxfId="2">
      <formula>AND(M216&gt;=5,M216&lt;10)</formula>
    </cfRule>
    <cfRule type="expression" priority="866" aboveAverage="0" equalAverage="0" bottom="0" percent="0" rank="0" text="" dxfId="3">
      <formula>AND(M216&gt;=1,M216&lt;5)</formula>
    </cfRule>
  </conditionalFormatting>
  <conditionalFormatting sqref="M217">
    <cfRule type="expression" priority="867" aboveAverage="0" equalAverage="0" bottom="0" percent="0" rank="0" text="" dxfId="0">
      <formula>M217&gt;=20</formula>
    </cfRule>
    <cfRule type="expression" priority="868" aboveAverage="0" equalAverage="0" bottom="0" percent="0" rank="0" text="" dxfId="1">
      <formula>AND(M217&gt;=10,M217&lt;20)</formula>
    </cfRule>
    <cfRule type="expression" priority="869" aboveAverage="0" equalAverage="0" bottom="0" percent="0" rank="0" text="" dxfId="2">
      <formula>AND(M217&gt;=5,M217&lt;10)</formula>
    </cfRule>
    <cfRule type="expression" priority="870" aboveAverage="0" equalAverage="0" bottom="0" percent="0" rank="0" text="" dxfId="3">
      <formula>AND(M217&gt;=1,M217&lt;5)</formula>
    </cfRule>
  </conditionalFormatting>
  <conditionalFormatting sqref="M218">
    <cfRule type="expression" priority="871" aboveAverage="0" equalAverage="0" bottom="0" percent="0" rank="0" text="" dxfId="0">
      <formula>M218&gt;=20</formula>
    </cfRule>
    <cfRule type="expression" priority="872" aboveAverage="0" equalAverage="0" bottom="0" percent="0" rank="0" text="" dxfId="1">
      <formula>AND(M218&gt;=10,M218&lt;20)</formula>
    </cfRule>
    <cfRule type="expression" priority="873" aboveAverage="0" equalAverage="0" bottom="0" percent="0" rank="0" text="" dxfId="2">
      <formula>AND(M218&gt;=5,M218&lt;10)</formula>
    </cfRule>
    <cfRule type="expression" priority="874" aboveAverage="0" equalAverage="0" bottom="0" percent="0" rank="0" text="" dxfId="3">
      <formula>AND(M218&gt;=1,M218&lt;5)</formula>
    </cfRule>
  </conditionalFormatting>
  <conditionalFormatting sqref="M219">
    <cfRule type="expression" priority="875" aboveAverage="0" equalAverage="0" bottom="0" percent="0" rank="0" text="" dxfId="0">
      <formula>M219&gt;=20</formula>
    </cfRule>
    <cfRule type="expression" priority="876" aboveAverage="0" equalAverage="0" bottom="0" percent="0" rank="0" text="" dxfId="1">
      <formula>AND(M219&gt;=10,M219&lt;20)</formula>
    </cfRule>
    <cfRule type="expression" priority="877" aboveAverage="0" equalAverage="0" bottom="0" percent="0" rank="0" text="" dxfId="2">
      <formula>AND(M219&gt;=5,M219&lt;10)</formula>
    </cfRule>
    <cfRule type="expression" priority="878" aboveAverage="0" equalAverage="0" bottom="0" percent="0" rank="0" text="" dxfId="3">
      <formula>AND(M219&gt;=1,M219&lt;5)</formula>
    </cfRule>
  </conditionalFormatting>
  <conditionalFormatting sqref="M220">
    <cfRule type="expression" priority="879" aboveAverage="0" equalAverage="0" bottom="0" percent="0" rank="0" text="" dxfId="0">
      <formula>M220&gt;=20</formula>
    </cfRule>
    <cfRule type="expression" priority="880" aboveAverage="0" equalAverage="0" bottom="0" percent="0" rank="0" text="" dxfId="1">
      <formula>AND(M220&gt;=10,M220&lt;20)</formula>
    </cfRule>
    <cfRule type="expression" priority="881" aboveAverage="0" equalAverage="0" bottom="0" percent="0" rank="0" text="" dxfId="2">
      <formula>AND(M220&gt;=5,M220&lt;10)</formula>
    </cfRule>
    <cfRule type="expression" priority="882" aboveAverage="0" equalAverage="0" bottom="0" percent="0" rank="0" text="" dxfId="3">
      <formula>AND(M220&gt;=1,M220&lt;5)</formula>
    </cfRule>
  </conditionalFormatting>
  <conditionalFormatting sqref="M221">
    <cfRule type="expression" priority="883" aboveAverage="0" equalAverage="0" bottom="0" percent="0" rank="0" text="" dxfId="0">
      <formula>M221&gt;=20</formula>
    </cfRule>
    <cfRule type="expression" priority="884" aboveAverage="0" equalAverage="0" bottom="0" percent="0" rank="0" text="" dxfId="1">
      <formula>AND(M221&gt;=10,M221&lt;20)</formula>
    </cfRule>
    <cfRule type="expression" priority="885" aboveAverage="0" equalAverage="0" bottom="0" percent="0" rank="0" text="" dxfId="2">
      <formula>AND(M221&gt;=5,M221&lt;10)</formula>
    </cfRule>
    <cfRule type="expression" priority="886" aboveAverage="0" equalAverage="0" bottom="0" percent="0" rank="0" text="" dxfId="3">
      <formula>AND(M221&gt;=1,M221&lt;5)</formula>
    </cfRule>
  </conditionalFormatting>
  <conditionalFormatting sqref="M222">
    <cfRule type="expression" priority="887" aboveAverage="0" equalAverage="0" bottom="0" percent="0" rank="0" text="" dxfId="0">
      <formula>M222&gt;=20</formula>
    </cfRule>
    <cfRule type="expression" priority="888" aboveAverage="0" equalAverage="0" bottom="0" percent="0" rank="0" text="" dxfId="1">
      <formula>AND(M222&gt;=10,M222&lt;20)</formula>
    </cfRule>
    <cfRule type="expression" priority="889" aboveAverage="0" equalAverage="0" bottom="0" percent="0" rank="0" text="" dxfId="2">
      <formula>AND(M222&gt;=5,M222&lt;10)</formula>
    </cfRule>
    <cfRule type="expression" priority="890" aboveAverage="0" equalAverage="0" bottom="0" percent="0" rank="0" text="" dxfId="3">
      <formula>AND(M222&gt;=1,M222&lt;5)</formula>
    </cfRule>
  </conditionalFormatting>
  <conditionalFormatting sqref="M223">
    <cfRule type="expression" priority="891" aboveAverage="0" equalAverage="0" bottom="0" percent="0" rank="0" text="" dxfId="0">
      <formula>M223&gt;=20</formula>
    </cfRule>
    <cfRule type="expression" priority="892" aboveAverage="0" equalAverage="0" bottom="0" percent="0" rank="0" text="" dxfId="1">
      <formula>AND(M223&gt;=10,M223&lt;20)</formula>
    </cfRule>
    <cfRule type="expression" priority="893" aboveAverage="0" equalAverage="0" bottom="0" percent="0" rank="0" text="" dxfId="2">
      <formula>AND(M223&gt;=5,M223&lt;10)</formula>
    </cfRule>
    <cfRule type="expression" priority="894" aboveAverage="0" equalAverage="0" bottom="0" percent="0" rank="0" text="" dxfId="3">
      <formula>AND(M223&gt;=1,M223&lt;5)</formula>
    </cfRule>
  </conditionalFormatting>
  <conditionalFormatting sqref="M224">
    <cfRule type="expression" priority="895" aboveAverage="0" equalAverage="0" bottom="0" percent="0" rank="0" text="" dxfId="0">
      <formula>M224&gt;=20</formula>
    </cfRule>
    <cfRule type="expression" priority="896" aboveAverage="0" equalAverage="0" bottom="0" percent="0" rank="0" text="" dxfId="1">
      <formula>AND(M224&gt;=10,M224&lt;20)</formula>
    </cfRule>
    <cfRule type="expression" priority="897" aboveAverage="0" equalAverage="0" bottom="0" percent="0" rank="0" text="" dxfId="2">
      <formula>AND(M224&gt;=5,M224&lt;10)</formula>
    </cfRule>
    <cfRule type="expression" priority="898" aboveAverage="0" equalAverage="0" bottom="0" percent="0" rank="0" text="" dxfId="3">
      <formula>AND(M224&gt;=1,M224&lt;5)</formula>
    </cfRule>
  </conditionalFormatting>
  <conditionalFormatting sqref="M225">
    <cfRule type="expression" priority="899" aboveAverage="0" equalAverage="0" bottom="0" percent="0" rank="0" text="" dxfId="0">
      <formula>M225&gt;=20</formula>
    </cfRule>
    <cfRule type="expression" priority="900" aboveAverage="0" equalAverage="0" bottom="0" percent="0" rank="0" text="" dxfId="1">
      <formula>AND(M225&gt;=10,M225&lt;20)</formula>
    </cfRule>
    <cfRule type="expression" priority="901" aboveAverage="0" equalAverage="0" bottom="0" percent="0" rank="0" text="" dxfId="2">
      <formula>AND(M225&gt;=5,M225&lt;10)</formula>
    </cfRule>
    <cfRule type="expression" priority="902" aboveAverage="0" equalAverage="0" bottom="0" percent="0" rank="0" text="" dxfId="3">
      <formula>AND(M225&gt;=1,M225&lt;5)</formula>
    </cfRule>
  </conditionalFormatting>
  <conditionalFormatting sqref="M226">
    <cfRule type="expression" priority="903" aboveAverage="0" equalAverage="0" bottom="0" percent="0" rank="0" text="" dxfId="0">
      <formula>M226&gt;=20</formula>
    </cfRule>
    <cfRule type="expression" priority="904" aboveAverage="0" equalAverage="0" bottom="0" percent="0" rank="0" text="" dxfId="1">
      <formula>AND(M226&gt;=10,M226&lt;20)</formula>
    </cfRule>
    <cfRule type="expression" priority="905" aboveAverage="0" equalAverage="0" bottom="0" percent="0" rank="0" text="" dxfId="2">
      <formula>AND(M226&gt;=5,M226&lt;10)</formula>
    </cfRule>
    <cfRule type="expression" priority="906" aboveAverage="0" equalAverage="0" bottom="0" percent="0" rank="0" text="" dxfId="3">
      <formula>AND(M226&gt;=1,M226&lt;5)</formula>
    </cfRule>
  </conditionalFormatting>
  <conditionalFormatting sqref="M227">
    <cfRule type="expression" priority="907" aboveAverage="0" equalAverage="0" bottom="0" percent="0" rank="0" text="" dxfId="0">
      <formula>M227&gt;=20</formula>
    </cfRule>
    <cfRule type="expression" priority="908" aboveAverage="0" equalAverage="0" bottom="0" percent="0" rank="0" text="" dxfId="1">
      <formula>AND(M227&gt;=10,M227&lt;20)</formula>
    </cfRule>
    <cfRule type="expression" priority="909" aboveAverage="0" equalAverage="0" bottom="0" percent="0" rank="0" text="" dxfId="2">
      <formula>AND(M227&gt;=5,M227&lt;10)</formula>
    </cfRule>
    <cfRule type="expression" priority="910" aboveAverage="0" equalAverage="0" bottom="0" percent="0" rank="0" text="" dxfId="3">
      <formula>AND(M227&gt;=1,M227&lt;5)</formula>
    </cfRule>
  </conditionalFormatting>
  <conditionalFormatting sqref="M228">
    <cfRule type="expression" priority="911" aboveAverage="0" equalAverage="0" bottom="0" percent="0" rank="0" text="" dxfId="0">
      <formula>M228&gt;=20</formula>
    </cfRule>
    <cfRule type="expression" priority="912" aboveAverage="0" equalAverage="0" bottom="0" percent="0" rank="0" text="" dxfId="1">
      <formula>AND(M228&gt;=10,M228&lt;20)</formula>
    </cfRule>
    <cfRule type="expression" priority="913" aboveAverage="0" equalAverage="0" bottom="0" percent="0" rank="0" text="" dxfId="2">
      <formula>AND(M228&gt;=5,M228&lt;10)</formula>
    </cfRule>
    <cfRule type="expression" priority="914" aboveAverage="0" equalAverage="0" bottom="0" percent="0" rank="0" text="" dxfId="3">
      <formula>AND(M228&gt;=1,M228&lt;5)</formula>
    </cfRule>
  </conditionalFormatting>
  <conditionalFormatting sqref="M229">
    <cfRule type="expression" priority="915" aboveAverage="0" equalAverage="0" bottom="0" percent="0" rank="0" text="" dxfId="0">
      <formula>M229&gt;=20</formula>
    </cfRule>
    <cfRule type="expression" priority="916" aboveAverage="0" equalAverage="0" bottom="0" percent="0" rank="0" text="" dxfId="1">
      <formula>AND(M229&gt;=10,M229&lt;20)</formula>
    </cfRule>
    <cfRule type="expression" priority="917" aboveAverage="0" equalAverage="0" bottom="0" percent="0" rank="0" text="" dxfId="2">
      <formula>AND(M229&gt;=5,M229&lt;10)</formula>
    </cfRule>
    <cfRule type="expression" priority="918" aboveAverage="0" equalAverage="0" bottom="0" percent="0" rank="0" text="" dxfId="3">
      <formula>AND(M229&gt;=1,M229&lt;5)</formula>
    </cfRule>
  </conditionalFormatting>
  <conditionalFormatting sqref="M230">
    <cfRule type="expression" priority="919" aboveAverage="0" equalAverage="0" bottom="0" percent="0" rank="0" text="" dxfId="0">
      <formula>M230&gt;=20</formula>
    </cfRule>
    <cfRule type="expression" priority="920" aboveAverage="0" equalAverage="0" bottom="0" percent="0" rank="0" text="" dxfId="1">
      <formula>AND(M230&gt;=10,M230&lt;20)</formula>
    </cfRule>
    <cfRule type="expression" priority="921" aboveAverage="0" equalAverage="0" bottom="0" percent="0" rank="0" text="" dxfId="2">
      <formula>AND(M230&gt;=5,M230&lt;10)</formula>
    </cfRule>
    <cfRule type="expression" priority="922" aboveAverage="0" equalAverage="0" bottom="0" percent="0" rank="0" text="" dxfId="3">
      <formula>AND(M230&gt;=1,M230&lt;5)</formula>
    </cfRule>
  </conditionalFormatting>
  <conditionalFormatting sqref="M231">
    <cfRule type="expression" priority="923" aboveAverage="0" equalAverage="0" bottom="0" percent="0" rank="0" text="" dxfId="0">
      <formula>M231&gt;=20</formula>
    </cfRule>
    <cfRule type="expression" priority="924" aboveAverage="0" equalAverage="0" bottom="0" percent="0" rank="0" text="" dxfId="1">
      <formula>AND(M231&gt;=10,M231&lt;20)</formula>
    </cfRule>
    <cfRule type="expression" priority="925" aboveAverage="0" equalAverage="0" bottom="0" percent="0" rank="0" text="" dxfId="2">
      <formula>AND(M231&gt;=5,M231&lt;10)</formula>
    </cfRule>
    <cfRule type="expression" priority="926" aboveAverage="0" equalAverage="0" bottom="0" percent="0" rank="0" text="" dxfId="3">
      <formula>AND(M231&gt;=1,M231&lt;5)</formula>
    </cfRule>
  </conditionalFormatting>
  <conditionalFormatting sqref="M232">
    <cfRule type="expression" priority="927" aboveAverage="0" equalAverage="0" bottom="0" percent="0" rank="0" text="" dxfId="0">
      <formula>M232&gt;=20</formula>
    </cfRule>
    <cfRule type="expression" priority="928" aboveAverage="0" equalAverage="0" bottom="0" percent="0" rank="0" text="" dxfId="1">
      <formula>AND(M232&gt;=10,M232&lt;20)</formula>
    </cfRule>
    <cfRule type="expression" priority="929" aboveAverage="0" equalAverage="0" bottom="0" percent="0" rank="0" text="" dxfId="2">
      <formula>AND(M232&gt;=5,M232&lt;10)</formula>
    </cfRule>
    <cfRule type="expression" priority="930" aboveAverage="0" equalAverage="0" bottom="0" percent="0" rank="0" text="" dxfId="3">
      <formula>AND(M232&gt;=1,M232&lt;5)</formula>
    </cfRule>
  </conditionalFormatting>
  <conditionalFormatting sqref="M233">
    <cfRule type="expression" priority="931" aboveAverage="0" equalAverage="0" bottom="0" percent="0" rank="0" text="" dxfId="0">
      <formula>M233&gt;=20</formula>
    </cfRule>
    <cfRule type="expression" priority="932" aboveAverage="0" equalAverage="0" bottom="0" percent="0" rank="0" text="" dxfId="1">
      <formula>AND(M233&gt;=10,M233&lt;20)</formula>
    </cfRule>
    <cfRule type="expression" priority="933" aboveAverage="0" equalAverage="0" bottom="0" percent="0" rank="0" text="" dxfId="2">
      <formula>AND(M233&gt;=5,M233&lt;10)</formula>
    </cfRule>
    <cfRule type="expression" priority="934" aboveAverage="0" equalAverage="0" bottom="0" percent="0" rank="0" text="" dxfId="3">
      <formula>AND(M233&gt;=1,M233&lt;5)</formula>
    </cfRule>
  </conditionalFormatting>
  <conditionalFormatting sqref="M234">
    <cfRule type="expression" priority="935" aboveAverage="0" equalAverage="0" bottom="0" percent="0" rank="0" text="" dxfId="0">
      <formula>M234&gt;=20</formula>
    </cfRule>
    <cfRule type="expression" priority="936" aboveAverage="0" equalAverage="0" bottom="0" percent="0" rank="0" text="" dxfId="1">
      <formula>AND(M234&gt;=10,M234&lt;20)</formula>
    </cfRule>
    <cfRule type="expression" priority="937" aboveAverage="0" equalAverage="0" bottom="0" percent="0" rank="0" text="" dxfId="2">
      <formula>AND(M234&gt;=5,M234&lt;10)</formula>
    </cfRule>
    <cfRule type="expression" priority="938" aboveAverage="0" equalAverage="0" bottom="0" percent="0" rank="0" text="" dxfId="3">
      <formula>AND(M234&gt;=1,M234&lt;5)</formula>
    </cfRule>
  </conditionalFormatting>
  <conditionalFormatting sqref="M235">
    <cfRule type="expression" priority="939" aboveAverage="0" equalAverage="0" bottom="0" percent="0" rank="0" text="" dxfId="0">
      <formula>M235&gt;=20</formula>
    </cfRule>
    <cfRule type="expression" priority="940" aboveAverage="0" equalAverage="0" bottom="0" percent="0" rank="0" text="" dxfId="1">
      <formula>AND(M235&gt;=10,M235&lt;20)</formula>
    </cfRule>
    <cfRule type="expression" priority="941" aboveAverage="0" equalAverage="0" bottom="0" percent="0" rank="0" text="" dxfId="2">
      <formula>AND(M235&gt;=5,M235&lt;10)</formula>
    </cfRule>
    <cfRule type="expression" priority="942" aboveAverage="0" equalAverage="0" bottom="0" percent="0" rank="0" text="" dxfId="3">
      <formula>AND(M235&gt;=1,M235&lt;5)</formula>
    </cfRule>
  </conditionalFormatting>
  <conditionalFormatting sqref="M236">
    <cfRule type="expression" priority="943" aboveAverage="0" equalAverage="0" bottom="0" percent="0" rank="0" text="" dxfId="0">
      <formula>M236&gt;=20</formula>
    </cfRule>
    <cfRule type="expression" priority="944" aboveAverage="0" equalAverage="0" bottom="0" percent="0" rank="0" text="" dxfId="1">
      <formula>AND(M236&gt;=10,M236&lt;20)</formula>
    </cfRule>
    <cfRule type="expression" priority="945" aboveAverage="0" equalAverage="0" bottom="0" percent="0" rank="0" text="" dxfId="2">
      <formula>AND(M236&gt;=5,M236&lt;10)</formula>
    </cfRule>
    <cfRule type="expression" priority="946" aboveAverage="0" equalAverage="0" bottom="0" percent="0" rank="0" text="" dxfId="3">
      <formula>AND(M236&gt;=1,M236&lt;5)</formula>
    </cfRule>
  </conditionalFormatting>
  <conditionalFormatting sqref="M237">
    <cfRule type="expression" priority="947" aboveAverage="0" equalAverage="0" bottom="0" percent="0" rank="0" text="" dxfId="0">
      <formula>M237&gt;=20</formula>
    </cfRule>
    <cfRule type="expression" priority="948" aboveAverage="0" equalAverage="0" bottom="0" percent="0" rank="0" text="" dxfId="1">
      <formula>AND(M237&gt;=10,M237&lt;20)</formula>
    </cfRule>
    <cfRule type="expression" priority="949" aboveAverage="0" equalAverage="0" bottom="0" percent="0" rank="0" text="" dxfId="2">
      <formula>AND(M237&gt;=5,M237&lt;10)</formula>
    </cfRule>
    <cfRule type="expression" priority="950" aboveAverage="0" equalAverage="0" bottom="0" percent="0" rank="0" text="" dxfId="3">
      <formula>AND(M237&gt;=1,M237&lt;5)</formula>
    </cfRule>
  </conditionalFormatting>
  <conditionalFormatting sqref="M238">
    <cfRule type="expression" priority="951" aboveAverage="0" equalAverage="0" bottom="0" percent="0" rank="0" text="" dxfId="0">
      <formula>M238&gt;=20</formula>
    </cfRule>
    <cfRule type="expression" priority="952" aboveAverage="0" equalAverage="0" bottom="0" percent="0" rank="0" text="" dxfId="1">
      <formula>AND(M238&gt;=10,M238&lt;20)</formula>
    </cfRule>
    <cfRule type="expression" priority="953" aboveAverage="0" equalAverage="0" bottom="0" percent="0" rank="0" text="" dxfId="2">
      <formula>AND(M238&gt;=5,M238&lt;10)</formula>
    </cfRule>
    <cfRule type="expression" priority="954" aboveAverage="0" equalAverage="0" bottom="0" percent="0" rank="0" text="" dxfId="3">
      <formula>AND(M238&gt;=1,M238&lt;5)</formula>
    </cfRule>
  </conditionalFormatting>
  <conditionalFormatting sqref="M239">
    <cfRule type="expression" priority="955" aboveAverage="0" equalAverage="0" bottom="0" percent="0" rank="0" text="" dxfId="0">
      <formula>M239&gt;=20</formula>
    </cfRule>
    <cfRule type="expression" priority="956" aboveAverage="0" equalAverage="0" bottom="0" percent="0" rank="0" text="" dxfId="1">
      <formula>AND(M239&gt;=10,M239&lt;20)</formula>
    </cfRule>
    <cfRule type="expression" priority="957" aboveAverage="0" equalAverage="0" bottom="0" percent="0" rank="0" text="" dxfId="2">
      <formula>AND(M239&gt;=5,M239&lt;10)</formula>
    </cfRule>
    <cfRule type="expression" priority="958" aboveAverage="0" equalAverage="0" bottom="0" percent="0" rank="0" text="" dxfId="3">
      <formula>AND(M239&gt;=1,M239&lt;5)</formula>
    </cfRule>
  </conditionalFormatting>
  <conditionalFormatting sqref="M240">
    <cfRule type="expression" priority="959" aboveAverage="0" equalAverage="0" bottom="0" percent="0" rank="0" text="" dxfId="0">
      <formula>M240&gt;=20</formula>
    </cfRule>
    <cfRule type="expression" priority="960" aboveAverage="0" equalAverage="0" bottom="0" percent="0" rank="0" text="" dxfId="1">
      <formula>AND(M240&gt;=10,M240&lt;20)</formula>
    </cfRule>
    <cfRule type="expression" priority="961" aboveAverage="0" equalAverage="0" bottom="0" percent="0" rank="0" text="" dxfId="2">
      <formula>AND(M240&gt;=5,M240&lt;10)</formula>
    </cfRule>
    <cfRule type="expression" priority="962" aboveAverage="0" equalAverage="0" bottom="0" percent="0" rank="0" text="" dxfId="3">
      <formula>AND(M240&gt;=1,M240&lt;5)</formula>
    </cfRule>
  </conditionalFormatting>
  <conditionalFormatting sqref="M241">
    <cfRule type="expression" priority="963" aboveAverage="0" equalAverage="0" bottom="0" percent="0" rank="0" text="" dxfId="0">
      <formula>M241&gt;=20</formula>
    </cfRule>
    <cfRule type="expression" priority="964" aboveAverage="0" equalAverage="0" bottom="0" percent="0" rank="0" text="" dxfId="1">
      <formula>AND(M241&gt;=10,M241&lt;20)</formula>
    </cfRule>
    <cfRule type="expression" priority="965" aboveAverage="0" equalAverage="0" bottom="0" percent="0" rank="0" text="" dxfId="2">
      <formula>AND(M241&gt;=5,M241&lt;10)</formula>
    </cfRule>
    <cfRule type="expression" priority="966" aboveAverage="0" equalAverage="0" bottom="0" percent="0" rank="0" text="" dxfId="3">
      <formula>AND(M241&gt;=1,M241&lt;5)</formula>
    </cfRule>
  </conditionalFormatting>
  <conditionalFormatting sqref="M242">
    <cfRule type="expression" priority="967" aboveAverage="0" equalAverage="0" bottom="0" percent="0" rank="0" text="" dxfId="0">
      <formula>M242&gt;=20</formula>
    </cfRule>
    <cfRule type="expression" priority="968" aboveAverage="0" equalAverage="0" bottom="0" percent="0" rank="0" text="" dxfId="1">
      <formula>AND(M242&gt;=10,M242&lt;20)</formula>
    </cfRule>
    <cfRule type="expression" priority="969" aboveAverage="0" equalAverage="0" bottom="0" percent="0" rank="0" text="" dxfId="2">
      <formula>AND(M242&gt;=5,M242&lt;10)</formula>
    </cfRule>
    <cfRule type="expression" priority="970" aboveAverage="0" equalAverage="0" bottom="0" percent="0" rank="0" text="" dxfId="3">
      <formula>AND(M242&gt;=1,M242&lt;5)</formula>
    </cfRule>
  </conditionalFormatting>
  <conditionalFormatting sqref="M243">
    <cfRule type="expression" priority="971" aboveAverage="0" equalAverage="0" bottom="0" percent="0" rank="0" text="" dxfId="0">
      <formula>M243&gt;=20</formula>
    </cfRule>
    <cfRule type="expression" priority="972" aboveAverage="0" equalAverage="0" bottom="0" percent="0" rank="0" text="" dxfId="1">
      <formula>AND(M243&gt;=10,M243&lt;20)</formula>
    </cfRule>
    <cfRule type="expression" priority="973" aboveAverage="0" equalAverage="0" bottom="0" percent="0" rank="0" text="" dxfId="2">
      <formula>AND(M243&gt;=5,M243&lt;10)</formula>
    </cfRule>
    <cfRule type="expression" priority="974" aboveAverage="0" equalAverage="0" bottom="0" percent="0" rank="0" text="" dxfId="3">
      <formula>AND(M243&gt;=1,M243&lt;5)</formula>
    </cfRule>
  </conditionalFormatting>
  <conditionalFormatting sqref="M244">
    <cfRule type="expression" priority="975" aboveAverage="0" equalAverage="0" bottom="0" percent="0" rank="0" text="" dxfId="0">
      <formula>M244&gt;=20</formula>
    </cfRule>
    <cfRule type="expression" priority="976" aboveAverage="0" equalAverage="0" bottom="0" percent="0" rank="0" text="" dxfId="1">
      <formula>AND(M244&gt;=10,M244&lt;20)</formula>
    </cfRule>
    <cfRule type="expression" priority="977" aboveAverage="0" equalAverage="0" bottom="0" percent="0" rank="0" text="" dxfId="2">
      <formula>AND(M244&gt;=5,M244&lt;10)</formula>
    </cfRule>
    <cfRule type="expression" priority="978" aboveAverage="0" equalAverage="0" bottom="0" percent="0" rank="0" text="" dxfId="3">
      <formula>AND(M244&gt;=1,M244&lt;5)</formula>
    </cfRule>
  </conditionalFormatting>
  <conditionalFormatting sqref="M245">
    <cfRule type="expression" priority="979" aboveAverage="0" equalAverage="0" bottom="0" percent="0" rank="0" text="" dxfId="0">
      <formula>M245&gt;=20</formula>
    </cfRule>
    <cfRule type="expression" priority="980" aboveAverage="0" equalAverage="0" bottom="0" percent="0" rank="0" text="" dxfId="1">
      <formula>AND(M245&gt;=10,M245&lt;20)</formula>
    </cfRule>
    <cfRule type="expression" priority="981" aboveAverage="0" equalAverage="0" bottom="0" percent="0" rank="0" text="" dxfId="2">
      <formula>AND(M245&gt;=5,M245&lt;10)</formula>
    </cfRule>
    <cfRule type="expression" priority="982" aboveAverage="0" equalAverage="0" bottom="0" percent="0" rank="0" text="" dxfId="3">
      <formula>AND(M245&gt;=1,M245&lt;5)</formula>
    </cfRule>
  </conditionalFormatting>
  <conditionalFormatting sqref="M246">
    <cfRule type="expression" priority="983" aboveAverage="0" equalAverage="0" bottom="0" percent="0" rank="0" text="" dxfId="0">
      <formula>M246&gt;=20</formula>
    </cfRule>
    <cfRule type="expression" priority="984" aboveAverage="0" equalAverage="0" bottom="0" percent="0" rank="0" text="" dxfId="1">
      <formula>AND(M246&gt;=10,M246&lt;20)</formula>
    </cfRule>
    <cfRule type="expression" priority="985" aboveAverage="0" equalAverage="0" bottom="0" percent="0" rank="0" text="" dxfId="2">
      <formula>AND(M246&gt;=5,M246&lt;10)</formula>
    </cfRule>
    <cfRule type="expression" priority="986" aboveAverage="0" equalAverage="0" bottom="0" percent="0" rank="0" text="" dxfId="3">
      <formula>AND(M246&gt;=1,M246&lt;5)</formula>
    </cfRule>
  </conditionalFormatting>
  <conditionalFormatting sqref="M247">
    <cfRule type="expression" priority="987" aboveAverage="0" equalAverage="0" bottom="0" percent="0" rank="0" text="" dxfId="0">
      <formula>M247&gt;=20</formula>
    </cfRule>
    <cfRule type="expression" priority="988" aboveAverage="0" equalAverage="0" bottom="0" percent="0" rank="0" text="" dxfId="1">
      <formula>AND(M247&gt;=10,M247&lt;20)</formula>
    </cfRule>
    <cfRule type="expression" priority="989" aboveAverage="0" equalAverage="0" bottom="0" percent="0" rank="0" text="" dxfId="2">
      <formula>AND(M247&gt;=5,M247&lt;10)</formula>
    </cfRule>
    <cfRule type="expression" priority="990" aboveAverage="0" equalAverage="0" bottom="0" percent="0" rank="0" text="" dxfId="3">
      <formula>AND(M247&gt;=1,M247&lt;5)</formula>
    </cfRule>
  </conditionalFormatting>
  <conditionalFormatting sqref="M248">
    <cfRule type="expression" priority="991" aboveAverage="0" equalAverage="0" bottom="0" percent="0" rank="0" text="" dxfId="0">
      <formula>M248&gt;=20</formula>
    </cfRule>
    <cfRule type="expression" priority="992" aboveAverage="0" equalAverage="0" bottom="0" percent="0" rank="0" text="" dxfId="1">
      <formula>AND(M248&gt;=10,M248&lt;20)</formula>
    </cfRule>
    <cfRule type="expression" priority="993" aboveAverage="0" equalAverage="0" bottom="0" percent="0" rank="0" text="" dxfId="2">
      <formula>AND(M248&gt;=5,M248&lt;10)</formula>
    </cfRule>
    <cfRule type="expression" priority="994" aboveAverage="0" equalAverage="0" bottom="0" percent="0" rank="0" text="" dxfId="3">
      <formula>AND(M248&gt;=1,M248&lt;5)</formula>
    </cfRule>
  </conditionalFormatting>
  <conditionalFormatting sqref="M249">
    <cfRule type="expression" priority="995" aboveAverage="0" equalAverage="0" bottom="0" percent="0" rank="0" text="" dxfId="0">
      <formula>M249&gt;=20</formula>
    </cfRule>
    <cfRule type="expression" priority="996" aboveAverage="0" equalAverage="0" bottom="0" percent="0" rank="0" text="" dxfId="1">
      <formula>AND(M249&gt;=10,M249&lt;20)</formula>
    </cfRule>
    <cfRule type="expression" priority="997" aboveAverage="0" equalAverage="0" bottom="0" percent="0" rank="0" text="" dxfId="2">
      <formula>AND(M249&gt;=5,M249&lt;10)</formula>
    </cfRule>
    <cfRule type="expression" priority="998" aboveAverage="0" equalAverage="0" bottom="0" percent="0" rank="0" text="" dxfId="3">
      <formula>AND(M249&gt;=1,M249&lt;5)</formula>
    </cfRule>
  </conditionalFormatting>
  <conditionalFormatting sqref="M250">
    <cfRule type="expression" priority="999" aboveAverage="0" equalAverage="0" bottom="0" percent="0" rank="0" text="" dxfId="0">
      <formula>M250&gt;=20</formula>
    </cfRule>
    <cfRule type="expression" priority="1000" aboveAverage="0" equalAverage="0" bottom="0" percent="0" rank="0" text="" dxfId="1">
      <formula>AND(M250&gt;=10,M250&lt;20)</formula>
    </cfRule>
    <cfRule type="expression" priority="1001" aboveAverage="0" equalAverage="0" bottom="0" percent="0" rank="0" text="" dxfId="2">
      <formula>AND(M250&gt;=5,M250&lt;10)</formula>
    </cfRule>
    <cfRule type="expression" priority="1002" aboveAverage="0" equalAverage="0" bottom="0" percent="0" rank="0" text="" dxfId="3">
      <formula>AND(M250&gt;=1,M250&lt;5)</formula>
    </cfRule>
  </conditionalFormatting>
  <conditionalFormatting sqref="M251">
    <cfRule type="expression" priority="1003" aboveAverage="0" equalAverage="0" bottom="0" percent="0" rank="0" text="" dxfId="0">
      <formula>M251&gt;=20</formula>
    </cfRule>
    <cfRule type="expression" priority="1004" aboveAverage="0" equalAverage="0" bottom="0" percent="0" rank="0" text="" dxfId="1">
      <formula>AND(M251&gt;=10,M251&lt;20)</formula>
    </cfRule>
    <cfRule type="expression" priority="1005" aboveAverage="0" equalAverage="0" bottom="0" percent="0" rank="0" text="" dxfId="2">
      <formula>AND(M251&gt;=5,M251&lt;10)</formula>
    </cfRule>
    <cfRule type="expression" priority="1006" aboveAverage="0" equalAverage="0" bottom="0" percent="0" rank="0" text="" dxfId="3">
      <formula>AND(M251&gt;=1,M251&lt;5)</formula>
    </cfRule>
  </conditionalFormatting>
  <conditionalFormatting sqref="M252">
    <cfRule type="expression" priority="1007" aboveAverage="0" equalAverage="0" bottom="0" percent="0" rank="0" text="" dxfId="0">
      <formula>M252&gt;=20</formula>
    </cfRule>
    <cfRule type="expression" priority="1008" aboveAverage="0" equalAverage="0" bottom="0" percent="0" rank="0" text="" dxfId="1">
      <formula>AND(M252&gt;=10,M252&lt;20)</formula>
    </cfRule>
    <cfRule type="expression" priority="1009" aboveAverage="0" equalAverage="0" bottom="0" percent="0" rank="0" text="" dxfId="2">
      <formula>AND(M252&gt;=5,M252&lt;10)</formula>
    </cfRule>
    <cfRule type="expression" priority="1010" aboveAverage="0" equalAverage="0" bottom="0" percent="0" rank="0" text="" dxfId="3">
      <formula>AND(M252&gt;=1,M252&lt;5)</formula>
    </cfRule>
  </conditionalFormatting>
  <conditionalFormatting sqref="M253">
    <cfRule type="expression" priority="1011" aboveAverage="0" equalAverage="0" bottom="0" percent="0" rank="0" text="" dxfId="0">
      <formula>M253&gt;=20</formula>
    </cfRule>
    <cfRule type="expression" priority="1012" aboveAverage="0" equalAverage="0" bottom="0" percent="0" rank="0" text="" dxfId="1">
      <formula>AND(M253&gt;=10,M253&lt;20)</formula>
    </cfRule>
    <cfRule type="expression" priority="1013" aboveAverage="0" equalAverage="0" bottom="0" percent="0" rank="0" text="" dxfId="2">
      <formula>AND(M253&gt;=5,M253&lt;10)</formula>
    </cfRule>
    <cfRule type="expression" priority="1014" aboveAverage="0" equalAverage="0" bottom="0" percent="0" rank="0" text="" dxfId="3">
      <formula>AND(M253&gt;=1,M253&lt;5)</formula>
    </cfRule>
  </conditionalFormatting>
  <conditionalFormatting sqref="M254">
    <cfRule type="expression" priority="1015" aboveAverage="0" equalAverage="0" bottom="0" percent="0" rank="0" text="" dxfId="0">
      <formula>M254&gt;=20</formula>
    </cfRule>
    <cfRule type="expression" priority="1016" aboveAverage="0" equalAverage="0" bottom="0" percent="0" rank="0" text="" dxfId="1">
      <formula>AND(M254&gt;=10,M254&lt;20)</formula>
    </cfRule>
    <cfRule type="expression" priority="1017" aboveAverage="0" equalAverage="0" bottom="0" percent="0" rank="0" text="" dxfId="2">
      <formula>AND(M254&gt;=5,M254&lt;10)</formula>
    </cfRule>
    <cfRule type="expression" priority="1018" aboveAverage="0" equalAverage="0" bottom="0" percent="0" rank="0" text="" dxfId="3">
      <formula>AND(M254&gt;=1,M254&lt;5)</formula>
    </cfRule>
  </conditionalFormatting>
  <conditionalFormatting sqref="M255">
    <cfRule type="expression" priority="1019" aboveAverage="0" equalAverage="0" bottom="0" percent="0" rank="0" text="" dxfId="0">
      <formula>M255&gt;=20</formula>
    </cfRule>
    <cfRule type="expression" priority="1020" aboveAverage="0" equalAverage="0" bottom="0" percent="0" rank="0" text="" dxfId="1">
      <formula>AND(M255&gt;=10,M255&lt;20)</formula>
    </cfRule>
    <cfRule type="expression" priority="1021" aboveAverage="0" equalAverage="0" bottom="0" percent="0" rank="0" text="" dxfId="2">
      <formula>AND(M255&gt;=5,M255&lt;10)</formula>
    </cfRule>
    <cfRule type="expression" priority="1022" aboveAverage="0" equalAverage="0" bottom="0" percent="0" rank="0" text="" dxfId="3">
      <formula>AND(M255&gt;=1,M255&lt;5)</formula>
    </cfRule>
  </conditionalFormatting>
  <conditionalFormatting sqref="M256">
    <cfRule type="expression" priority="1023" aboveAverage="0" equalAverage="0" bottom="0" percent="0" rank="0" text="" dxfId="0">
      <formula>M256&gt;=20</formula>
    </cfRule>
    <cfRule type="expression" priority="1024" aboveAverage="0" equalAverage="0" bottom="0" percent="0" rank="0" text="" dxfId="1">
      <formula>AND(M256&gt;=10,M256&lt;20)</formula>
    </cfRule>
    <cfRule type="expression" priority="1025" aboveAverage="0" equalAverage="0" bottom="0" percent="0" rank="0" text="" dxfId="2">
      <formula>AND(M256&gt;=5,M256&lt;10)</formula>
    </cfRule>
    <cfRule type="expression" priority="1026" aboveAverage="0" equalAverage="0" bottom="0" percent="0" rank="0" text="" dxfId="3">
      <formula>AND(M256&gt;=1,M256&lt;5)</formula>
    </cfRule>
  </conditionalFormatting>
  <conditionalFormatting sqref="M257">
    <cfRule type="expression" priority="1027" aboveAverage="0" equalAverage="0" bottom="0" percent="0" rank="0" text="" dxfId="0">
      <formula>M257&gt;=20</formula>
    </cfRule>
    <cfRule type="expression" priority="1028" aboveAverage="0" equalAverage="0" bottom="0" percent="0" rank="0" text="" dxfId="1">
      <formula>AND(M257&gt;=10,M257&lt;20)</formula>
    </cfRule>
    <cfRule type="expression" priority="1029" aboveAverage="0" equalAverage="0" bottom="0" percent="0" rank="0" text="" dxfId="2">
      <formula>AND(M257&gt;=5,M257&lt;10)</formula>
    </cfRule>
    <cfRule type="expression" priority="1030" aboveAverage="0" equalAverage="0" bottom="0" percent="0" rank="0" text="" dxfId="3">
      <formula>AND(M257&gt;=1,M257&lt;5)</formula>
    </cfRule>
  </conditionalFormatting>
  <conditionalFormatting sqref="M258">
    <cfRule type="expression" priority="1031" aboveAverage="0" equalAverage="0" bottom="0" percent="0" rank="0" text="" dxfId="0">
      <formula>M258&gt;=20</formula>
    </cfRule>
    <cfRule type="expression" priority="1032" aboveAverage="0" equalAverage="0" bottom="0" percent="0" rank="0" text="" dxfId="1">
      <formula>AND(M258&gt;=10,M258&lt;20)</formula>
    </cfRule>
    <cfRule type="expression" priority="1033" aboveAverage="0" equalAverage="0" bottom="0" percent="0" rank="0" text="" dxfId="2">
      <formula>AND(M258&gt;=5,M258&lt;10)</formula>
    </cfRule>
    <cfRule type="expression" priority="1034" aboveAverage="0" equalAverage="0" bottom="0" percent="0" rank="0" text="" dxfId="3">
      <formula>AND(M258&gt;=1,M258&lt;5)</formula>
    </cfRule>
  </conditionalFormatting>
  <conditionalFormatting sqref="M259">
    <cfRule type="expression" priority="1035" aboveAverage="0" equalAverage="0" bottom="0" percent="0" rank="0" text="" dxfId="0">
      <formula>M259&gt;=20</formula>
    </cfRule>
    <cfRule type="expression" priority="1036" aboveAverage="0" equalAverage="0" bottom="0" percent="0" rank="0" text="" dxfId="1">
      <formula>AND(M259&gt;=10,M259&lt;20)</formula>
    </cfRule>
    <cfRule type="expression" priority="1037" aboveAverage="0" equalAverage="0" bottom="0" percent="0" rank="0" text="" dxfId="2">
      <formula>AND(M259&gt;=5,M259&lt;10)</formula>
    </cfRule>
    <cfRule type="expression" priority="1038" aboveAverage="0" equalAverage="0" bottom="0" percent="0" rank="0" text="" dxfId="3">
      <formula>AND(M259&gt;=1,M259&lt;5)</formula>
    </cfRule>
  </conditionalFormatting>
  <conditionalFormatting sqref="M260">
    <cfRule type="expression" priority="1039" aboveAverage="0" equalAverage="0" bottom="0" percent="0" rank="0" text="" dxfId="0">
      <formula>M260&gt;=20</formula>
    </cfRule>
    <cfRule type="expression" priority="1040" aboveAverage="0" equalAverage="0" bottom="0" percent="0" rank="0" text="" dxfId="1">
      <formula>AND(M260&gt;=10,M260&lt;20)</formula>
    </cfRule>
    <cfRule type="expression" priority="1041" aboveAverage="0" equalAverage="0" bottom="0" percent="0" rank="0" text="" dxfId="2">
      <formula>AND(M260&gt;=5,M260&lt;10)</formula>
    </cfRule>
    <cfRule type="expression" priority="1042" aboveAverage="0" equalAverage="0" bottom="0" percent="0" rank="0" text="" dxfId="3">
      <formula>AND(M260&gt;=1,M260&lt;5)</formula>
    </cfRule>
  </conditionalFormatting>
  <conditionalFormatting sqref="M261">
    <cfRule type="expression" priority="1043" aboveAverage="0" equalAverage="0" bottom="0" percent="0" rank="0" text="" dxfId="0">
      <formula>M261&gt;=20</formula>
    </cfRule>
    <cfRule type="expression" priority="1044" aboveAverage="0" equalAverage="0" bottom="0" percent="0" rank="0" text="" dxfId="1">
      <formula>AND(M261&gt;=10,M261&lt;20)</formula>
    </cfRule>
    <cfRule type="expression" priority="1045" aboveAverage="0" equalAverage="0" bottom="0" percent="0" rank="0" text="" dxfId="2">
      <formula>AND(M261&gt;=5,M261&lt;10)</formula>
    </cfRule>
    <cfRule type="expression" priority="1046" aboveAverage="0" equalAverage="0" bottom="0" percent="0" rank="0" text="" dxfId="3">
      <formula>AND(M261&gt;=1,M261&lt;5)</formula>
    </cfRule>
  </conditionalFormatting>
  <conditionalFormatting sqref="M262">
    <cfRule type="expression" priority="1047" aboveAverage="0" equalAverage="0" bottom="0" percent="0" rank="0" text="" dxfId="0">
      <formula>M262&gt;=20</formula>
    </cfRule>
    <cfRule type="expression" priority="1048" aboveAverage="0" equalAverage="0" bottom="0" percent="0" rank="0" text="" dxfId="1">
      <formula>AND(M262&gt;=10,M262&lt;20)</formula>
    </cfRule>
    <cfRule type="expression" priority="1049" aboveAverage="0" equalAverage="0" bottom="0" percent="0" rank="0" text="" dxfId="2">
      <formula>AND(M262&gt;=5,M262&lt;10)</formula>
    </cfRule>
    <cfRule type="expression" priority="1050" aboveAverage="0" equalAverage="0" bottom="0" percent="0" rank="0" text="" dxfId="3">
      <formula>AND(M262&gt;=1,M262&lt;5)</formula>
    </cfRule>
  </conditionalFormatting>
  <conditionalFormatting sqref="M263">
    <cfRule type="expression" priority="1051" aboveAverage="0" equalAverage="0" bottom="0" percent="0" rank="0" text="" dxfId="0">
      <formula>M263&gt;=20</formula>
    </cfRule>
    <cfRule type="expression" priority="1052" aboveAverage="0" equalAverage="0" bottom="0" percent="0" rank="0" text="" dxfId="1">
      <formula>AND(M263&gt;=10,M263&lt;20)</formula>
    </cfRule>
    <cfRule type="expression" priority="1053" aboveAverage="0" equalAverage="0" bottom="0" percent="0" rank="0" text="" dxfId="2">
      <formula>AND(M263&gt;=5,M263&lt;10)</formula>
    </cfRule>
    <cfRule type="expression" priority="1054" aboveAverage="0" equalAverage="0" bottom="0" percent="0" rank="0" text="" dxfId="3">
      <formula>AND(M263&gt;=1,M263&lt;5)</formula>
    </cfRule>
  </conditionalFormatting>
  <conditionalFormatting sqref="M264">
    <cfRule type="expression" priority="1055" aboveAverage="0" equalAverage="0" bottom="0" percent="0" rank="0" text="" dxfId="0">
      <formula>M264&gt;=20</formula>
    </cfRule>
    <cfRule type="expression" priority="1056" aboveAverage="0" equalAverage="0" bottom="0" percent="0" rank="0" text="" dxfId="1">
      <formula>AND(M264&gt;=10,M264&lt;20)</formula>
    </cfRule>
    <cfRule type="expression" priority="1057" aboveAverage="0" equalAverage="0" bottom="0" percent="0" rank="0" text="" dxfId="2">
      <formula>AND(M264&gt;=5,M264&lt;10)</formula>
    </cfRule>
    <cfRule type="expression" priority="1058" aboveAverage="0" equalAverage="0" bottom="0" percent="0" rank="0" text="" dxfId="3">
      <formula>AND(M264&gt;=1,M264&lt;5)</formula>
    </cfRule>
  </conditionalFormatting>
  <conditionalFormatting sqref="M265">
    <cfRule type="expression" priority="1059" aboveAverage="0" equalAverage="0" bottom="0" percent="0" rank="0" text="" dxfId="0">
      <formula>M265&gt;=20</formula>
    </cfRule>
    <cfRule type="expression" priority="1060" aboveAverage="0" equalAverage="0" bottom="0" percent="0" rank="0" text="" dxfId="1">
      <formula>AND(M265&gt;=10,M265&lt;20)</formula>
    </cfRule>
    <cfRule type="expression" priority="1061" aboveAverage="0" equalAverage="0" bottom="0" percent="0" rank="0" text="" dxfId="2">
      <formula>AND(M265&gt;=5,M265&lt;10)</formula>
    </cfRule>
    <cfRule type="expression" priority="1062" aboveAverage="0" equalAverage="0" bottom="0" percent="0" rank="0" text="" dxfId="3">
      <formula>AND(M265&gt;=1,M265&lt;5)</formula>
    </cfRule>
  </conditionalFormatting>
  <conditionalFormatting sqref="M266">
    <cfRule type="expression" priority="1063" aboveAverage="0" equalAverage="0" bottom="0" percent="0" rank="0" text="" dxfId="0">
      <formula>M266&gt;=20</formula>
    </cfRule>
    <cfRule type="expression" priority="1064" aboveAverage="0" equalAverage="0" bottom="0" percent="0" rank="0" text="" dxfId="1">
      <formula>AND(M266&gt;=10,M266&lt;20)</formula>
    </cfRule>
    <cfRule type="expression" priority="1065" aboveAverage="0" equalAverage="0" bottom="0" percent="0" rank="0" text="" dxfId="2">
      <formula>AND(M266&gt;=5,M266&lt;10)</formula>
    </cfRule>
    <cfRule type="expression" priority="1066" aboveAverage="0" equalAverage="0" bottom="0" percent="0" rank="0" text="" dxfId="3">
      <formula>AND(M266&gt;=1,M266&lt;5)</formula>
    </cfRule>
  </conditionalFormatting>
  <conditionalFormatting sqref="M267">
    <cfRule type="expression" priority="1067" aboveAverage="0" equalAverage="0" bottom="0" percent="0" rank="0" text="" dxfId="0">
      <formula>M267&gt;=20</formula>
    </cfRule>
    <cfRule type="expression" priority="1068" aboveAverage="0" equalAverage="0" bottom="0" percent="0" rank="0" text="" dxfId="1">
      <formula>AND(M267&gt;=10,M267&lt;20)</formula>
    </cfRule>
    <cfRule type="expression" priority="1069" aboveAverage="0" equalAverage="0" bottom="0" percent="0" rank="0" text="" dxfId="2">
      <formula>AND(M267&gt;=5,M267&lt;10)</formula>
    </cfRule>
    <cfRule type="expression" priority="1070" aboveAverage="0" equalAverage="0" bottom="0" percent="0" rank="0" text="" dxfId="3">
      <formula>AND(M267&gt;=1,M267&lt;5)</formula>
    </cfRule>
  </conditionalFormatting>
  <conditionalFormatting sqref="M268">
    <cfRule type="expression" priority="1071" aboveAverage="0" equalAverage="0" bottom="0" percent="0" rank="0" text="" dxfId="0">
      <formula>M268&gt;=20</formula>
    </cfRule>
    <cfRule type="expression" priority="1072" aboveAverage="0" equalAverage="0" bottom="0" percent="0" rank="0" text="" dxfId="1">
      <formula>AND(M268&gt;=10,M268&lt;20)</formula>
    </cfRule>
    <cfRule type="expression" priority="1073" aboveAverage="0" equalAverage="0" bottom="0" percent="0" rank="0" text="" dxfId="2">
      <formula>AND(M268&gt;=5,M268&lt;10)</formula>
    </cfRule>
    <cfRule type="expression" priority="1074" aboveAverage="0" equalAverage="0" bottom="0" percent="0" rank="0" text="" dxfId="3">
      <formula>AND(M268&gt;=1,M268&lt;5)</formula>
    </cfRule>
  </conditionalFormatting>
  <conditionalFormatting sqref="M269">
    <cfRule type="expression" priority="1075" aboveAverage="0" equalAverage="0" bottom="0" percent="0" rank="0" text="" dxfId="0">
      <formula>M269&gt;=20</formula>
    </cfRule>
    <cfRule type="expression" priority="1076" aboveAverage="0" equalAverage="0" bottom="0" percent="0" rank="0" text="" dxfId="1">
      <formula>AND(M269&gt;=10,M269&lt;20)</formula>
    </cfRule>
    <cfRule type="expression" priority="1077" aboveAverage="0" equalAverage="0" bottom="0" percent="0" rank="0" text="" dxfId="2">
      <formula>AND(M269&gt;=5,M269&lt;10)</formula>
    </cfRule>
    <cfRule type="expression" priority="1078" aboveAverage="0" equalAverage="0" bottom="0" percent="0" rank="0" text="" dxfId="3">
      <formula>AND(M269&gt;=1,M269&lt;5)</formula>
    </cfRule>
  </conditionalFormatting>
  <conditionalFormatting sqref="M270">
    <cfRule type="expression" priority="1079" aboveAverage="0" equalAverage="0" bottom="0" percent="0" rank="0" text="" dxfId="0">
      <formula>M270&gt;=20</formula>
    </cfRule>
    <cfRule type="expression" priority="1080" aboveAverage="0" equalAverage="0" bottom="0" percent="0" rank="0" text="" dxfId="1">
      <formula>AND(M270&gt;=10,M270&lt;20)</formula>
    </cfRule>
    <cfRule type="expression" priority="1081" aboveAverage="0" equalAverage="0" bottom="0" percent="0" rank="0" text="" dxfId="2">
      <formula>AND(M270&gt;=5,M270&lt;10)</formula>
    </cfRule>
    <cfRule type="expression" priority="1082" aboveAverage="0" equalAverage="0" bottom="0" percent="0" rank="0" text="" dxfId="3">
      <formula>AND(M270&gt;=1,M270&lt;5)</formula>
    </cfRule>
  </conditionalFormatting>
  <conditionalFormatting sqref="M271">
    <cfRule type="expression" priority="1083" aboveAverage="0" equalAverage="0" bottom="0" percent="0" rank="0" text="" dxfId="0">
      <formula>M271&gt;=20</formula>
    </cfRule>
    <cfRule type="expression" priority="1084" aboveAverage="0" equalAverage="0" bottom="0" percent="0" rank="0" text="" dxfId="1">
      <formula>AND(M271&gt;=10,M271&lt;20)</formula>
    </cfRule>
    <cfRule type="expression" priority="1085" aboveAverage="0" equalAverage="0" bottom="0" percent="0" rank="0" text="" dxfId="2">
      <formula>AND(M271&gt;=5,M271&lt;10)</formula>
    </cfRule>
    <cfRule type="expression" priority="1086" aboveAverage="0" equalAverage="0" bottom="0" percent="0" rank="0" text="" dxfId="3">
      <formula>AND(M271&gt;=1,M271&lt;5)</formula>
    </cfRule>
  </conditionalFormatting>
  <conditionalFormatting sqref="M272">
    <cfRule type="expression" priority="1087" aboveAverage="0" equalAverage="0" bottom="0" percent="0" rank="0" text="" dxfId="0">
      <formula>M272&gt;=20</formula>
    </cfRule>
    <cfRule type="expression" priority="1088" aboveAverage="0" equalAverage="0" bottom="0" percent="0" rank="0" text="" dxfId="1">
      <formula>AND(M272&gt;=10,M272&lt;20)</formula>
    </cfRule>
    <cfRule type="expression" priority="1089" aboveAverage="0" equalAverage="0" bottom="0" percent="0" rank="0" text="" dxfId="2">
      <formula>AND(M272&gt;=5,M272&lt;10)</formula>
    </cfRule>
    <cfRule type="expression" priority="1090" aboveAverage="0" equalAverage="0" bottom="0" percent="0" rank="0" text="" dxfId="3">
      <formula>AND(M272&gt;=1,M272&lt;5)</formula>
    </cfRule>
  </conditionalFormatting>
  <conditionalFormatting sqref="M273">
    <cfRule type="expression" priority="1091" aboveAverage="0" equalAverage="0" bottom="0" percent="0" rank="0" text="" dxfId="0">
      <formula>M273&gt;=20</formula>
    </cfRule>
    <cfRule type="expression" priority="1092" aboveAverage="0" equalAverage="0" bottom="0" percent="0" rank="0" text="" dxfId="1">
      <formula>AND(M273&gt;=10,M273&lt;20)</formula>
    </cfRule>
    <cfRule type="expression" priority="1093" aboveAverage="0" equalAverage="0" bottom="0" percent="0" rank="0" text="" dxfId="2">
      <formula>AND(M273&gt;=5,M273&lt;10)</formula>
    </cfRule>
    <cfRule type="expression" priority="1094" aboveAverage="0" equalAverage="0" bottom="0" percent="0" rank="0" text="" dxfId="3">
      <formula>AND(M273&gt;=1,M273&lt;5)</formula>
    </cfRule>
  </conditionalFormatting>
  <conditionalFormatting sqref="M274">
    <cfRule type="expression" priority="1095" aboveAverage="0" equalAverage="0" bottom="0" percent="0" rank="0" text="" dxfId="0">
      <formula>M274&gt;=20</formula>
    </cfRule>
    <cfRule type="expression" priority="1096" aboveAverage="0" equalAverage="0" bottom="0" percent="0" rank="0" text="" dxfId="1">
      <formula>AND(M274&gt;=10,M274&lt;20)</formula>
    </cfRule>
    <cfRule type="expression" priority="1097" aboveAverage="0" equalAverage="0" bottom="0" percent="0" rank="0" text="" dxfId="2">
      <formula>AND(M274&gt;=5,M274&lt;10)</formula>
    </cfRule>
    <cfRule type="expression" priority="1098" aboveAverage="0" equalAverage="0" bottom="0" percent="0" rank="0" text="" dxfId="3">
      <formula>AND(M274&gt;=1,M274&lt;5)</formula>
    </cfRule>
  </conditionalFormatting>
  <conditionalFormatting sqref="M275">
    <cfRule type="expression" priority="1099" aboveAverage="0" equalAverage="0" bottom="0" percent="0" rank="0" text="" dxfId="0">
      <formula>M275&gt;=20</formula>
    </cfRule>
    <cfRule type="expression" priority="1100" aboveAverage="0" equalAverage="0" bottom="0" percent="0" rank="0" text="" dxfId="1">
      <formula>AND(M275&gt;=10,M275&lt;20)</formula>
    </cfRule>
    <cfRule type="expression" priority="1101" aboveAverage="0" equalAverage="0" bottom="0" percent="0" rank="0" text="" dxfId="2">
      <formula>AND(M275&gt;=5,M275&lt;10)</formula>
    </cfRule>
    <cfRule type="expression" priority="1102" aboveAverage="0" equalAverage="0" bottom="0" percent="0" rank="0" text="" dxfId="3">
      <formula>AND(M275&gt;=1,M275&lt;5)</formula>
    </cfRule>
  </conditionalFormatting>
  <conditionalFormatting sqref="M276">
    <cfRule type="expression" priority="1103" aboveAverage="0" equalAverage="0" bottom="0" percent="0" rank="0" text="" dxfId="0">
      <formula>M276&gt;=20</formula>
    </cfRule>
    <cfRule type="expression" priority="1104" aboveAverage="0" equalAverage="0" bottom="0" percent="0" rank="0" text="" dxfId="1">
      <formula>AND(M276&gt;=10,M276&lt;20)</formula>
    </cfRule>
    <cfRule type="expression" priority="1105" aboveAverage="0" equalAverage="0" bottom="0" percent="0" rank="0" text="" dxfId="2">
      <formula>AND(M276&gt;=5,M276&lt;10)</formula>
    </cfRule>
    <cfRule type="expression" priority="1106" aboveAverage="0" equalAverage="0" bottom="0" percent="0" rank="0" text="" dxfId="3">
      <formula>AND(M276&gt;=1,M276&lt;5)</formula>
    </cfRule>
  </conditionalFormatting>
  <conditionalFormatting sqref="M277">
    <cfRule type="expression" priority="1107" aboveAverage="0" equalAverage="0" bottom="0" percent="0" rank="0" text="" dxfId="0">
      <formula>M277&gt;=20</formula>
    </cfRule>
    <cfRule type="expression" priority="1108" aboveAverage="0" equalAverage="0" bottom="0" percent="0" rank="0" text="" dxfId="1">
      <formula>AND(M277&gt;=10,M277&lt;20)</formula>
    </cfRule>
    <cfRule type="expression" priority="1109" aboveAverage="0" equalAverage="0" bottom="0" percent="0" rank="0" text="" dxfId="2">
      <formula>AND(M277&gt;=5,M277&lt;10)</formula>
    </cfRule>
    <cfRule type="expression" priority="1110" aboveAverage="0" equalAverage="0" bottom="0" percent="0" rank="0" text="" dxfId="3">
      <formula>AND(M277&gt;=1,M277&lt;5)</formula>
    </cfRule>
  </conditionalFormatting>
  <conditionalFormatting sqref="M278">
    <cfRule type="expression" priority="1111" aboveAverage="0" equalAverage="0" bottom="0" percent="0" rank="0" text="" dxfId="0">
      <formula>M278&gt;=20</formula>
    </cfRule>
    <cfRule type="expression" priority="1112" aboveAverage="0" equalAverage="0" bottom="0" percent="0" rank="0" text="" dxfId="1">
      <formula>AND(M278&gt;=10,M278&lt;20)</formula>
    </cfRule>
    <cfRule type="expression" priority="1113" aboveAverage="0" equalAverage="0" bottom="0" percent="0" rank="0" text="" dxfId="2">
      <formula>AND(M278&gt;=5,M278&lt;10)</formula>
    </cfRule>
    <cfRule type="expression" priority="1114" aboveAverage="0" equalAverage="0" bottom="0" percent="0" rank="0" text="" dxfId="3">
      <formula>AND(M278&gt;=1,M278&lt;5)</formula>
    </cfRule>
  </conditionalFormatting>
  <conditionalFormatting sqref="M279">
    <cfRule type="expression" priority="1115" aboveAverage="0" equalAverage="0" bottom="0" percent="0" rank="0" text="" dxfId="0">
      <formula>M279&gt;=20</formula>
    </cfRule>
    <cfRule type="expression" priority="1116" aboveAverage="0" equalAverage="0" bottom="0" percent="0" rank="0" text="" dxfId="1">
      <formula>AND(M279&gt;=10,M279&lt;20)</formula>
    </cfRule>
    <cfRule type="expression" priority="1117" aboveAverage="0" equalAverage="0" bottom="0" percent="0" rank="0" text="" dxfId="2">
      <formula>AND(M279&gt;=5,M279&lt;10)</formula>
    </cfRule>
    <cfRule type="expression" priority="1118" aboveAverage="0" equalAverage="0" bottom="0" percent="0" rank="0" text="" dxfId="3">
      <formula>AND(M279&gt;=1,M279&lt;5)</formula>
    </cfRule>
  </conditionalFormatting>
  <conditionalFormatting sqref="M280">
    <cfRule type="expression" priority="1119" aboveAverage="0" equalAverage="0" bottom="0" percent="0" rank="0" text="" dxfId="0">
      <formula>M280&gt;=20</formula>
    </cfRule>
    <cfRule type="expression" priority="1120" aboveAverage="0" equalAverage="0" bottom="0" percent="0" rank="0" text="" dxfId="1">
      <formula>AND(M280&gt;=10,M280&lt;20)</formula>
    </cfRule>
    <cfRule type="expression" priority="1121" aboveAverage="0" equalAverage="0" bottom="0" percent="0" rank="0" text="" dxfId="2">
      <formula>AND(M280&gt;=5,M280&lt;10)</formula>
    </cfRule>
    <cfRule type="expression" priority="1122" aboveAverage="0" equalAverage="0" bottom="0" percent="0" rank="0" text="" dxfId="3">
      <formula>AND(M280&gt;=1,M280&lt;5)</formula>
    </cfRule>
  </conditionalFormatting>
  <conditionalFormatting sqref="M281">
    <cfRule type="expression" priority="1123" aboveAverage="0" equalAverage="0" bottom="0" percent="0" rank="0" text="" dxfId="0">
      <formula>M281&gt;=20</formula>
    </cfRule>
    <cfRule type="expression" priority="1124" aboveAverage="0" equalAverage="0" bottom="0" percent="0" rank="0" text="" dxfId="1">
      <formula>AND(M281&gt;=10,M281&lt;20)</formula>
    </cfRule>
    <cfRule type="expression" priority="1125" aboveAverage="0" equalAverage="0" bottom="0" percent="0" rank="0" text="" dxfId="2">
      <formula>AND(M281&gt;=5,M281&lt;10)</formula>
    </cfRule>
    <cfRule type="expression" priority="1126" aboveAverage="0" equalAverage="0" bottom="0" percent="0" rank="0" text="" dxfId="3">
      <formula>AND(M281&gt;=1,M281&lt;5)</formula>
    </cfRule>
  </conditionalFormatting>
  <conditionalFormatting sqref="M282">
    <cfRule type="expression" priority="1127" aboveAverage="0" equalAverage="0" bottom="0" percent="0" rank="0" text="" dxfId="0">
      <formula>M282&gt;=20</formula>
    </cfRule>
    <cfRule type="expression" priority="1128" aboveAverage="0" equalAverage="0" bottom="0" percent="0" rank="0" text="" dxfId="1">
      <formula>AND(M282&gt;=10,M282&lt;20)</formula>
    </cfRule>
    <cfRule type="expression" priority="1129" aboveAverage="0" equalAverage="0" bottom="0" percent="0" rank="0" text="" dxfId="2">
      <formula>AND(M282&gt;=5,M282&lt;10)</formula>
    </cfRule>
    <cfRule type="expression" priority="1130" aboveAverage="0" equalAverage="0" bottom="0" percent="0" rank="0" text="" dxfId="3">
      <formula>AND(M282&gt;=1,M282&lt;5)</formula>
    </cfRule>
  </conditionalFormatting>
  <conditionalFormatting sqref="M283">
    <cfRule type="expression" priority="1131" aboveAverage="0" equalAverage="0" bottom="0" percent="0" rank="0" text="" dxfId="0">
      <formula>M283&gt;=20</formula>
    </cfRule>
    <cfRule type="expression" priority="1132" aboveAverage="0" equalAverage="0" bottom="0" percent="0" rank="0" text="" dxfId="1">
      <formula>AND(M283&gt;=10,M283&lt;20)</formula>
    </cfRule>
    <cfRule type="expression" priority="1133" aboveAverage="0" equalAverage="0" bottom="0" percent="0" rank="0" text="" dxfId="2">
      <formula>AND(M283&gt;=5,M283&lt;10)</formula>
    </cfRule>
    <cfRule type="expression" priority="1134" aboveAverage="0" equalAverage="0" bottom="0" percent="0" rank="0" text="" dxfId="3">
      <formula>AND(M283&gt;=1,M283&lt;5)</formula>
    </cfRule>
  </conditionalFormatting>
  <conditionalFormatting sqref="M284">
    <cfRule type="expression" priority="1135" aboveAverage="0" equalAverage="0" bottom="0" percent="0" rank="0" text="" dxfId="0">
      <formula>M284&gt;=20</formula>
    </cfRule>
    <cfRule type="expression" priority="1136" aboveAverage="0" equalAverage="0" bottom="0" percent="0" rank="0" text="" dxfId="1">
      <formula>AND(M284&gt;=10,M284&lt;20)</formula>
    </cfRule>
    <cfRule type="expression" priority="1137" aboveAverage="0" equalAverage="0" bottom="0" percent="0" rank="0" text="" dxfId="2">
      <formula>AND(M284&gt;=5,M284&lt;10)</formula>
    </cfRule>
    <cfRule type="expression" priority="1138" aboveAverage="0" equalAverage="0" bottom="0" percent="0" rank="0" text="" dxfId="3">
      <formula>AND(M284&gt;=1,M284&lt;5)</formula>
    </cfRule>
  </conditionalFormatting>
  <conditionalFormatting sqref="M285">
    <cfRule type="expression" priority="1139" aboveAverage="0" equalAverage="0" bottom="0" percent="0" rank="0" text="" dxfId="0">
      <formula>M285&gt;=20</formula>
    </cfRule>
    <cfRule type="expression" priority="1140" aboveAverage="0" equalAverage="0" bottom="0" percent="0" rank="0" text="" dxfId="1">
      <formula>AND(M285&gt;=10,M285&lt;20)</formula>
    </cfRule>
    <cfRule type="expression" priority="1141" aboveAverage="0" equalAverage="0" bottom="0" percent="0" rank="0" text="" dxfId="2">
      <formula>AND(M285&gt;=5,M285&lt;10)</formula>
    </cfRule>
    <cfRule type="expression" priority="1142" aboveAverage="0" equalAverage="0" bottom="0" percent="0" rank="0" text="" dxfId="3">
      <formula>AND(M285&gt;=1,M285&lt;5)</formula>
    </cfRule>
  </conditionalFormatting>
  <conditionalFormatting sqref="M286">
    <cfRule type="expression" priority="1143" aboveAverage="0" equalAverage="0" bottom="0" percent="0" rank="0" text="" dxfId="0">
      <formula>M286&gt;=20</formula>
    </cfRule>
    <cfRule type="expression" priority="1144" aboveAverage="0" equalAverage="0" bottom="0" percent="0" rank="0" text="" dxfId="1">
      <formula>AND(M286&gt;=10,M286&lt;20)</formula>
    </cfRule>
    <cfRule type="expression" priority="1145" aboveAverage="0" equalAverage="0" bottom="0" percent="0" rank="0" text="" dxfId="2">
      <formula>AND(M286&gt;=5,M286&lt;10)</formula>
    </cfRule>
    <cfRule type="expression" priority="1146" aboveAverage="0" equalAverage="0" bottom="0" percent="0" rank="0" text="" dxfId="3">
      <formula>AND(M286&gt;=1,M286&lt;5)</formula>
    </cfRule>
  </conditionalFormatting>
  <conditionalFormatting sqref="M287">
    <cfRule type="expression" priority="1147" aboveAverage="0" equalAverage="0" bottom="0" percent="0" rank="0" text="" dxfId="0">
      <formula>M287&gt;=20</formula>
    </cfRule>
    <cfRule type="expression" priority="1148" aboveAverage="0" equalAverage="0" bottom="0" percent="0" rank="0" text="" dxfId="1">
      <formula>AND(M287&gt;=10,M287&lt;20)</formula>
    </cfRule>
    <cfRule type="expression" priority="1149" aboveAverage="0" equalAverage="0" bottom="0" percent="0" rank="0" text="" dxfId="2">
      <formula>AND(M287&gt;=5,M287&lt;10)</formula>
    </cfRule>
    <cfRule type="expression" priority="1150" aboveAverage="0" equalAverage="0" bottom="0" percent="0" rank="0" text="" dxfId="3">
      <formula>AND(M287&gt;=1,M287&lt;5)</formula>
    </cfRule>
  </conditionalFormatting>
  <conditionalFormatting sqref="M288">
    <cfRule type="expression" priority="1151" aboveAverage="0" equalAverage="0" bottom="0" percent="0" rank="0" text="" dxfId="0">
      <formula>M288&gt;=20</formula>
    </cfRule>
    <cfRule type="expression" priority="1152" aboveAverage="0" equalAverage="0" bottom="0" percent="0" rank="0" text="" dxfId="1">
      <formula>AND(M288&gt;=10,M288&lt;20)</formula>
    </cfRule>
    <cfRule type="expression" priority="1153" aboveAverage="0" equalAverage="0" bottom="0" percent="0" rank="0" text="" dxfId="2">
      <formula>AND(M288&gt;=5,M288&lt;10)</formula>
    </cfRule>
    <cfRule type="expression" priority="1154" aboveAverage="0" equalAverage="0" bottom="0" percent="0" rank="0" text="" dxfId="3">
      <formula>AND(M288&gt;=1,M288&lt;5)</formula>
    </cfRule>
  </conditionalFormatting>
  <conditionalFormatting sqref="M289">
    <cfRule type="expression" priority="1155" aboveAverage="0" equalAverage="0" bottom="0" percent="0" rank="0" text="" dxfId="0">
      <formula>M289&gt;=20</formula>
    </cfRule>
    <cfRule type="expression" priority="1156" aboveAverage="0" equalAverage="0" bottom="0" percent="0" rank="0" text="" dxfId="1">
      <formula>AND(M289&gt;=10,M289&lt;20)</formula>
    </cfRule>
    <cfRule type="expression" priority="1157" aboveAverage="0" equalAverage="0" bottom="0" percent="0" rank="0" text="" dxfId="2">
      <formula>AND(M289&gt;=5,M289&lt;10)</formula>
    </cfRule>
    <cfRule type="expression" priority="1158" aboveAverage="0" equalAverage="0" bottom="0" percent="0" rank="0" text="" dxfId="3">
      <formula>AND(M289&gt;=1,M289&lt;5)</formula>
    </cfRule>
  </conditionalFormatting>
  <conditionalFormatting sqref="M290">
    <cfRule type="expression" priority="1159" aboveAverage="0" equalAverage="0" bottom="0" percent="0" rank="0" text="" dxfId="0">
      <formula>M290&gt;=20</formula>
    </cfRule>
    <cfRule type="expression" priority="1160" aboveAverage="0" equalAverage="0" bottom="0" percent="0" rank="0" text="" dxfId="1">
      <formula>AND(M290&gt;=10,M290&lt;20)</formula>
    </cfRule>
    <cfRule type="expression" priority="1161" aboveAverage="0" equalAverage="0" bottom="0" percent="0" rank="0" text="" dxfId="2">
      <formula>AND(M290&gt;=5,M290&lt;10)</formula>
    </cfRule>
    <cfRule type="expression" priority="1162" aboveAverage="0" equalAverage="0" bottom="0" percent="0" rank="0" text="" dxfId="3">
      <formula>AND(M290&gt;=1,M290&lt;5)</formula>
    </cfRule>
  </conditionalFormatting>
  <conditionalFormatting sqref="M291">
    <cfRule type="expression" priority="1163" aboveAverage="0" equalAverage="0" bottom="0" percent="0" rank="0" text="" dxfId="0">
      <formula>M291&gt;=20</formula>
    </cfRule>
    <cfRule type="expression" priority="1164" aboveAverage="0" equalAverage="0" bottom="0" percent="0" rank="0" text="" dxfId="1">
      <formula>AND(M291&gt;=10,M291&lt;20)</formula>
    </cfRule>
    <cfRule type="expression" priority="1165" aboveAverage="0" equalAverage="0" bottom="0" percent="0" rank="0" text="" dxfId="2">
      <formula>AND(M291&gt;=5,M291&lt;10)</formula>
    </cfRule>
    <cfRule type="expression" priority="1166" aboveAverage="0" equalAverage="0" bottom="0" percent="0" rank="0" text="" dxfId="3">
      <formula>AND(M291&gt;=1,M291&lt;5)</formula>
    </cfRule>
  </conditionalFormatting>
  <conditionalFormatting sqref="M292">
    <cfRule type="expression" priority="1167" aboveAverage="0" equalAverage="0" bottom="0" percent="0" rank="0" text="" dxfId="0">
      <formula>M292&gt;=20</formula>
    </cfRule>
    <cfRule type="expression" priority="1168" aboveAverage="0" equalAverage="0" bottom="0" percent="0" rank="0" text="" dxfId="1">
      <formula>AND(M292&gt;=10,M292&lt;20)</formula>
    </cfRule>
    <cfRule type="expression" priority="1169" aboveAverage="0" equalAverage="0" bottom="0" percent="0" rank="0" text="" dxfId="2">
      <formula>AND(M292&gt;=5,M292&lt;10)</formula>
    </cfRule>
    <cfRule type="expression" priority="1170" aboveAverage="0" equalAverage="0" bottom="0" percent="0" rank="0" text="" dxfId="3">
      <formula>AND(M292&gt;=1,M292&lt;5)</formula>
    </cfRule>
  </conditionalFormatting>
  <conditionalFormatting sqref="M293">
    <cfRule type="expression" priority="1171" aboveAverage="0" equalAverage="0" bottom="0" percent="0" rank="0" text="" dxfId="0">
      <formula>M293&gt;=20</formula>
    </cfRule>
    <cfRule type="expression" priority="1172" aboveAverage="0" equalAverage="0" bottom="0" percent="0" rank="0" text="" dxfId="1">
      <formula>AND(M293&gt;=10,M293&lt;20)</formula>
    </cfRule>
    <cfRule type="expression" priority="1173" aboveAverage="0" equalAverage="0" bottom="0" percent="0" rank="0" text="" dxfId="2">
      <formula>AND(M293&gt;=5,M293&lt;10)</formula>
    </cfRule>
    <cfRule type="expression" priority="1174" aboveAverage="0" equalAverage="0" bottom="0" percent="0" rank="0" text="" dxfId="3">
      <formula>AND(M293&gt;=1,M293&lt;5)</formula>
    </cfRule>
  </conditionalFormatting>
  <conditionalFormatting sqref="M294">
    <cfRule type="expression" priority="1175" aboveAverage="0" equalAverage="0" bottom="0" percent="0" rank="0" text="" dxfId="0">
      <formula>M294&gt;=20</formula>
    </cfRule>
    <cfRule type="expression" priority="1176" aboveAverage="0" equalAverage="0" bottom="0" percent="0" rank="0" text="" dxfId="1">
      <formula>AND(M294&gt;=10,M294&lt;20)</formula>
    </cfRule>
    <cfRule type="expression" priority="1177" aboveAverage="0" equalAverage="0" bottom="0" percent="0" rank="0" text="" dxfId="2">
      <formula>AND(M294&gt;=5,M294&lt;10)</formula>
    </cfRule>
    <cfRule type="expression" priority="1178" aboveAverage="0" equalAverage="0" bottom="0" percent="0" rank="0" text="" dxfId="3">
      <formula>AND(M294&gt;=1,M294&lt;5)</formula>
    </cfRule>
  </conditionalFormatting>
  <conditionalFormatting sqref="M295">
    <cfRule type="expression" priority="1179" aboveAverage="0" equalAverage="0" bottom="0" percent="0" rank="0" text="" dxfId="0">
      <formula>M295&gt;=20</formula>
    </cfRule>
    <cfRule type="expression" priority="1180" aboveAverage="0" equalAverage="0" bottom="0" percent="0" rank="0" text="" dxfId="1">
      <formula>AND(M295&gt;=10,M295&lt;20)</formula>
    </cfRule>
    <cfRule type="expression" priority="1181" aboveAverage="0" equalAverage="0" bottom="0" percent="0" rank="0" text="" dxfId="2">
      <formula>AND(M295&gt;=5,M295&lt;10)</formula>
    </cfRule>
    <cfRule type="expression" priority="1182" aboveAverage="0" equalAverage="0" bottom="0" percent="0" rank="0" text="" dxfId="3">
      <formula>AND(M295&gt;=1,M295&lt;5)</formula>
    </cfRule>
  </conditionalFormatting>
  <conditionalFormatting sqref="M296">
    <cfRule type="expression" priority="1183" aboveAverage="0" equalAverage="0" bottom="0" percent="0" rank="0" text="" dxfId="0">
      <formula>M296&gt;=20</formula>
    </cfRule>
    <cfRule type="expression" priority="1184" aboveAverage="0" equalAverage="0" bottom="0" percent="0" rank="0" text="" dxfId="1">
      <formula>AND(M296&gt;=10,M296&lt;20)</formula>
    </cfRule>
    <cfRule type="expression" priority="1185" aboveAverage="0" equalAverage="0" bottom="0" percent="0" rank="0" text="" dxfId="2">
      <formula>AND(M296&gt;=5,M296&lt;10)</formula>
    </cfRule>
    <cfRule type="expression" priority="1186" aboveAverage="0" equalAverage="0" bottom="0" percent="0" rank="0" text="" dxfId="3">
      <formula>AND(M296&gt;=1,M296&lt;5)</formula>
    </cfRule>
  </conditionalFormatting>
  <conditionalFormatting sqref="M297">
    <cfRule type="expression" priority="1187" aboveAverage="0" equalAverage="0" bottom="0" percent="0" rank="0" text="" dxfId="0">
      <formula>M297&gt;=20</formula>
    </cfRule>
    <cfRule type="expression" priority="1188" aboveAverage="0" equalAverage="0" bottom="0" percent="0" rank="0" text="" dxfId="1">
      <formula>AND(M297&gt;=10,M297&lt;20)</formula>
    </cfRule>
    <cfRule type="expression" priority="1189" aboveAverage="0" equalAverage="0" bottom="0" percent="0" rank="0" text="" dxfId="2">
      <formula>AND(M297&gt;=5,M297&lt;10)</formula>
    </cfRule>
    <cfRule type="expression" priority="1190" aboveAverage="0" equalAverage="0" bottom="0" percent="0" rank="0" text="" dxfId="3">
      <formula>AND(M297&gt;=1,M297&lt;5)</formula>
    </cfRule>
  </conditionalFormatting>
  <conditionalFormatting sqref="M298">
    <cfRule type="expression" priority="1191" aboveAverage="0" equalAverage="0" bottom="0" percent="0" rank="0" text="" dxfId="0">
      <formula>M298&gt;=20</formula>
    </cfRule>
    <cfRule type="expression" priority="1192" aboveAverage="0" equalAverage="0" bottom="0" percent="0" rank="0" text="" dxfId="1">
      <formula>AND(M298&gt;=10,M298&lt;20)</formula>
    </cfRule>
    <cfRule type="expression" priority="1193" aboveAverage="0" equalAverage="0" bottom="0" percent="0" rank="0" text="" dxfId="2">
      <formula>AND(M298&gt;=5,M298&lt;10)</formula>
    </cfRule>
    <cfRule type="expression" priority="1194" aboveAverage="0" equalAverage="0" bottom="0" percent="0" rank="0" text="" dxfId="3">
      <formula>AND(M298&gt;=1,M298&lt;5)</formula>
    </cfRule>
  </conditionalFormatting>
  <conditionalFormatting sqref="M299">
    <cfRule type="expression" priority="1195" aboveAverage="0" equalAverage="0" bottom="0" percent="0" rank="0" text="" dxfId="0">
      <formula>M299&gt;=20</formula>
    </cfRule>
    <cfRule type="expression" priority="1196" aboveAverage="0" equalAverage="0" bottom="0" percent="0" rank="0" text="" dxfId="1">
      <formula>AND(M299&gt;=10,M299&lt;20)</formula>
    </cfRule>
    <cfRule type="expression" priority="1197" aboveAverage="0" equalAverage="0" bottom="0" percent="0" rank="0" text="" dxfId="2">
      <formula>AND(M299&gt;=5,M299&lt;10)</formula>
    </cfRule>
    <cfRule type="expression" priority="1198" aboveAverage="0" equalAverage="0" bottom="0" percent="0" rank="0" text="" dxfId="3">
      <formula>AND(M299&gt;=1,M299&lt;5)</formula>
    </cfRule>
  </conditionalFormatting>
  <conditionalFormatting sqref="M300">
    <cfRule type="expression" priority="1199" aboveAverage="0" equalAverage="0" bottom="0" percent="0" rank="0" text="" dxfId="0">
      <formula>M300&gt;=20</formula>
    </cfRule>
    <cfRule type="expression" priority="1200" aboveAverage="0" equalAverage="0" bottom="0" percent="0" rank="0" text="" dxfId="1">
      <formula>AND(M300&gt;=10,M300&lt;20)</formula>
    </cfRule>
    <cfRule type="expression" priority="1201" aboveAverage="0" equalAverage="0" bottom="0" percent="0" rank="0" text="" dxfId="2">
      <formula>AND(M300&gt;=5,M300&lt;10)</formula>
    </cfRule>
    <cfRule type="expression" priority="1202" aboveAverage="0" equalAverage="0" bottom="0" percent="0" rank="0" text="" dxfId="3">
      <formula>AND(M300&gt;=1,M300&lt;5)</formula>
    </cfRule>
  </conditionalFormatting>
  <conditionalFormatting sqref="M301">
    <cfRule type="expression" priority="1203" aboveAverage="0" equalAverage="0" bottom="0" percent="0" rank="0" text="" dxfId="0">
      <formula>M301&gt;=20</formula>
    </cfRule>
    <cfRule type="expression" priority="1204" aboveAverage="0" equalAverage="0" bottom="0" percent="0" rank="0" text="" dxfId="1">
      <formula>AND(M301&gt;=10,M301&lt;20)</formula>
    </cfRule>
    <cfRule type="expression" priority="1205" aboveAverage="0" equalAverage="0" bottom="0" percent="0" rank="0" text="" dxfId="2">
      <formula>AND(M301&gt;=5,M301&lt;10)</formula>
    </cfRule>
    <cfRule type="expression" priority="1206" aboveAverage="0" equalAverage="0" bottom="0" percent="0" rank="0" text="" dxfId="3">
      <formula>AND(M301&gt;=1,M301&lt;5)</formula>
    </cfRule>
  </conditionalFormatting>
  <conditionalFormatting sqref="M302">
    <cfRule type="expression" priority="1207" aboveAverage="0" equalAverage="0" bottom="0" percent="0" rank="0" text="" dxfId="0">
      <formula>M302&gt;=20</formula>
    </cfRule>
    <cfRule type="expression" priority="1208" aboveAverage="0" equalAverage="0" bottom="0" percent="0" rank="0" text="" dxfId="1">
      <formula>AND(M302&gt;=10,M302&lt;20)</formula>
    </cfRule>
    <cfRule type="expression" priority="1209" aboveAverage="0" equalAverage="0" bottom="0" percent="0" rank="0" text="" dxfId="2">
      <formula>AND(M302&gt;=5,M302&lt;10)</formula>
    </cfRule>
    <cfRule type="expression" priority="1210" aboveAverage="0" equalAverage="0" bottom="0" percent="0" rank="0" text="" dxfId="3">
      <formula>AND(M302&gt;=1,M302&lt;5)</formula>
    </cfRule>
  </conditionalFormatting>
  <conditionalFormatting sqref="M303">
    <cfRule type="expression" priority="1211" aboveAverage="0" equalAverage="0" bottom="0" percent="0" rank="0" text="" dxfId="0">
      <formula>M303&gt;=20</formula>
    </cfRule>
    <cfRule type="expression" priority="1212" aboveAverage="0" equalAverage="0" bottom="0" percent="0" rank="0" text="" dxfId="1">
      <formula>AND(M303&gt;=10,M303&lt;20)</formula>
    </cfRule>
    <cfRule type="expression" priority="1213" aboveAverage="0" equalAverage="0" bottom="0" percent="0" rank="0" text="" dxfId="2">
      <formula>AND(M303&gt;=5,M303&lt;10)</formula>
    </cfRule>
    <cfRule type="expression" priority="1214" aboveAverage="0" equalAverage="0" bottom="0" percent="0" rank="0" text="" dxfId="3">
      <formula>AND(M303&gt;=1,M303&lt;5)</formula>
    </cfRule>
  </conditionalFormatting>
  <conditionalFormatting sqref="M304">
    <cfRule type="expression" priority="1215" aboveAverage="0" equalAverage="0" bottom="0" percent="0" rank="0" text="" dxfId="0">
      <formula>M304&gt;=20</formula>
    </cfRule>
    <cfRule type="expression" priority="1216" aboveAverage="0" equalAverage="0" bottom="0" percent="0" rank="0" text="" dxfId="1">
      <formula>AND(M304&gt;=10,M304&lt;20)</formula>
    </cfRule>
    <cfRule type="expression" priority="1217" aboveAverage="0" equalAverage="0" bottom="0" percent="0" rank="0" text="" dxfId="2">
      <formula>AND(M304&gt;=5,M304&lt;10)</formula>
    </cfRule>
    <cfRule type="expression" priority="1218" aboveAverage="0" equalAverage="0" bottom="0" percent="0" rank="0" text="" dxfId="3">
      <formula>AND(M304&gt;=1,M304&lt;5)</formula>
    </cfRule>
  </conditionalFormatting>
  <conditionalFormatting sqref="M305">
    <cfRule type="expression" priority="1219" aboveAverage="0" equalAverage="0" bottom="0" percent="0" rank="0" text="" dxfId="0">
      <formula>M305&gt;=20</formula>
    </cfRule>
    <cfRule type="expression" priority="1220" aboveAverage="0" equalAverage="0" bottom="0" percent="0" rank="0" text="" dxfId="1">
      <formula>AND(M305&gt;=10,M305&lt;20)</formula>
    </cfRule>
    <cfRule type="expression" priority="1221" aboveAverage="0" equalAverage="0" bottom="0" percent="0" rank="0" text="" dxfId="2">
      <formula>AND(M305&gt;=5,M305&lt;10)</formula>
    </cfRule>
    <cfRule type="expression" priority="1222" aboveAverage="0" equalAverage="0" bottom="0" percent="0" rank="0" text="" dxfId="3">
      <formula>AND(M305&gt;=1,M305&lt;5)</formula>
    </cfRule>
  </conditionalFormatting>
  <conditionalFormatting sqref="M306">
    <cfRule type="expression" priority="1223" aboveAverage="0" equalAverage="0" bottom="0" percent="0" rank="0" text="" dxfId="0">
      <formula>M306&gt;=20</formula>
    </cfRule>
    <cfRule type="expression" priority="1224" aboveAverage="0" equalAverage="0" bottom="0" percent="0" rank="0" text="" dxfId="1">
      <formula>AND(M306&gt;=10,M306&lt;20)</formula>
    </cfRule>
    <cfRule type="expression" priority="1225" aboveAverage="0" equalAverage="0" bottom="0" percent="0" rank="0" text="" dxfId="2">
      <formula>AND(M306&gt;=5,M306&lt;10)</formula>
    </cfRule>
    <cfRule type="expression" priority="1226" aboveAverage="0" equalAverage="0" bottom="0" percent="0" rank="0" text="" dxfId="3">
      <formula>AND(M306&gt;=1,M306&lt;5)</formula>
    </cfRule>
  </conditionalFormatting>
  <conditionalFormatting sqref="M307">
    <cfRule type="expression" priority="1227" aboveAverage="0" equalAverage="0" bottom="0" percent="0" rank="0" text="" dxfId="0">
      <formula>M307&gt;=20</formula>
    </cfRule>
    <cfRule type="expression" priority="1228" aboveAverage="0" equalAverage="0" bottom="0" percent="0" rank="0" text="" dxfId="1">
      <formula>AND(M307&gt;=10,M307&lt;20)</formula>
    </cfRule>
    <cfRule type="expression" priority="1229" aboveAverage="0" equalAverage="0" bottom="0" percent="0" rank="0" text="" dxfId="2">
      <formula>AND(M307&gt;=5,M307&lt;10)</formula>
    </cfRule>
    <cfRule type="expression" priority="1230" aboveAverage="0" equalAverage="0" bottom="0" percent="0" rank="0" text="" dxfId="3">
      <formula>AND(M307&gt;=1,M307&lt;5)</formula>
    </cfRule>
  </conditionalFormatting>
  <conditionalFormatting sqref="M308">
    <cfRule type="expression" priority="1231" aboveAverage="0" equalAverage="0" bottom="0" percent="0" rank="0" text="" dxfId="0">
      <formula>M308&gt;=20</formula>
    </cfRule>
    <cfRule type="expression" priority="1232" aboveAverage="0" equalAverage="0" bottom="0" percent="0" rank="0" text="" dxfId="1">
      <formula>AND(M308&gt;=10,M308&lt;20)</formula>
    </cfRule>
    <cfRule type="expression" priority="1233" aboveAverage="0" equalAverage="0" bottom="0" percent="0" rank="0" text="" dxfId="2">
      <formula>AND(M308&gt;=5,M308&lt;10)</formula>
    </cfRule>
    <cfRule type="expression" priority="1234" aboveAverage="0" equalAverage="0" bottom="0" percent="0" rank="0" text="" dxfId="3">
      <formula>AND(M308&gt;=1,M308&lt;5)</formula>
    </cfRule>
  </conditionalFormatting>
  <conditionalFormatting sqref="M309">
    <cfRule type="expression" priority="1235" aboveAverage="0" equalAverage="0" bottom="0" percent="0" rank="0" text="" dxfId="0">
      <formula>M309&gt;=20</formula>
    </cfRule>
    <cfRule type="expression" priority="1236" aboveAverage="0" equalAverage="0" bottom="0" percent="0" rank="0" text="" dxfId="1">
      <formula>AND(M309&gt;=10,M309&lt;20)</formula>
    </cfRule>
    <cfRule type="expression" priority="1237" aboveAverage="0" equalAverage="0" bottom="0" percent="0" rank="0" text="" dxfId="2">
      <formula>AND(M309&gt;=5,M309&lt;10)</formula>
    </cfRule>
    <cfRule type="expression" priority="1238" aboveAverage="0" equalAverage="0" bottom="0" percent="0" rank="0" text="" dxfId="3">
      <formula>AND(M309&gt;=1,M309&lt;5)</formula>
    </cfRule>
  </conditionalFormatting>
  <conditionalFormatting sqref="M310">
    <cfRule type="expression" priority="1239" aboveAverage="0" equalAverage="0" bottom="0" percent="0" rank="0" text="" dxfId="0">
      <formula>M310&gt;=20</formula>
    </cfRule>
    <cfRule type="expression" priority="1240" aboveAverage="0" equalAverage="0" bottom="0" percent="0" rank="0" text="" dxfId="1">
      <formula>AND(M310&gt;=10,M310&lt;20)</formula>
    </cfRule>
    <cfRule type="expression" priority="1241" aboveAverage="0" equalAverage="0" bottom="0" percent="0" rank="0" text="" dxfId="2">
      <formula>AND(M310&gt;=5,M310&lt;10)</formula>
    </cfRule>
    <cfRule type="expression" priority="1242" aboveAverage="0" equalAverage="0" bottom="0" percent="0" rank="0" text="" dxfId="3">
      <formula>AND(M310&gt;=1,M310&lt;5)</formula>
    </cfRule>
  </conditionalFormatting>
  <conditionalFormatting sqref="M311">
    <cfRule type="expression" priority="1243" aboveAverage="0" equalAverage="0" bottom="0" percent="0" rank="0" text="" dxfId="0">
      <formula>M311&gt;=20</formula>
    </cfRule>
    <cfRule type="expression" priority="1244" aboveAverage="0" equalAverage="0" bottom="0" percent="0" rank="0" text="" dxfId="1">
      <formula>AND(M311&gt;=10,M311&lt;20)</formula>
    </cfRule>
    <cfRule type="expression" priority="1245" aboveAverage="0" equalAverage="0" bottom="0" percent="0" rank="0" text="" dxfId="2">
      <formula>AND(M311&gt;=5,M311&lt;10)</formula>
    </cfRule>
    <cfRule type="expression" priority="1246" aboveAverage="0" equalAverage="0" bottom="0" percent="0" rank="0" text="" dxfId="3">
      <formula>AND(M311&gt;=1,M311&lt;5)</formula>
    </cfRule>
  </conditionalFormatting>
  <conditionalFormatting sqref="M312">
    <cfRule type="expression" priority="1247" aboveAverage="0" equalAverage="0" bottom="0" percent="0" rank="0" text="" dxfId="0">
      <formula>M312&gt;=20</formula>
    </cfRule>
    <cfRule type="expression" priority="1248" aboveAverage="0" equalAverage="0" bottom="0" percent="0" rank="0" text="" dxfId="1">
      <formula>AND(M312&gt;=10,M312&lt;20)</formula>
    </cfRule>
    <cfRule type="expression" priority="1249" aboveAverage="0" equalAverage="0" bottom="0" percent="0" rank="0" text="" dxfId="2">
      <formula>AND(M312&gt;=5,M312&lt;10)</formula>
    </cfRule>
    <cfRule type="expression" priority="1250" aboveAverage="0" equalAverage="0" bottom="0" percent="0" rank="0" text="" dxfId="3">
      <formula>AND(M312&gt;=1,M312&lt;5)</formula>
    </cfRule>
  </conditionalFormatting>
  <conditionalFormatting sqref="M313">
    <cfRule type="expression" priority="1251" aboveAverage="0" equalAverage="0" bottom="0" percent="0" rank="0" text="" dxfId="0">
      <formula>M313&gt;=20</formula>
    </cfRule>
    <cfRule type="expression" priority="1252" aboveAverage="0" equalAverage="0" bottom="0" percent="0" rank="0" text="" dxfId="1">
      <formula>AND(M313&gt;=10,M313&lt;20)</formula>
    </cfRule>
    <cfRule type="expression" priority="1253" aboveAverage="0" equalAverage="0" bottom="0" percent="0" rank="0" text="" dxfId="2">
      <formula>AND(M313&gt;=5,M313&lt;10)</formula>
    </cfRule>
    <cfRule type="expression" priority="1254" aboveAverage="0" equalAverage="0" bottom="0" percent="0" rank="0" text="" dxfId="3">
      <formula>AND(M313&gt;=1,M313&lt;5)</formula>
    </cfRule>
  </conditionalFormatting>
  <conditionalFormatting sqref="M314">
    <cfRule type="expression" priority="1255" aboveAverage="0" equalAverage="0" bottom="0" percent="0" rank="0" text="" dxfId="0">
      <formula>M314&gt;=20</formula>
    </cfRule>
    <cfRule type="expression" priority="1256" aboveAverage="0" equalAverage="0" bottom="0" percent="0" rank="0" text="" dxfId="1">
      <formula>AND(M314&gt;=10,M314&lt;20)</formula>
    </cfRule>
    <cfRule type="expression" priority="1257" aboveAverage="0" equalAverage="0" bottom="0" percent="0" rank="0" text="" dxfId="2">
      <formula>AND(M314&gt;=5,M314&lt;10)</formula>
    </cfRule>
    <cfRule type="expression" priority="1258" aboveAverage="0" equalAverage="0" bottom="0" percent="0" rank="0" text="" dxfId="3">
      <formula>AND(M314&gt;=1,M314&lt;5)</formula>
    </cfRule>
  </conditionalFormatting>
  <conditionalFormatting sqref="M315">
    <cfRule type="expression" priority="1259" aboveAverage="0" equalAverage="0" bottom="0" percent="0" rank="0" text="" dxfId="0">
      <formula>M315&gt;=20</formula>
    </cfRule>
    <cfRule type="expression" priority="1260" aboveAverage="0" equalAverage="0" bottom="0" percent="0" rank="0" text="" dxfId="1">
      <formula>AND(M315&gt;=10,M315&lt;20)</formula>
    </cfRule>
    <cfRule type="expression" priority="1261" aboveAverage="0" equalAverage="0" bottom="0" percent="0" rank="0" text="" dxfId="2">
      <formula>AND(M315&gt;=5,M315&lt;10)</formula>
    </cfRule>
    <cfRule type="expression" priority="1262" aboveAverage="0" equalAverage="0" bottom="0" percent="0" rank="0" text="" dxfId="3">
      <formula>AND(M315&gt;=1,M315&lt;5)</formula>
    </cfRule>
  </conditionalFormatting>
  <conditionalFormatting sqref="M316">
    <cfRule type="expression" priority="1263" aboveAverage="0" equalAverage="0" bottom="0" percent="0" rank="0" text="" dxfId="0">
      <formula>M316&gt;=20</formula>
    </cfRule>
    <cfRule type="expression" priority="1264" aboveAverage="0" equalAverage="0" bottom="0" percent="0" rank="0" text="" dxfId="1">
      <formula>AND(M316&gt;=10,M316&lt;20)</formula>
    </cfRule>
    <cfRule type="expression" priority="1265" aboveAverage="0" equalAverage="0" bottom="0" percent="0" rank="0" text="" dxfId="2">
      <formula>AND(M316&gt;=5,M316&lt;10)</formula>
    </cfRule>
    <cfRule type="expression" priority="1266" aboveAverage="0" equalAverage="0" bottom="0" percent="0" rank="0" text="" dxfId="3">
      <formula>AND(M316&gt;=1,M316&lt;5)</formula>
    </cfRule>
  </conditionalFormatting>
  <conditionalFormatting sqref="M317">
    <cfRule type="expression" priority="1267" aboveAverage="0" equalAverage="0" bottom="0" percent="0" rank="0" text="" dxfId="0">
      <formula>M317&gt;=20</formula>
    </cfRule>
    <cfRule type="expression" priority="1268" aboveAverage="0" equalAverage="0" bottom="0" percent="0" rank="0" text="" dxfId="1">
      <formula>AND(M317&gt;=10,M317&lt;20)</formula>
    </cfRule>
    <cfRule type="expression" priority="1269" aboveAverage="0" equalAverage="0" bottom="0" percent="0" rank="0" text="" dxfId="2">
      <formula>AND(M317&gt;=5,M317&lt;10)</formula>
    </cfRule>
    <cfRule type="expression" priority="1270" aboveAverage="0" equalAverage="0" bottom="0" percent="0" rank="0" text="" dxfId="3">
      <formula>AND(M317&gt;=1,M317&lt;5)</formula>
    </cfRule>
  </conditionalFormatting>
  <conditionalFormatting sqref="M318">
    <cfRule type="expression" priority="1271" aboveAverage="0" equalAverage="0" bottom="0" percent="0" rank="0" text="" dxfId="0">
      <formula>M318&gt;=20</formula>
    </cfRule>
    <cfRule type="expression" priority="1272" aboveAverage="0" equalAverage="0" bottom="0" percent="0" rank="0" text="" dxfId="1">
      <formula>AND(M318&gt;=10,M318&lt;20)</formula>
    </cfRule>
    <cfRule type="expression" priority="1273" aboveAverage="0" equalAverage="0" bottom="0" percent="0" rank="0" text="" dxfId="2">
      <formula>AND(M318&gt;=5,M318&lt;10)</formula>
    </cfRule>
    <cfRule type="expression" priority="1274" aboveAverage="0" equalAverage="0" bottom="0" percent="0" rank="0" text="" dxfId="3">
      <formula>AND(M318&gt;=1,M318&lt;5)</formula>
    </cfRule>
  </conditionalFormatting>
  <conditionalFormatting sqref="M319">
    <cfRule type="expression" priority="1275" aboveAverage="0" equalAverage="0" bottom="0" percent="0" rank="0" text="" dxfId="0">
      <formula>M319&gt;=20</formula>
    </cfRule>
    <cfRule type="expression" priority="1276" aboveAverage="0" equalAverage="0" bottom="0" percent="0" rank="0" text="" dxfId="1">
      <formula>AND(M319&gt;=10,M319&lt;20)</formula>
    </cfRule>
    <cfRule type="expression" priority="1277" aboveAverage="0" equalAverage="0" bottom="0" percent="0" rank="0" text="" dxfId="2">
      <formula>AND(M319&gt;=5,M319&lt;10)</formula>
    </cfRule>
    <cfRule type="expression" priority="1278" aboveAverage="0" equalAverage="0" bottom="0" percent="0" rank="0" text="" dxfId="3">
      <formula>AND(M319&gt;=1,M319&lt;5)</formula>
    </cfRule>
  </conditionalFormatting>
  <conditionalFormatting sqref="M320">
    <cfRule type="expression" priority="1279" aboveAverage="0" equalAverage="0" bottom="0" percent="0" rank="0" text="" dxfId="0">
      <formula>M320&gt;=20</formula>
    </cfRule>
    <cfRule type="expression" priority="1280" aboveAverage="0" equalAverage="0" bottom="0" percent="0" rank="0" text="" dxfId="1">
      <formula>AND(M320&gt;=10,M320&lt;20)</formula>
    </cfRule>
    <cfRule type="expression" priority="1281" aboveAverage="0" equalAverage="0" bottom="0" percent="0" rank="0" text="" dxfId="2">
      <formula>AND(M320&gt;=5,M320&lt;10)</formula>
    </cfRule>
    <cfRule type="expression" priority="1282" aboveAverage="0" equalAverage="0" bottom="0" percent="0" rank="0" text="" dxfId="3">
      <formula>AND(M320&gt;=1,M320&lt;5)</formula>
    </cfRule>
  </conditionalFormatting>
  <conditionalFormatting sqref="M321">
    <cfRule type="expression" priority="1283" aboveAverage="0" equalAverage="0" bottom="0" percent="0" rank="0" text="" dxfId="0">
      <formula>M321&gt;=20</formula>
    </cfRule>
    <cfRule type="expression" priority="1284" aboveAverage="0" equalAverage="0" bottom="0" percent="0" rank="0" text="" dxfId="1">
      <formula>AND(M321&gt;=10,M321&lt;20)</formula>
    </cfRule>
    <cfRule type="expression" priority="1285" aboveAverage="0" equalAverage="0" bottom="0" percent="0" rank="0" text="" dxfId="2">
      <formula>AND(M321&gt;=5,M321&lt;10)</formula>
    </cfRule>
    <cfRule type="expression" priority="1286" aboveAverage="0" equalAverage="0" bottom="0" percent="0" rank="0" text="" dxfId="3">
      <formula>AND(M321&gt;=1,M321&lt;5)</formula>
    </cfRule>
  </conditionalFormatting>
  <conditionalFormatting sqref="M322">
    <cfRule type="expression" priority="1287" aboveAverage="0" equalAverage="0" bottom="0" percent="0" rank="0" text="" dxfId="0">
      <formula>M322&gt;=20</formula>
    </cfRule>
    <cfRule type="expression" priority="1288" aboveAverage="0" equalAverage="0" bottom="0" percent="0" rank="0" text="" dxfId="1">
      <formula>AND(M322&gt;=10,M322&lt;20)</formula>
    </cfRule>
    <cfRule type="expression" priority="1289" aboveAverage="0" equalAverage="0" bottom="0" percent="0" rank="0" text="" dxfId="2">
      <formula>AND(M322&gt;=5,M322&lt;10)</formula>
    </cfRule>
    <cfRule type="expression" priority="1290" aboveAverage="0" equalAverage="0" bottom="0" percent="0" rank="0" text="" dxfId="3">
      <formula>AND(M322&gt;=1,M322&lt;5)</formula>
    </cfRule>
  </conditionalFormatting>
  <conditionalFormatting sqref="M323">
    <cfRule type="expression" priority="1291" aboveAverage="0" equalAverage="0" bottom="0" percent="0" rank="0" text="" dxfId="0">
      <formula>M323&gt;=20</formula>
    </cfRule>
    <cfRule type="expression" priority="1292" aboveAverage="0" equalAverage="0" bottom="0" percent="0" rank="0" text="" dxfId="1">
      <formula>AND(M323&gt;=10,M323&lt;20)</formula>
    </cfRule>
    <cfRule type="expression" priority="1293" aboveAverage="0" equalAverage="0" bottom="0" percent="0" rank="0" text="" dxfId="2">
      <formula>AND(M323&gt;=5,M323&lt;10)</formula>
    </cfRule>
    <cfRule type="expression" priority="1294" aboveAverage="0" equalAverage="0" bottom="0" percent="0" rank="0" text="" dxfId="3">
      <formula>AND(M323&gt;=1,M323&lt;5)</formula>
    </cfRule>
  </conditionalFormatting>
  <conditionalFormatting sqref="M324">
    <cfRule type="expression" priority="1295" aboveAverage="0" equalAverage="0" bottom="0" percent="0" rank="0" text="" dxfId="0">
      <formula>M324&gt;=20</formula>
    </cfRule>
    <cfRule type="expression" priority="1296" aboveAverage="0" equalAverage="0" bottom="0" percent="0" rank="0" text="" dxfId="1">
      <formula>AND(M324&gt;=10,M324&lt;20)</formula>
    </cfRule>
    <cfRule type="expression" priority="1297" aboveAverage="0" equalAverage="0" bottom="0" percent="0" rank="0" text="" dxfId="2">
      <formula>AND(M324&gt;=5,M324&lt;10)</formula>
    </cfRule>
    <cfRule type="expression" priority="1298" aboveAverage="0" equalAverage="0" bottom="0" percent="0" rank="0" text="" dxfId="3">
      <formula>AND(M324&gt;=1,M324&lt;5)</formula>
    </cfRule>
  </conditionalFormatting>
  <conditionalFormatting sqref="M325">
    <cfRule type="expression" priority="1299" aboveAverage="0" equalAverage="0" bottom="0" percent="0" rank="0" text="" dxfId="0">
      <formula>M325&gt;=20</formula>
    </cfRule>
    <cfRule type="expression" priority="1300" aboveAverage="0" equalAverage="0" bottom="0" percent="0" rank="0" text="" dxfId="1">
      <formula>AND(M325&gt;=10,M325&lt;20)</formula>
    </cfRule>
    <cfRule type="expression" priority="1301" aboveAverage="0" equalAverage="0" bottom="0" percent="0" rank="0" text="" dxfId="2">
      <formula>AND(M325&gt;=5,M325&lt;10)</formula>
    </cfRule>
    <cfRule type="expression" priority="1302" aboveAverage="0" equalAverage="0" bottom="0" percent="0" rank="0" text="" dxfId="3">
      <formula>AND(M325&gt;=1,M325&lt;5)</formula>
    </cfRule>
  </conditionalFormatting>
  <conditionalFormatting sqref="M326">
    <cfRule type="expression" priority="1303" aboveAverage="0" equalAverage="0" bottom="0" percent="0" rank="0" text="" dxfId="0">
      <formula>M326&gt;=20</formula>
    </cfRule>
    <cfRule type="expression" priority="1304" aboveAverage="0" equalAverage="0" bottom="0" percent="0" rank="0" text="" dxfId="1">
      <formula>AND(M326&gt;=10,M326&lt;20)</formula>
    </cfRule>
    <cfRule type="expression" priority="1305" aboveAverage="0" equalAverage="0" bottom="0" percent="0" rank="0" text="" dxfId="2">
      <formula>AND(M326&gt;=5,M326&lt;10)</formula>
    </cfRule>
    <cfRule type="expression" priority="1306" aboveAverage="0" equalAverage="0" bottom="0" percent="0" rank="0" text="" dxfId="3">
      <formula>AND(M326&gt;=1,M326&lt;5)</formula>
    </cfRule>
  </conditionalFormatting>
  <conditionalFormatting sqref="M327">
    <cfRule type="expression" priority="1307" aboveAverage="0" equalAverage="0" bottom="0" percent="0" rank="0" text="" dxfId="0">
      <formula>M327&gt;=20</formula>
    </cfRule>
    <cfRule type="expression" priority="1308" aboveAverage="0" equalAverage="0" bottom="0" percent="0" rank="0" text="" dxfId="1">
      <formula>AND(M327&gt;=10,M327&lt;20)</formula>
    </cfRule>
    <cfRule type="expression" priority="1309" aboveAverage="0" equalAverage="0" bottom="0" percent="0" rank="0" text="" dxfId="2">
      <formula>AND(M327&gt;=5,M327&lt;10)</formula>
    </cfRule>
    <cfRule type="expression" priority="1310" aboveAverage="0" equalAverage="0" bottom="0" percent="0" rank="0" text="" dxfId="3">
      <formula>AND(M327&gt;=1,M327&lt;5)</formula>
    </cfRule>
  </conditionalFormatting>
  <conditionalFormatting sqref="M328">
    <cfRule type="expression" priority="1311" aboveAverage="0" equalAverage="0" bottom="0" percent="0" rank="0" text="" dxfId="0">
      <formula>M328&gt;=20</formula>
    </cfRule>
    <cfRule type="expression" priority="1312" aboveAverage="0" equalAverage="0" bottom="0" percent="0" rank="0" text="" dxfId="1">
      <formula>AND(M328&gt;=10,M328&lt;20)</formula>
    </cfRule>
    <cfRule type="expression" priority="1313" aboveAverage="0" equalAverage="0" bottom="0" percent="0" rank="0" text="" dxfId="2">
      <formula>AND(M328&gt;=5,M328&lt;10)</formula>
    </cfRule>
    <cfRule type="expression" priority="1314" aboveAverage="0" equalAverage="0" bottom="0" percent="0" rank="0" text="" dxfId="3">
      <formula>AND(M328&gt;=1,M328&lt;5)</formula>
    </cfRule>
  </conditionalFormatting>
  <conditionalFormatting sqref="M329">
    <cfRule type="expression" priority="1315" aboveAverage="0" equalAverage="0" bottom="0" percent="0" rank="0" text="" dxfId="0">
      <formula>M329&gt;=20</formula>
    </cfRule>
    <cfRule type="expression" priority="1316" aboveAverage="0" equalAverage="0" bottom="0" percent="0" rank="0" text="" dxfId="1">
      <formula>AND(M329&gt;=10,M329&lt;20)</formula>
    </cfRule>
    <cfRule type="expression" priority="1317" aboveAverage="0" equalAverage="0" bottom="0" percent="0" rank="0" text="" dxfId="2">
      <formula>AND(M329&gt;=5,M329&lt;10)</formula>
    </cfRule>
    <cfRule type="expression" priority="1318" aboveAverage="0" equalAverage="0" bottom="0" percent="0" rank="0" text="" dxfId="3">
      <formula>AND(M329&gt;=1,M329&lt;5)</formula>
    </cfRule>
  </conditionalFormatting>
  <conditionalFormatting sqref="M330">
    <cfRule type="expression" priority="1319" aboveAverage="0" equalAverage="0" bottom="0" percent="0" rank="0" text="" dxfId="0">
      <formula>M330&gt;=20</formula>
    </cfRule>
    <cfRule type="expression" priority="1320" aboveAverage="0" equalAverage="0" bottom="0" percent="0" rank="0" text="" dxfId="1">
      <formula>AND(M330&gt;=10,M330&lt;20)</formula>
    </cfRule>
    <cfRule type="expression" priority="1321" aboveAverage="0" equalAverage="0" bottom="0" percent="0" rank="0" text="" dxfId="2">
      <formula>AND(M330&gt;=5,M330&lt;10)</formula>
    </cfRule>
    <cfRule type="expression" priority="1322" aboveAverage="0" equalAverage="0" bottom="0" percent="0" rank="0" text="" dxfId="3">
      <formula>AND(M330&gt;=1,M330&lt;5)</formula>
    </cfRule>
  </conditionalFormatting>
  <conditionalFormatting sqref="M331">
    <cfRule type="expression" priority="1323" aboveAverage="0" equalAverage="0" bottom="0" percent="0" rank="0" text="" dxfId="0">
      <formula>M331&gt;=20</formula>
    </cfRule>
    <cfRule type="expression" priority="1324" aboveAverage="0" equalAverage="0" bottom="0" percent="0" rank="0" text="" dxfId="1">
      <formula>AND(M331&gt;=10,M331&lt;20)</formula>
    </cfRule>
    <cfRule type="expression" priority="1325" aboveAverage="0" equalAverage="0" bottom="0" percent="0" rank="0" text="" dxfId="2">
      <formula>AND(M331&gt;=5,M331&lt;10)</formula>
    </cfRule>
    <cfRule type="expression" priority="1326" aboveAverage="0" equalAverage="0" bottom="0" percent="0" rank="0" text="" dxfId="3">
      <formula>AND(M331&gt;=1,M331&lt;5)</formula>
    </cfRule>
  </conditionalFormatting>
  <conditionalFormatting sqref="M332">
    <cfRule type="expression" priority="1327" aboveAverage="0" equalAverage="0" bottom="0" percent="0" rank="0" text="" dxfId="0">
      <formula>M332&gt;=20</formula>
    </cfRule>
    <cfRule type="expression" priority="1328" aboveAverage="0" equalAverage="0" bottom="0" percent="0" rank="0" text="" dxfId="1">
      <formula>AND(M332&gt;=10,M332&lt;20)</formula>
    </cfRule>
    <cfRule type="expression" priority="1329" aboveAverage="0" equalAverage="0" bottom="0" percent="0" rank="0" text="" dxfId="2">
      <formula>AND(M332&gt;=5,M332&lt;10)</formula>
    </cfRule>
    <cfRule type="expression" priority="1330" aboveAverage="0" equalAverage="0" bottom="0" percent="0" rank="0" text="" dxfId="3">
      <formula>AND(M332&gt;=1,M332&lt;5)</formula>
    </cfRule>
  </conditionalFormatting>
  <conditionalFormatting sqref="M333">
    <cfRule type="expression" priority="1331" aboveAverage="0" equalAverage="0" bottom="0" percent="0" rank="0" text="" dxfId="0">
      <formula>M333&gt;=20</formula>
    </cfRule>
    <cfRule type="expression" priority="1332" aboveAverage="0" equalAverage="0" bottom="0" percent="0" rank="0" text="" dxfId="1">
      <formula>AND(M333&gt;=10,M333&lt;20)</formula>
    </cfRule>
    <cfRule type="expression" priority="1333" aboveAverage="0" equalAverage="0" bottom="0" percent="0" rank="0" text="" dxfId="2">
      <formula>AND(M333&gt;=5,M333&lt;10)</formula>
    </cfRule>
    <cfRule type="expression" priority="1334" aboveAverage="0" equalAverage="0" bottom="0" percent="0" rank="0" text="" dxfId="3">
      <formula>AND(M333&gt;=1,M333&lt;5)</formula>
    </cfRule>
  </conditionalFormatting>
  <conditionalFormatting sqref="M334">
    <cfRule type="expression" priority="1335" aboveAverage="0" equalAverage="0" bottom="0" percent="0" rank="0" text="" dxfId="0">
      <formula>M334&gt;=20</formula>
    </cfRule>
    <cfRule type="expression" priority="1336" aboveAverage="0" equalAverage="0" bottom="0" percent="0" rank="0" text="" dxfId="1">
      <formula>AND(M334&gt;=10,M334&lt;20)</formula>
    </cfRule>
    <cfRule type="expression" priority="1337" aboveAverage="0" equalAverage="0" bottom="0" percent="0" rank="0" text="" dxfId="2">
      <formula>AND(M334&gt;=5,M334&lt;10)</formula>
    </cfRule>
    <cfRule type="expression" priority="1338" aboveAverage="0" equalAverage="0" bottom="0" percent="0" rank="0" text="" dxfId="3">
      <formula>AND(M334&gt;=1,M334&lt;5)</formula>
    </cfRule>
  </conditionalFormatting>
  <conditionalFormatting sqref="M335">
    <cfRule type="expression" priority="1339" aboveAverage="0" equalAverage="0" bottom="0" percent="0" rank="0" text="" dxfId="0">
      <formula>M335&gt;=20</formula>
    </cfRule>
    <cfRule type="expression" priority="1340" aboveAverage="0" equalAverage="0" bottom="0" percent="0" rank="0" text="" dxfId="1">
      <formula>AND(M335&gt;=10,M335&lt;20)</formula>
    </cfRule>
    <cfRule type="expression" priority="1341" aboveAverage="0" equalAverage="0" bottom="0" percent="0" rank="0" text="" dxfId="2">
      <formula>AND(M335&gt;=5,M335&lt;10)</formula>
    </cfRule>
    <cfRule type="expression" priority="1342" aboveAverage="0" equalAverage="0" bottom="0" percent="0" rank="0" text="" dxfId="3">
      <formula>AND(M335&gt;=1,M335&lt;5)</formula>
    </cfRule>
  </conditionalFormatting>
  <conditionalFormatting sqref="M336">
    <cfRule type="expression" priority="1343" aboveAverage="0" equalAverage="0" bottom="0" percent="0" rank="0" text="" dxfId="0">
      <formula>M336&gt;=20</formula>
    </cfRule>
    <cfRule type="expression" priority="1344" aboveAverage="0" equalAverage="0" bottom="0" percent="0" rank="0" text="" dxfId="1">
      <formula>AND(M336&gt;=10,M336&lt;20)</formula>
    </cfRule>
    <cfRule type="expression" priority="1345" aboveAverage="0" equalAverage="0" bottom="0" percent="0" rank="0" text="" dxfId="2">
      <formula>AND(M336&gt;=5,M336&lt;10)</formula>
    </cfRule>
    <cfRule type="expression" priority="1346" aboveAverage="0" equalAverage="0" bottom="0" percent="0" rank="0" text="" dxfId="3">
      <formula>AND(M336&gt;=1,M336&lt;5)</formula>
    </cfRule>
  </conditionalFormatting>
  <conditionalFormatting sqref="M337">
    <cfRule type="expression" priority="1347" aboveAverage="0" equalAverage="0" bottom="0" percent="0" rank="0" text="" dxfId="0">
      <formula>M337&gt;=20</formula>
    </cfRule>
    <cfRule type="expression" priority="1348" aboveAverage="0" equalAverage="0" bottom="0" percent="0" rank="0" text="" dxfId="1">
      <formula>AND(M337&gt;=10,M337&lt;20)</formula>
    </cfRule>
    <cfRule type="expression" priority="1349" aboveAverage="0" equalAverage="0" bottom="0" percent="0" rank="0" text="" dxfId="2">
      <formula>AND(M337&gt;=5,M337&lt;10)</formula>
    </cfRule>
    <cfRule type="expression" priority="1350" aboveAverage="0" equalAverage="0" bottom="0" percent="0" rank="0" text="" dxfId="3">
      <formula>AND(M337&gt;=1,M337&lt;5)</formula>
    </cfRule>
  </conditionalFormatting>
  <conditionalFormatting sqref="M338">
    <cfRule type="expression" priority="1351" aboveAverage="0" equalAverage="0" bottom="0" percent="0" rank="0" text="" dxfId="0">
      <formula>M338&gt;=20</formula>
    </cfRule>
    <cfRule type="expression" priority="1352" aboveAverage="0" equalAverage="0" bottom="0" percent="0" rank="0" text="" dxfId="1">
      <formula>AND(M338&gt;=10,M338&lt;20)</formula>
    </cfRule>
    <cfRule type="expression" priority="1353" aboveAverage="0" equalAverage="0" bottom="0" percent="0" rank="0" text="" dxfId="2">
      <formula>AND(M338&gt;=5,M338&lt;10)</formula>
    </cfRule>
    <cfRule type="expression" priority="1354" aboveAverage="0" equalAverage="0" bottom="0" percent="0" rank="0" text="" dxfId="3">
      <formula>AND(M338&gt;=1,M338&lt;5)</formula>
    </cfRule>
  </conditionalFormatting>
  <conditionalFormatting sqref="M339">
    <cfRule type="expression" priority="1355" aboveAverage="0" equalAverage="0" bottom="0" percent="0" rank="0" text="" dxfId="0">
      <formula>M339&gt;=20</formula>
    </cfRule>
    <cfRule type="expression" priority="1356" aboveAverage="0" equalAverage="0" bottom="0" percent="0" rank="0" text="" dxfId="1">
      <formula>AND(M339&gt;=10,M339&lt;20)</formula>
    </cfRule>
    <cfRule type="expression" priority="1357" aboveAverage="0" equalAverage="0" bottom="0" percent="0" rank="0" text="" dxfId="2">
      <formula>AND(M339&gt;=5,M339&lt;10)</formula>
    </cfRule>
    <cfRule type="expression" priority="1358" aboveAverage="0" equalAverage="0" bottom="0" percent="0" rank="0" text="" dxfId="3">
      <formula>AND(M339&gt;=1,M339&lt;5)</formula>
    </cfRule>
  </conditionalFormatting>
  <conditionalFormatting sqref="M340">
    <cfRule type="expression" priority="1359" aboveAverage="0" equalAverage="0" bottom="0" percent="0" rank="0" text="" dxfId="0">
      <formula>M340&gt;=20</formula>
    </cfRule>
    <cfRule type="expression" priority="1360" aboveAverage="0" equalAverage="0" bottom="0" percent="0" rank="0" text="" dxfId="1">
      <formula>AND(M340&gt;=10,M340&lt;20)</formula>
    </cfRule>
    <cfRule type="expression" priority="1361" aboveAverage="0" equalAverage="0" bottom="0" percent="0" rank="0" text="" dxfId="2">
      <formula>AND(M340&gt;=5,M340&lt;10)</formula>
    </cfRule>
    <cfRule type="expression" priority="1362" aboveAverage="0" equalAverage="0" bottom="0" percent="0" rank="0" text="" dxfId="3">
      <formula>AND(M340&gt;=1,M340&lt;5)</formula>
    </cfRule>
  </conditionalFormatting>
  <conditionalFormatting sqref="M341">
    <cfRule type="expression" priority="1363" aboveAverage="0" equalAverage="0" bottom="0" percent="0" rank="0" text="" dxfId="0">
      <formula>M341&gt;=20</formula>
    </cfRule>
    <cfRule type="expression" priority="1364" aboveAverage="0" equalAverage="0" bottom="0" percent="0" rank="0" text="" dxfId="1">
      <formula>AND(M341&gt;=10,M341&lt;20)</formula>
    </cfRule>
    <cfRule type="expression" priority="1365" aboveAverage="0" equalAverage="0" bottom="0" percent="0" rank="0" text="" dxfId="2">
      <formula>AND(M341&gt;=5,M341&lt;10)</formula>
    </cfRule>
    <cfRule type="expression" priority="1366" aboveAverage="0" equalAverage="0" bottom="0" percent="0" rank="0" text="" dxfId="3">
      <formula>AND(M341&gt;=1,M341&lt;5)</formula>
    </cfRule>
  </conditionalFormatting>
  <conditionalFormatting sqref="M342">
    <cfRule type="expression" priority="1367" aboveAverage="0" equalAverage="0" bottom="0" percent="0" rank="0" text="" dxfId="0">
      <formula>M342&gt;=20</formula>
    </cfRule>
    <cfRule type="expression" priority="1368" aboveAverage="0" equalAverage="0" bottom="0" percent="0" rank="0" text="" dxfId="1">
      <formula>AND(M342&gt;=10,M342&lt;20)</formula>
    </cfRule>
    <cfRule type="expression" priority="1369" aboveAverage="0" equalAverage="0" bottom="0" percent="0" rank="0" text="" dxfId="2">
      <formula>AND(M342&gt;=5,M342&lt;10)</formula>
    </cfRule>
    <cfRule type="expression" priority="1370" aboveAverage="0" equalAverage="0" bottom="0" percent="0" rank="0" text="" dxfId="3">
      <formula>AND(M342&gt;=1,M342&lt;5)</formula>
    </cfRule>
  </conditionalFormatting>
  <conditionalFormatting sqref="M343">
    <cfRule type="expression" priority="1371" aboveAverage="0" equalAverage="0" bottom="0" percent="0" rank="0" text="" dxfId="0">
      <formula>M343&gt;=20</formula>
    </cfRule>
    <cfRule type="expression" priority="1372" aboveAverage="0" equalAverage="0" bottom="0" percent="0" rank="0" text="" dxfId="1">
      <formula>AND(M343&gt;=10,M343&lt;20)</formula>
    </cfRule>
    <cfRule type="expression" priority="1373" aboveAverage="0" equalAverage="0" bottom="0" percent="0" rank="0" text="" dxfId="2">
      <formula>AND(M343&gt;=5,M343&lt;10)</formula>
    </cfRule>
    <cfRule type="expression" priority="1374" aboveAverage="0" equalAverage="0" bottom="0" percent="0" rank="0" text="" dxfId="3">
      <formula>AND(M343&gt;=1,M343&lt;5)</formula>
    </cfRule>
  </conditionalFormatting>
  <conditionalFormatting sqref="M344">
    <cfRule type="expression" priority="1375" aboveAverage="0" equalAverage="0" bottom="0" percent="0" rank="0" text="" dxfId="0">
      <formula>M344&gt;=20</formula>
    </cfRule>
    <cfRule type="expression" priority="1376" aboveAverage="0" equalAverage="0" bottom="0" percent="0" rank="0" text="" dxfId="1">
      <formula>AND(M344&gt;=10,M344&lt;20)</formula>
    </cfRule>
    <cfRule type="expression" priority="1377" aboveAverage="0" equalAverage="0" bottom="0" percent="0" rank="0" text="" dxfId="2">
      <formula>AND(M344&gt;=5,M344&lt;10)</formula>
    </cfRule>
    <cfRule type="expression" priority="1378" aboveAverage="0" equalAverage="0" bottom="0" percent="0" rank="0" text="" dxfId="3">
      <formula>AND(M344&gt;=1,M344&lt;5)</formula>
    </cfRule>
  </conditionalFormatting>
  <conditionalFormatting sqref="M345">
    <cfRule type="expression" priority="1379" aboveAverage="0" equalAverage="0" bottom="0" percent="0" rank="0" text="" dxfId="0">
      <formula>M345&gt;=20</formula>
    </cfRule>
    <cfRule type="expression" priority="1380" aboveAverage="0" equalAverage="0" bottom="0" percent="0" rank="0" text="" dxfId="1">
      <formula>AND(M345&gt;=10,M345&lt;20)</formula>
    </cfRule>
    <cfRule type="expression" priority="1381" aboveAverage="0" equalAverage="0" bottom="0" percent="0" rank="0" text="" dxfId="2">
      <formula>AND(M345&gt;=5,M345&lt;10)</formula>
    </cfRule>
    <cfRule type="expression" priority="1382" aboveAverage="0" equalAverage="0" bottom="0" percent="0" rank="0" text="" dxfId="3">
      <formula>AND(M345&gt;=1,M345&lt;5)</formula>
    </cfRule>
  </conditionalFormatting>
  <conditionalFormatting sqref="M346">
    <cfRule type="expression" priority="1383" aboveAverage="0" equalAverage="0" bottom="0" percent="0" rank="0" text="" dxfId="0">
      <formula>M346&gt;=20</formula>
    </cfRule>
    <cfRule type="expression" priority="1384" aboveAverage="0" equalAverage="0" bottom="0" percent="0" rank="0" text="" dxfId="1">
      <formula>AND(M346&gt;=10,M346&lt;20)</formula>
    </cfRule>
    <cfRule type="expression" priority="1385" aboveAverage="0" equalAverage="0" bottom="0" percent="0" rank="0" text="" dxfId="2">
      <formula>AND(M346&gt;=5,M346&lt;10)</formula>
    </cfRule>
    <cfRule type="expression" priority="1386" aboveAverage="0" equalAverage="0" bottom="0" percent="0" rank="0" text="" dxfId="3">
      <formula>AND(M346&gt;=1,M346&lt;5)</formula>
    </cfRule>
  </conditionalFormatting>
  <conditionalFormatting sqref="M347">
    <cfRule type="expression" priority="1387" aboveAverage="0" equalAverage="0" bottom="0" percent="0" rank="0" text="" dxfId="0">
      <formula>M347&gt;=20</formula>
    </cfRule>
    <cfRule type="expression" priority="1388" aboveAverage="0" equalAverage="0" bottom="0" percent="0" rank="0" text="" dxfId="1">
      <formula>AND(M347&gt;=10,M347&lt;20)</formula>
    </cfRule>
    <cfRule type="expression" priority="1389" aboveAverage="0" equalAverage="0" bottom="0" percent="0" rank="0" text="" dxfId="2">
      <formula>AND(M347&gt;=5,M347&lt;10)</formula>
    </cfRule>
    <cfRule type="expression" priority="1390" aboveAverage="0" equalAverage="0" bottom="0" percent="0" rank="0" text="" dxfId="3">
      <formula>AND(M347&gt;=1,M347&lt;5)</formula>
    </cfRule>
  </conditionalFormatting>
  <conditionalFormatting sqref="M348">
    <cfRule type="expression" priority="1391" aboveAverage="0" equalAverage="0" bottom="0" percent="0" rank="0" text="" dxfId="0">
      <formula>M348&gt;=20</formula>
    </cfRule>
    <cfRule type="expression" priority="1392" aboveAverage="0" equalAverage="0" bottom="0" percent="0" rank="0" text="" dxfId="1">
      <formula>AND(M348&gt;=10,M348&lt;20)</formula>
    </cfRule>
    <cfRule type="expression" priority="1393" aboveAverage="0" equalAverage="0" bottom="0" percent="0" rank="0" text="" dxfId="2">
      <formula>AND(M348&gt;=5,M348&lt;10)</formula>
    </cfRule>
    <cfRule type="expression" priority="1394" aboveAverage="0" equalAverage="0" bottom="0" percent="0" rank="0" text="" dxfId="3">
      <formula>AND(M348&gt;=1,M348&lt;5)</formula>
    </cfRule>
  </conditionalFormatting>
  <conditionalFormatting sqref="M349">
    <cfRule type="expression" priority="1395" aboveAverage="0" equalAverage="0" bottom="0" percent="0" rank="0" text="" dxfId="0">
      <formula>M349&gt;=20</formula>
    </cfRule>
    <cfRule type="expression" priority="1396" aboveAverage="0" equalAverage="0" bottom="0" percent="0" rank="0" text="" dxfId="1">
      <formula>AND(M349&gt;=10,M349&lt;20)</formula>
    </cfRule>
    <cfRule type="expression" priority="1397" aboveAverage="0" equalAverage="0" bottom="0" percent="0" rank="0" text="" dxfId="2">
      <formula>AND(M349&gt;=5,M349&lt;10)</formula>
    </cfRule>
    <cfRule type="expression" priority="1398" aboveAverage="0" equalAverage="0" bottom="0" percent="0" rank="0" text="" dxfId="3">
      <formula>AND(M349&gt;=1,M349&lt;5)</formula>
    </cfRule>
  </conditionalFormatting>
  <conditionalFormatting sqref="M350">
    <cfRule type="expression" priority="1399" aboveAverage="0" equalAverage="0" bottom="0" percent="0" rank="0" text="" dxfId="0">
      <formula>M350&gt;=20</formula>
    </cfRule>
    <cfRule type="expression" priority="1400" aboveAverage="0" equalAverage="0" bottom="0" percent="0" rank="0" text="" dxfId="1">
      <formula>AND(M350&gt;=10,M350&lt;20)</formula>
    </cfRule>
    <cfRule type="expression" priority="1401" aboveAverage="0" equalAverage="0" bottom="0" percent="0" rank="0" text="" dxfId="2">
      <formula>AND(M350&gt;=5,M350&lt;10)</formula>
    </cfRule>
    <cfRule type="expression" priority="1402" aboveAverage="0" equalAverage="0" bottom="0" percent="0" rank="0" text="" dxfId="3">
      <formula>AND(M350&gt;=1,M350&lt;5)</formula>
    </cfRule>
  </conditionalFormatting>
  <conditionalFormatting sqref="M351">
    <cfRule type="expression" priority="1403" aboveAverage="0" equalAverage="0" bottom="0" percent="0" rank="0" text="" dxfId="0">
      <formula>M351&gt;=20</formula>
    </cfRule>
    <cfRule type="expression" priority="1404" aboveAverage="0" equalAverage="0" bottom="0" percent="0" rank="0" text="" dxfId="1">
      <formula>AND(M351&gt;=10,M351&lt;20)</formula>
    </cfRule>
    <cfRule type="expression" priority="1405" aboveAverage="0" equalAverage="0" bottom="0" percent="0" rank="0" text="" dxfId="2">
      <formula>AND(M351&gt;=5,M351&lt;10)</formula>
    </cfRule>
    <cfRule type="expression" priority="1406" aboveAverage="0" equalAverage="0" bottom="0" percent="0" rank="0" text="" dxfId="3">
      <formula>AND(M351&gt;=1,M351&lt;5)</formula>
    </cfRule>
  </conditionalFormatting>
  <conditionalFormatting sqref="M352">
    <cfRule type="expression" priority="1407" aboveAverage="0" equalAverage="0" bottom="0" percent="0" rank="0" text="" dxfId="0">
      <formula>M352&gt;=20</formula>
    </cfRule>
    <cfRule type="expression" priority="1408" aboveAverage="0" equalAverage="0" bottom="0" percent="0" rank="0" text="" dxfId="1">
      <formula>AND(M352&gt;=10,M352&lt;20)</formula>
    </cfRule>
    <cfRule type="expression" priority="1409" aboveAverage="0" equalAverage="0" bottom="0" percent="0" rank="0" text="" dxfId="2">
      <formula>AND(M352&gt;=5,M352&lt;10)</formula>
    </cfRule>
    <cfRule type="expression" priority="1410" aboveAverage="0" equalAverage="0" bottom="0" percent="0" rank="0" text="" dxfId="3">
      <formula>AND(M352&gt;=1,M352&lt;5)</formula>
    </cfRule>
  </conditionalFormatting>
  <conditionalFormatting sqref="M353">
    <cfRule type="expression" priority="1411" aboveAverage="0" equalAverage="0" bottom="0" percent="0" rank="0" text="" dxfId="0">
      <formula>M353&gt;=20</formula>
    </cfRule>
    <cfRule type="expression" priority="1412" aboveAverage="0" equalAverage="0" bottom="0" percent="0" rank="0" text="" dxfId="1">
      <formula>AND(M353&gt;=10,M353&lt;20)</formula>
    </cfRule>
    <cfRule type="expression" priority="1413" aboveAverage="0" equalAverage="0" bottom="0" percent="0" rank="0" text="" dxfId="2">
      <formula>AND(M353&gt;=5,M353&lt;10)</formula>
    </cfRule>
    <cfRule type="expression" priority="1414" aboveAverage="0" equalAverage="0" bottom="0" percent="0" rank="0" text="" dxfId="3">
      <formula>AND(M353&gt;=1,M353&lt;5)</formula>
    </cfRule>
  </conditionalFormatting>
  <conditionalFormatting sqref="M354">
    <cfRule type="expression" priority="1415" aboveAverage="0" equalAverage="0" bottom="0" percent="0" rank="0" text="" dxfId="0">
      <formula>M354&gt;=20</formula>
    </cfRule>
    <cfRule type="expression" priority="1416" aboveAverage="0" equalAverage="0" bottom="0" percent="0" rank="0" text="" dxfId="1">
      <formula>AND(M354&gt;=10,M354&lt;20)</formula>
    </cfRule>
    <cfRule type="expression" priority="1417" aboveAverage="0" equalAverage="0" bottom="0" percent="0" rank="0" text="" dxfId="2">
      <formula>AND(M354&gt;=5,M354&lt;10)</formula>
    </cfRule>
    <cfRule type="expression" priority="1418" aboveAverage="0" equalAverage="0" bottom="0" percent="0" rank="0" text="" dxfId="3">
      <formula>AND(M354&gt;=1,M354&lt;5)</formula>
    </cfRule>
  </conditionalFormatting>
  <conditionalFormatting sqref="M355">
    <cfRule type="expression" priority="1419" aboveAverage="0" equalAverage="0" bottom="0" percent="0" rank="0" text="" dxfId="0">
      <formula>M355&gt;=20</formula>
    </cfRule>
    <cfRule type="expression" priority="1420" aboveAverage="0" equalAverage="0" bottom="0" percent="0" rank="0" text="" dxfId="1">
      <formula>AND(M355&gt;=10,M355&lt;20)</formula>
    </cfRule>
    <cfRule type="expression" priority="1421" aboveAverage="0" equalAverage="0" bottom="0" percent="0" rank="0" text="" dxfId="2">
      <formula>AND(M355&gt;=5,M355&lt;10)</formula>
    </cfRule>
    <cfRule type="expression" priority="1422" aboveAverage="0" equalAverage="0" bottom="0" percent="0" rank="0" text="" dxfId="3">
      <formula>AND(M355&gt;=1,M355&lt;5)</formula>
    </cfRule>
  </conditionalFormatting>
  <conditionalFormatting sqref="M356">
    <cfRule type="expression" priority="1423" aboveAverage="0" equalAverage="0" bottom="0" percent="0" rank="0" text="" dxfId="0">
      <formula>M356&gt;=20</formula>
    </cfRule>
    <cfRule type="expression" priority="1424" aboveAverage="0" equalAverage="0" bottom="0" percent="0" rank="0" text="" dxfId="1">
      <formula>AND(M356&gt;=10,M356&lt;20)</formula>
    </cfRule>
    <cfRule type="expression" priority="1425" aboveAverage="0" equalAverage="0" bottom="0" percent="0" rank="0" text="" dxfId="2">
      <formula>AND(M356&gt;=5,M356&lt;10)</formula>
    </cfRule>
    <cfRule type="expression" priority="1426" aboveAverage="0" equalAverage="0" bottom="0" percent="0" rank="0" text="" dxfId="3">
      <formula>AND(M356&gt;=1,M356&lt;5)</formula>
    </cfRule>
  </conditionalFormatting>
  <conditionalFormatting sqref="M357">
    <cfRule type="expression" priority="1427" aboveAverage="0" equalAverage="0" bottom="0" percent="0" rank="0" text="" dxfId="0">
      <formula>M357&gt;=20</formula>
    </cfRule>
    <cfRule type="expression" priority="1428" aboveAverage="0" equalAverage="0" bottom="0" percent="0" rank="0" text="" dxfId="1">
      <formula>AND(M357&gt;=10,M357&lt;20)</formula>
    </cfRule>
    <cfRule type="expression" priority="1429" aboveAverage="0" equalAverage="0" bottom="0" percent="0" rank="0" text="" dxfId="2">
      <formula>AND(M357&gt;=5,M357&lt;10)</formula>
    </cfRule>
    <cfRule type="expression" priority="1430" aboveAverage="0" equalAverage="0" bottom="0" percent="0" rank="0" text="" dxfId="3">
      <formula>AND(M357&gt;=1,M357&lt;5)</formula>
    </cfRule>
  </conditionalFormatting>
  <conditionalFormatting sqref="M358">
    <cfRule type="expression" priority="1431" aboveAverage="0" equalAverage="0" bottom="0" percent="0" rank="0" text="" dxfId="0">
      <formula>M358&gt;=20</formula>
    </cfRule>
    <cfRule type="expression" priority="1432" aboveAverage="0" equalAverage="0" bottom="0" percent="0" rank="0" text="" dxfId="1">
      <formula>AND(M358&gt;=10,M358&lt;20)</formula>
    </cfRule>
    <cfRule type="expression" priority="1433" aboveAverage="0" equalAverage="0" bottom="0" percent="0" rank="0" text="" dxfId="2">
      <formula>AND(M358&gt;=5,M358&lt;10)</formula>
    </cfRule>
    <cfRule type="expression" priority="1434" aboveAverage="0" equalAverage="0" bottom="0" percent="0" rank="0" text="" dxfId="3">
      <formula>AND(M358&gt;=1,M358&lt;5)</formula>
    </cfRule>
  </conditionalFormatting>
  <conditionalFormatting sqref="M359">
    <cfRule type="expression" priority="1435" aboveAverage="0" equalAverage="0" bottom="0" percent="0" rank="0" text="" dxfId="0">
      <formula>M359&gt;=20</formula>
    </cfRule>
    <cfRule type="expression" priority="1436" aboveAverage="0" equalAverage="0" bottom="0" percent="0" rank="0" text="" dxfId="1">
      <formula>AND(M359&gt;=10,M359&lt;20)</formula>
    </cfRule>
    <cfRule type="expression" priority="1437" aboveAverage="0" equalAverage="0" bottom="0" percent="0" rank="0" text="" dxfId="2">
      <formula>AND(M359&gt;=5,M359&lt;10)</formula>
    </cfRule>
    <cfRule type="expression" priority="1438" aboveAverage="0" equalAverage="0" bottom="0" percent="0" rank="0" text="" dxfId="3">
      <formula>AND(M359&gt;=1,M359&lt;5)</formula>
    </cfRule>
  </conditionalFormatting>
  <conditionalFormatting sqref="M360">
    <cfRule type="expression" priority="1439" aboveAverage="0" equalAverage="0" bottom="0" percent="0" rank="0" text="" dxfId="0">
      <formula>M360&gt;=20</formula>
    </cfRule>
    <cfRule type="expression" priority="1440" aboveAverage="0" equalAverage="0" bottom="0" percent="0" rank="0" text="" dxfId="1">
      <formula>AND(M360&gt;=10,M360&lt;20)</formula>
    </cfRule>
    <cfRule type="expression" priority="1441" aboveAverage="0" equalAverage="0" bottom="0" percent="0" rank="0" text="" dxfId="2">
      <formula>AND(M360&gt;=5,M360&lt;10)</formula>
    </cfRule>
    <cfRule type="expression" priority="1442" aboveAverage="0" equalAverage="0" bottom="0" percent="0" rank="0" text="" dxfId="3">
      <formula>AND(M360&gt;=1,M360&lt;5)</formula>
    </cfRule>
  </conditionalFormatting>
  <conditionalFormatting sqref="M361">
    <cfRule type="expression" priority="1443" aboveAverage="0" equalAverage="0" bottom="0" percent="0" rank="0" text="" dxfId="0">
      <formula>M361&gt;=20</formula>
    </cfRule>
    <cfRule type="expression" priority="1444" aboveAverage="0" equalAverage="0" bottom="0" percent="0" rank="0" text="" dxfId="1">
      <formula>AND(M361&gt;=10,M361&lt;20)</formula>
    </cfRule>
    <cfRule type="expression" priority="1445" aboveAverage="0" equalAverage="0" bottom="0" percent="0" rank="0" text="" dxfId="2">
      <formula>AND(M361&gt;=5,M361&lt;10)</formula>
    </cfRule>
    <cfRule type="expression" priority="1446" aboveAverage="0" equalAverage="0" bottom="0" percent="0" rank="0" text="" dxfId="3">
      <formula>AND(M361&gt;=1,M361&lt;5)</formula>
    </cfRule>
  </conditionalFormatting>
  <conditionalFormatting sqref="M362">
    <cfRule type="expression" priority="1447" aboveAverage="0" equalAverage="0" bottom="0" percent="0" rank="0" text="" dxfId="0">
      <formula>M362&gt;=20</formula>
    </cfRule>
    <cfRule type="expression" priority="1448" aboveAverage="0" equalAverage="0" bottom="0" percent="0" rank="0" text="" dxfId="1">
      <formula>AND(M362&gt;=10,M362&lt;20)</formula>
    </cfRule>
    <cfRule type="expression" priority="1449" aboveAverage="0" equalAverage="0" bottom="0" percent="0" rank="0" text="" dxfId="2">
      <formula>AND(M362&gt;=5,M362&lt;10)</formula>
    </cfRule>
    <cfRule type="expression" priority="1450" aboveAverage="0" equalAverage="0" bottom="0" percent="0" rank="0" text="" dxfId="3">
      <formula>AND(M362&gt;=1,M362&lt;5)</formula>
    </cfRule>
  </conditionalFormatting>
  <conditionalFormatting sqref="M363">
    <cfRule type="expression" priority="1451" aboveAverage="0" equalAverage="0" bottom="0" percent="0" rank="0" text="" dxfId="0">
      <formula>M363&gt;=20</formula>
    </cfRule>
    <cfRule type="expression" priority="1452" aboveAverage="0" equalAverage="0" bottom="0" percent="0" rank="0" text="" dxfId="1">
      <formula>AND(M363&gt;=10,M363&lt;20)</formula>
    </cfRule>
    <cfRule type="expression" priority="1453" aboveAverage="0" equalAverage="0" bottom="0" percent="0" rank="0" text="" dxfId="2">
      <formula>AND(M363&gt;=5,M363&lt;10)</formula>
    </cfRule>
    <cfRule type="expression" priority="1454" aboveAverage="0" equalAverage="0" bottom="0" percent="0" rank="0" text="" dxfId="3">
      <formula>AND(M363&gt;=1,M363&lt;5)</formula>
    </cfRule>
  </conditionalFormatting>
  <conditionalFormatting sqref="M364">
    <cfRule type="expression" priority="1455" aboveAverage="0" equalAverage="0" bottom="0" percent="0" rank="0" text="" dxfId="0">
      <formula>M364&gt;=20</formula>
    </cfRule>
    <cfRule type="expression" priority="1456" aboveAverage="0" equalAverage="0" bottom="0" percent="0" rank="0" text="" dxfId="1">
      <formula>AND(M364&gt;=10,M364&lt;20)</formula>
    </cfRule>
    <cfRule type="expression" priority="1457" aboveAverage="0" equalAverage="0" bottom="0" percent="0" rank="0" text="" dxfId="2">
      <formula>AND(M364&gt;=5,M364&lt;10)</formula>
    </cfRule>
    <cfRule type="expression" priority="1458" aboveAverage="0" equalAverage="0" bottom="0" percent="0" rank="0" text="" dxfId="3">
      <formula>AND(M364&gt;=1,M364&lt;5)</formula>
    </cfRule>
  </conditionalFormatting>
  <conditionalFormatting sqref="M365">
    <cfRule type="expression" priority="1459" aboveAverage="0" equalAverage="0" bottom="0" percent="0" rank="0" text="" dxfId="0">
      <formula>M365&gt;=20</formula>
    </cfRule>
    <cfRule type="expression" priority="1460" aboveAverage="0" equalAverage="0" bottom="0" percent="0" rank="0" text="" dxfId="1">
      <formula>AND(M365&gt;=10,M365&lt;20)</formula>
    </cfRule>
    <cfRule type="expression" priority="1461" aboveAverage="0" equalAverage="0" bottom="0" percent="0" rank="0" text="" dxfId="2">
      <formula>AND(M365&gt;=5,M365&lt;10)</formula>
    </cfRule>
    <cfRule type="expression" priority="1462" aboveAverage="0" equalAverage="0" bottom="0" percent="0" rank="0" text="" dxfId="3">
      <formula>AND(M365&gt;=1,M365&lt;5)</formula>
    </cfRule>
  </conditionalFormatting>
  <conditionalFormatting sqref="M366">
    <cfRule type="expression" priority="1463" aboveAverage="0" equalAverage="0" bottom="0" percent="0" rank="0" text="" dxfId="0">
      <formula>M366&gt;=20</formula>
    </cfRule>
    <cfRule type="expression" priority="1464" aboveAverage="0" equalAverage="0" bottom="0" percent="0" rank="0" text="" dxfId="1">
      <formula>AND(M366&gt;=10,M366&lt;20)</formula>
    </cfRule>
    <cfRule type="expression" priority="1465" aboveAverage="0" equalAverage="0" bottom="0" percent="0" rank="0" text="" dxfId="2">
      <formula>AND(M366&gt;=5,M366&lt;10)</formula>
    </cfRule>
    <cfRule type="expression" priority="1466" aboveAverage="0" equalAverage="0" bottom="0" percent="0" rank="0" text="" dxfId="3">
      <formula>AND(M366&gt;=1,M366&lt;5)</formula>
    </cfRule>
  </conditionalFormatting>
  <conditionalFormatting sqref="M367">
    <cfRule type="expression" priority="1467" aboveAverage="0" equalAverage="0" bottom="0" percent="0" rank="0" text="" dxfId="0">
      <formula>M367&gt;=20</formula>
    </cfRule>
    <cfRule type="expression" priority="1468" aboveAverage="0" equalAverage="0" bottom="0" percent="0" rank="0" text="" dxfId="1">
      <formula>AND(M367&gt;=10,M367&lt;20)</formula>
    </cfRule>
    <cfRule type="expression" priority="1469" aboveAverage="0" equalAverage="0" bottom="0" percent="0" rank="0" text="" dxfId="2">
      <formula>AND(M367&gt;=5,M367&lt;10)</formula>
    </cfRule>
    <cfRule type="expression" priority="1470" aboveAverage="0" equalAverage="0" bottom="0" percent="0" rank="0" text="" dxfId="3">
      <formula>AND(M367&gt;=1,M367&lt;5)</formula>
    </cfRule>
  </conditionalFormatting>
  <conditionalFormatting sqref="M368">
    <cfRule type="expression" priority="1471" aboveAverage="0" equalAverage="0" bottom="0" percent="0" rank="0" text="" dxfId="0">
      <formula>M368&gt;=20</formula>
    </cfRule>
    <cfRule type="expression" priority="1472" aboveAverage="0" equalAverage="0" bottom="0" percent="0" rank="0" text="" dxfId="1">
      <formula>AND(M368&gt;=10,M368&lt;20)</formula>
    </cfRule>
    <cfRule type="expression" priority="1473" aboveAverage="0" equalAverage="0" bottom="0" percent="0" rank="0" text="" dxfId="2">
      <formula>AND(M368&gt;=5,M368&lt;10)</formula>
    </cfRule>
    <cfRule type="expression" priority="1474" aboveAverage="0" equalAverage="0" bottom="0" percent="0" rank="0" text="" dxfId="3">
      <formula>AND(M368&gt;=1,M368&lt;5)</formula>
    </cfRule>
  </conditionalFormatting>
  <conditionalFormatting sqref="M369">
    <cfRule type="expression" priority="1475" aboveAverage="0" equalAverage="0" bottom="0" percent="0" rank="0" text="" dxfId="0">
      <formula>M369&gt;=20</formula>
    </cfRule>
    <cfRule type="expression" priority="1476" aboveAverage="0" equalAverage="0" bottom="0" percent="0" rank="0" text="" dxfId="1">
      <formula>AND(M369&gt;=10,M369&lt;20)</formula>
    </cfRule>
    <cfRule type="expression" priority="1477" aboveAverage="0" equalAverage="0" bottom="0" percent="0" rank="0" text="" dxfId="2">
      <formula>AND(M369&gt;=5,M369&lt;10)</formula>
    </cfRule>
    <cfRule type="expression" priority="1478" aboveAverage="0" equalAverage="0" bottom="0" percent="0" rank="0" text="" dxfId="3">
      <formula>AND(M369&gt;=1,M369&lt;5)</formula>
    </cfRule>
  </conditionalFormatting>
  <conditionalFormatting sqref="M370">
    <cfRule type="expression" priority="1479" aboveAverage="0" equalAverage="0" bottom="0" percent="0" rank="0" text="" dxfId="0">
      <formula>M370&gt;=20</formula>
    </cfRule>
    <cfRule type="expression" priority="1480" aboveAverage="0" equalAverage="0" bottom="0" percent="0" rank="0" text="" dxfId="1">
      <formula>AND(M370&gt;=10,M370&lt;20)</formula>
    </cfRule>
    <cfRule type="expression" priority="1481" aboveAverage="0" equalAverage="0" bottom="0" percent="0" rank="0" text="" dxfId="2">
      <formula>AND(M370&gt;=5,M370&lt;10)</formula>
    </cfRule>
    <cfRule type="expression" priority="1482" aboveAverage="0" equalAverage="0" bottom="0" percent="0" rank="0" text="" dxfId="3">
      <formula>AND(M370&gt;=1,M370&lt;5)</formula>
    </cfRule>
  </conditionalFormatting>
  <conditionalFormatting sqref="M371">
    <cfRule type="expression" priority="1483" aboveAverage="0" equalAverage="0" bottom="0" percent="0" rank="0" text="" dxfId="0">
      <formula>M371&gt;=20</formula>
    </cfRule>
    <cfRule type="expression" priority="1484" aboveAverage="0" equalAverage="0" bottom="0" percent="0" rank="0" text="" dxfId="1">
      <formula>AND(M371&gt;=10,M371&lt;20)</formula>
    </cfRule>
    <cfRule type="expression" priority="1485" aboveAverage="0" equalAverage="0" bottom="0" percent="0" rank="0" text="" dxfId="2">
      <formula>AND(M371&gt;=5,M371&lt;10)</formula>
    </cfRule>
    <cfRule type="expression" priority="1486" aboveAverage="0" equalAverage="0" bottom="0" percent="0" rank="0" text="" dxfId="3">
      <formula>AND(M371&gt;=1,M371&lt;5)</formula>
    </cfRule>
  </conditionalFormatting>
  <conditionalFormatting sqref="M372">
    <cfRule type="expression" priority="1487" aboveAverage="0" equalAverage="0" bottom="0" percent="0" rank="0" text="" dxfId="0">
      <formula>M372&gt;=20</formula>
    </cfRule>
    <cfRule type="expression" priority="1488" aboveAverage="0" equalAverage="0" bottom="0" percent="0" rank="0" text="" dxfId="1">
      <formula>AND(M372&gt;=10,M372&lt;20)</formula>
    </cfRule>
    <cfRule type="expression" priority="1489" aboveAverage="0" equalAverage="0" bottom="0" percent="0" rank="0" text="" dxfId="2">
      <formula>AND(M372&gt;=5,M372&lt;10)</formula>
    </cfRule>
    <cfRule type="expression" priority="1490" aboveAverage="0" equalAverage="0" bottom="0" percent="0" rank="0" text="" dxfId="3">
      <formula>AND(M372&gt;=1,M372&lt;5)</formula>
    </cfRule>
  </conditionalFormatting>
  <conditionalFormatting sqref="M373">
    <cfRule type="expression" priority="1491" aboveAverage="0" equalAverage="0" bottom="0" percent="0" rank="0" text="" dxfId="0">
      <formula>M373&gt;=20</formula>
    </cfRule>
    <cfRule type="expression" priority="1492" aboveAverage="0" equalAverage="0" bottom="0" percent="0" rank="0" text="" dxfId="1">
      <formula>AND(M373&gt;=10,M373&lt;20)</formula>
    </cfRule>
    <cfRule type="expression" priority="1493" aboveAverage="0" equalAverage="0" bottom="0" percent="0" rank="0" text="" dxfId="2">
      <formula>AND(M373&gt;=5,M373&lt;10)</formula>
    </cfRule>
    <cfRule type="expression" priority="1494" aboveAverage="0" equalAverage="0" bottom="0" percent="0" rank="0" text="" dxfId="3">
      <formula>AND(M373&gt;=1,M373&lt;5)</formula>
    </cfRule>
  </conditionalFormatting>
  <conditionalFormatting sqref="M374">
    <cfRule type="expression" priority="1495" aboveAverage="0" equalAverage="0" bottom="0" percent="0" rank="0" text="" dxfId="0">
      <formula>M374&gt;=20</formula>
    </cfRule>
    <cfRule type="expression" priority="1496" aboveAverage="0" equalAverage="0" bottom="0" percent="0" rank="0" text="" dxfId="1">
      <formula>AND(M374&gt;=10,M374&lt;20)</formula>
    </cfRule>
    <cfRule type="expression" priority="1497" aboveAverage="0" equalAverage="0" bottom="0" percent="0" rank="0" text="" dxfId="2">
      <formula>AND(M374&gt;=5,M374&lt;10)</formula>
    </cfRule>
    <cfRule type="expression" priority="1498" aboveAverage="0" equalAverage="0" bottom="0" percent="0" rank="0" text="" dxfId="3">
      <formula>AND(M374&gt;=1,M374&lt;5)</formula>
    </cfRule>
  </conditionalFormatting>
  <conditionalFormatting sqref="M375">
    <cfRule type="expression" priority="1499" aboveAverage="0" equalAverage="0" bottom="0" percent="0" rank="0" text="" dxfId="0">
      <formula>M375&gt;=20</formula>
    </cfRule>
    <cfRule type="expression" priority="1500" aboveAverage="0" equalAverage="0" bottom="0" percent="0" rank="0" text="" dxfId="1">
      <formula>AND(M375&gt;=10,M375&lt;20)</formula>
    </cfRule>
    <cfRule type="expression" priority="1501" aboveAverage="0" equalAverage="0" bottom="0" percent="0" rank="0" text="" dxfId="2">
      <formula>AND(M375&gt;=5,M375&lt;10)</formula>
    </cfRule>
    <cfRule type="expression" priority="1502" aboveAverage="0" equalAverage="0" bottom="0" percent="0" rank="0" text="" dxfId="3">
      <formula>AND(M375&gt;=1,M375&lt;5)</formula>
    </cfRule>
  </conditionalFormatting>
  <conditionalFormatting sqref="M376">
    <cfRule type="expression" priority="1503" aboveAverage="0" equalAverage="0" bottom="0" percent="0" rank="0" text="" dxfId="0">
      <formula>M376&gt;=20</formula>
    </cfRule>
    <cfRule type="expression" priority="1504" aboveAverage="0" equalAverage="0" bottom="0" percent="0" rank="0" text="" dxfId="1">
      <formula>AND(M376&gt;=10,M376&lt;20)</formula>
    </cfRule>
    <cfRule type="expression" priority="1505" aboveAverage="0" equalAverage="0" bottom="0" percent="0" rank="0" text="" dxfId="2">
      <formula>AND(M376&gt;=5,M376&lt;10)</formula>
    </cfRule>
    <cfRule type="expression" priority="1506" aboveAverage="0" equalAverage="0" bottom="0" percent="0" rank="0" text="" dxfId="3">
      <formula>AND(M376&gt;=1,M376&lt;5)</formula>
    </cfRule>
  </conditionalFormatting>
  <conditionalFormatting sqref="M377">
    <cfRule type="expression" priority="1507" aboveAverage="0" equalAverage="0" bottom="0" percent="0" rank="0" text="" dxfId="0">
      <formula>M377&gt;=20</formula>
    </cfRule>
    <cfRule type="expression" priority="1508" aboveAverage="0" equalAverage="0" bottom="0" percent="0" rank="0" text="" dxfId="1">
      <formula>AND(M377&gt;=10,M377&lt;20)</formula>
    </cfRule>
    <cfRule type="expression" priority="1509" aboveAverage="0" equalAverage="0" bottom="0" percent="0" rank="0" text="" dxfId="2">
      <formula>AND(M377&gt;=5,M377&lt;10)</formula>
    </cfRule>
    <cfRule type="expression" priority="1510" aboveAverage="0" equalAverage="0" bottom="0" percent="0" rank="0" text="" dxfId="3">
      <formula>AND(M377&gt;=1,M377&lt;5)</formula>
    </cfRule>
  </conditionalFormatting>
  <conditionalFormatting sqref="M378">
    <cfRule type="expression" priority="1511" aboveAverage="0" equalAverage="0" bottom="0" percent="0" rank="0" text="" dxfId="0">
      <formula>M378&gt;=20</formula>
    </cfRule>
    <cfRule type="expression" priority="1512" aboveAverage="0" equalAverage="0" bottom="0" percent="0" rank="0" text="" dxfId="1">
      <formula>AND(M378&gt;=10,M378&lt;20)</formula>
    </cfRule>
    <cfRule type="expression" priority="1513" aboveAverage="0" equalAverage="0" bottom="0" percent="0" rank="0" text="" dxfId="2">
      <formula>AND(M378&gt;=5,M378&lt;10)</formula>
    </cfRule>
    <cfRule type="expression" priority="1514" aboveAverage="0" equalAverage="0" bottom="0" percent="0" rank="0" text="" dxfId="3">
      <formula>AND(M378&gt;=1,M378&lt;5)</formula>
    </cfRule>
  </conditionalFormatting>
  <conditionalFormatting sqref="M379">
    <cfRule type="expression" priority="1515" aboveAverage="0" equalAverage="0" bottom="0" percent="0" rank="0" text="" dxfId="0">
      <formula>M379&gt;=20</formula>
    </cfRule>
    <cfRule type="expression" priority="1516" aboveAverage="0" equalAverage="0" bottom="0" percent="0" rank="0" text="" dxfId="1">
      <formula>AND(M379&gt;=10,M379&lt;20)</formula>
    </cfRule>
    <cfRule type="expression" priority="1517" aboveAverage="0" equalAverage="0" bottom="0" percent="0" rank="0" text="" dxfId="2">
      <formula>AND(M379&gt;=5,M379&lt;10)</formula>
    </cfRule>
    <cfRule type="expression" priority="1518" aboveAverage="0" equalAverage="0" bottom="0" percent="0" rank="0" text="" dxfId="3">
      <formula>AND(M379&gt;=1,M379&lt;5)</formula>
    </cfRule>
  </conditionalFormatting>
  <conditionalFormatting sqref="M380">
    <cfRule type="expression" priority="1519" aboveAverage="0" equalAverage="0" bottom="0" percent="0" rank="0" text="" dxfId="0">
      <formula>M380&gt;=20</formula>
    </cfRule>
    <cfRule type="expression" priority="1520" aboveAverage="0" equalAverage="0" bottom="0" percent="0" rank="0" text="" dxfId="1">
      <formula>AND(M380&gt;=10,M380&lt;20)</formula>
    </cfRule>
    <cfRule type="expression" priority="1521" aboveAverage="0" equalAverage="0" bottom="0" percent="0" rank="0" text="" dxfId="2">
      <formula>AND(M380&gt;=5,M380&lt;10)</formula>
    </cfRule>
    <cfRule type="expression" priority="1522" aboveAverage="0" equalAverage="0" bottom="0" percent="0" rank="0" text="" dxfId="3">
      <formula>AND(M380&gt;=1,M380&lt;5)</formula>
    </cfRule>
  </conditionalFormatting>
  <conditionalFormatting sqref="M381">
    <cfRule type="expression" priority="1523" aboveAverage="0" equalAverage="0" bottom="0" percent="0" rank="0" text="" dxfId="0">
      <formula>M381&gt;=20</formula>
    </cfRule>
    <cfRule type="expression" priority="1524" aboveAverage="0" equalAverage="0" bottom="0" percent="0" rank="0" text="" dxfId="1">
      <formula>AND(M381&gt;=10,M381&lt;20)</formula>
    </cfRule>
    <cfRule type="expression" priority="1525" aboveAverage="0" equalAverage="0" bottom="0" percent="0" rank="0" text="" dxfId="2">
      <formula>AND(M381&gt;=5,M381&lt;10)</formula>
    </cfRule>
    <cfRule type="expression" priority="1526" aboveAverage="0" equalAverage="0" bottom="0" percent="0" rank="0" text="" dxfId="3">
      <formula>AND(M381&gt;=1,M381&lt;5)</formula>
    </cfRule>
  </conditionalFormatting>
  <conditionalFormatting sqref="M382">
    <cfRule type="expression" priority="1527" aboveAverage="0" equalAverage="0" bottom="0" percent="0" rank="0" text="" dxfId="0">
      <formula>M382&gt;=20</formula>
    </cfRule>
    <cfRule type="expression" priority="1528" aboveAverage="0" equalAverage="0" bottom="0" percent="0" rank="0" text="" dxfId="1">
      <formula>AND(M382&gt;=10,M382&lt;20)</formula>
    </cfRule>
    <cfRule type="expression" priority="1529" aboveAverage="0" equalAverage="0" bottom="0" percent="0" rank="0" text="" dxfId="2">
      <formula>AND(M382&gt;=5,M382&lt;10)</formula>
    </cfRule>
    <cfRule type="expression" priority="1530" aboveAverage="0" equalAverage="0" bottom="0" percent="0" rank="0" text="" dxfId="3">
      <formula>AND(M382&gt;=1,M382&lt;5)</formula>
    </cfRule>
  </conditionalFormatting>
  <conditionalFormatting sqref="M383">
    <cfRule type="expression" priority="1531" aboveAverage="0" equalAverage="0" bottom="0" percent="0" rank="0" text="" dxfId="0">
      <formula>M383&gt;=20</formula>
    </cfRule>
    <cfRule type="expression" priority="1532" aboveAverage="0" equalAverage="0" bottom="0" percent="0" rank="0" text="" dxfId="1">
      <formula>AND(M383&gt;=10,M383&lt;20)</formula>
    </cfRule>
    <cfRule type="expression" priority="1533" aboveAverage="0" equalAverage="0" bottom="0" percent="0" rank="0" text="" dxfId="2">
      <formula>AND(M383&gt;=5,M383&lt;10)</formula>
    </cfRule>
    <cfRule type="expression" priority="1534" aboveAverage="0" equalAverage="0" bottom="0" percent="0" rank="0" text="" dxfId="3">
      <formula>AND(M383&gt;=1,M383&lt;5)</formula>
    </cfRule>
  </conditionalFormatting>
  <conditionalFormatting sqref="M384">
    <cfRule type="expression" priority="1535" aboveAverage="0" equalAverage="0" bottom="0" percent="0" rank="0" text="" dxfId="0">
      <formula>M384&gt;=20</formula>
    </cfRule>
    <cfRule type="expression" priority="1536" aboveAverage="0" equalAverage="0" bottom="0" percent="0" rank="0" text="" dxfId="1">
      <formula>AND(M384&gt;=10,M384&lt;20)</formula>
    </cfRule>
    <cfRule type="expression" priority="1537" aboveAverage="0" equalAverage="0" bottom="0" percent="0" rank="0" text="" dxfId="2">
      <formula>AND(M384&gt;=5,M384&lt;10)</formula>
    </cfRule>
    <cfRule type="expression" priority="1538" aboveAverage="0" equalAverage="0" bottom="0" percent="0" rank="0" text="" dxfId="3">
      <formula>AND(M384&gt;=1,M384&lt;5)</formula>
    </cfRule>
  </conditionalFormatting>
  <conditionalFormatting sqref="M385">
    <cfRule type="expression" priority="1539" aboveAverage="0" equalAverage="0" bottom="0" percent="0" rank="0" text="" dxfId="0">
      <formula>M385&gt;=20</formula>
    </cfRule>
    <cfRule type="expression" priority="1540" aboveAverage="0" equalAverage="0" bottom="0" percent="0" rank="0" text="" dxfId="1">
      <formula>AND(M385&gt;=10,M385&lt;20)</formula>
    </cfRule>
    <cfRule type="expression" priority="1541" aboveAverage="0" equalAverage="0" bottom="0" percent="0" rank="0" text="" dxfId="2">
      <formula>AND(M385&gt;=5,M385&lt;10)</formula>
    </cfRule>
    <cfRule type="expression" priority="1542" aboveAverage="0" equalAverage="0" bottom="0" percent="0" rank="0" text="" dxfId="3">
      <formula>AND(M385&gt;=1,M385&lt;5)</formula>
    </cfRule>
  </conditionalFormatting>
  <conditionalFormatting sqref="M386">
    <cfRule type="expression" priority="1543" aboveAverage="0" equalAverage="0" bottom="0" percent="0" rank="0" text="" dxfId="0">
      <formula>M386&gt;=20</formula>
    </cfRule>
    <cfRule type="expression" priority="1544" aboveAverage="0" equalAverage="0" bottom="0" percent="0" rank="0" text="" dxfId="1">
      <formula>AND(M386&gt;=10,M386&lt;20)</formula>
    </cfRule>
    <cfRule type="expression" priority="1545" aboveAverage="0" equalAverage="0" bottom="0" percent="0" rank="0" text="" dxfId="2">
      <formula>AND(M386&gt;=5,M386&lt;10)</formula>
    </cfRule>
    <cfRule type="expression" priority="1546" aboveAverage="0" equalAverage="0" bottom="0" percent="0" rank="0" text="" dxfId="3">
      <formula>AND(M386&gt;=1,M386&lt;5)</formula>
    </cfRule>
  </conditionalFormatting>
  <conditionalFormatting sqref="M387">
    <cfRule type="expression" priority="1547" aboveAverage="0" equalAverage="0" bottom="0" percent="0" rank="0" text="" dxfId="0">
      <formula>M387&gt;=20</formula>
    </cfRule>
    <cfRule type="expression" priority="1548" aboveAverage="0" equalAverage="0" bottom="0" percent="0" rank="0" text="" dxfId="1">
      <formula>AND(M387&gt;=10,M387&lt;20)</formula>
    </cfRule>
    <cfRule type="expression" priority="1549" aboveAverage="0" equalAverage="0" bottom="0" percent="0" rank="0" text="" dxfId="2">
      <formula>AND(M387&gt;=5,M387&lt;10)</formula>
    </cfRule>
    <cfRule type="expression" priority="1550" aboveAverage="0" equalAverage="0" bottom="0" percent="0" rank="0" text="" dxfId="3">
      <formula>AND(M387&gt;=1,M387&lt;5)</formula>
    </cfRule>
  </conditionalFormatting>
  <conditionalFormatting sqref="M388">
    <cfRule type="expression" priority="1551" aboveAverage="0" equalAverage="0" bottom="0" percent="0" rank="0" text="" dxfId="0">
      <formula>M388&gt;=20</formula>
    </cfRule>
    <cfRule type="expression" priority="1552" aboveAverage="0" equalAverage="0" bottom="0" percent="0" rank="0" text="" dxfId="1">
      <formula>AND(M388&gt;=10,M388&lt;20)</formula>
    </cfRule>
    <cfRule type="expression" priority="1553" aboveAverage="0" equalAverage="0" bottom="0" percent="0" rank="0" text="" dxfId="2">
      <formula>AND(M388&gt;=5,M388&lt;10)</formula>
    </cfRule>
    <cfRule type="expression" priority="1554" aboveAverage="0" equalAverage="0" bottom="0" percent="0" rank="0" text="" dxfId="3">
      <formula>AND(M388&gt;=1,M388&lt;5)</formula>
    </cfRule>
  </conditionalFormatting>
  <conditionalFormatting sqref="M389">
    <cfRule type="expression" priority="1555" aboveAverage="0" equalAverage="0" bottom="0" percent="0" rank="0" text="" dxfId="0">
      <formula>M389&gt;=20</formula>
    </cfRule>
    <cfRule type="expression" priority="1556" aboveAverage="0" equalAverage="0" bottom="0" percent="0" rank="0" text="" dxfId="1">
      <formula>AND(M389&gt;=10,M389&lt;20)</formula>
    </cfRule>
    <cfRule type="expression" priority="1557" aboveAverage="0" equalAverage="0" bottom="0" percent="0" rank="0" text="" dxfId="2">
      <formula>AND(M389&gt;=5,M389&lt;10)</formula>
    </cfRule>
    <cfRule type="expression" priority="1558" aboveAverage="0" equalAverage="0" bottom="0" percent="0" rank="0" text="" dxfId="3">
      <formula>AND(M389&gt;=1,M389&lt;5)</formula>
    </cfRule>
  </conditionalFormatting>
  <conditionalFormatting sqref="M390">
    <cfRule type="expression" priority="1559" aboveAverage="0" equalAverage="0" bottom="0" percent="0" rank="0" text="" dxfId="0">
      <formula>M390&gt;=20</formula>
    </cfRule>
    <cfRule type="expression" priority="1560" aboveAverage="0" equalAverage="0" bottom="0" percent="0" rank="0" text="" dxfId="1">
      <formula>AND(M390&gt;=10,M390&lt;20)</formula>
    </cfRule>
    <cfRule type="expression" priority="1561" aboveAverage="0" equalAverage="0" bottom="0" percent="0" rank="0" text="" dxfId="2">
      <formula>AND(M390&gt;=5,M390&lt;10)</formula>
    </cfRule>
    <cfRule type="expression" priority="1562" aboveAverage="0" equalAverage="0" bottom="0" percent="0" rank="0" text="" dxfId="3">
      <formula>AND(M390&gt;=1,M390&lt;5)</formula>
    </cfRule>
  </conditionalFormatting>
  <conditionalFormatting sqref="M391">
    <cfRule type="expression" priority="1563" aboveAverage="0" equalAverage="0" bottom="0" percent="0" rank="0" text="" dxfId="0">
      <formula>M391&gt;=20</formula>
    </cfRule>
    <cfRule type="expression" priority="1564" aboveAverage="0" equalAverage="0" bottom="0" percent="0" rank="0" text="" dxfId="1">
      <formula>AND(M391&gt;=10,M391&lt;20)</formula>
    </cfRule>
    <cfRule type="expression" priority="1565" aboveAverage="0" equalAverage="0" bottom="0" percent="0" rank="0" text="" dxfId="2">
      <formula>AND(M391&gt;=5,M391&lt;10)</formula>
    </cfRule>
    <cfRule type="expression" priority="1566" aboveAverage="0" equalAverage="0" bottom="0" percent="0" rank="0" text="" dxfId="3">
      <formula>AND(M391&gt;=1,M391&lt;5)</formula>
    </cfRule>
  </conditionalFormatting>
  <conditionalFormatting sqref="M392">
    <cfRule type="expression" priority="1567" aboveAverage="0" equalAverage="0" bottom="0" percent="0" rank="0" text="" dxfId="0">
      <formula>M392&gt;=20</formula>
    </cfRule>
    <cfRule type="expression" priority="1568" aboveAverage="0" equalAverage="0" bottom="0" percent="0" rank="0" text="" dxfId="1">
      <formula>AND(M392&gt;=10,M392&lt;20)</formula>
    </cfRule>
    <cfRule type="expression" priority="1569" aboveAverage="0" equalAverage="0" bottom="0" percent="0" rank="0" text="" dxfId="2">
      <formula>AND(M392&gt;=5,M392&lt;10)</formula>
    </cfRule>
    <cfRule type="expression" priority="1570" aboveAverage="0" equalAverage="0" bottom="0" percent="0" rank="0" text="" dxfId="3">
      <formula>AND(M392&gt;=1,M392&lt;5)</formula>
    </cfRule>
  </conditionalFormatting>
  <conditionalFormatting sqref="M393">
    <cfRule type="expression" priority="1571" aboveAverage="0" equalAverage="0" bottom="0" percent="0" rank="0" text="" dxfId="0">
      <formula>M393&gt;=20</formula>
    </cfRule>
    <cfRule type="expression" priority="1572" aboveAverage="0" equalAverage="0" bottom="0" percent="0" rank="0" text="" dxfId="1">
      <formula>AND(M393&gt;=10,M393&lt;20)</formula>
    </cfRule>
    <cfRule type="expression" priority="1573" aboveAverage="0" equalAverage="0" bottom="0" percent="0" rank="0" text="" dxfId="2">
      <formula>AND(M393&gt;=5,M393&lt;10)</formula>
    </cfRule>
    <cfRule type="expression" priority="1574" aboveAverage="0" equalAverage="0" bottom="0" percent="0" rank="0" text="" dxfId="3">
      <formula>AND(M393&gt;=1,M393&lt;5)</formula>
    </cfRule>
  </conditionalFormatting>
  <conditionalFormatting sqref="M394">
    <cfRule type="expression" priority="1575" aboveAverage="0" equalAverage="0" bottom="0" percent="0" rank="0" text="" dxfId="0">
      <formula>M394&gt;=20</formula>
    </cfRule>
    <cfRule type="expression" priority="1576" aboveAverage="0" equalAverage="0" bottom="0" percent="0" rank="0" text="" dxfId="1">
      <formula>AND(M394&gt;=10,M394&lt;20)</formula>
    </cfRule>
    <cfRule type="expression" priority="1577" aboveAverage="0" equalAverage="0" bottom="0" percent="0" rank="0" text="" dxfId="2">
      <formula>AND(M394&gt;=5,M394&lt;10)</formula>
    </cfRule>
    <cfRule type="expression" priority="1578" aboveAverage="0" equalAverage="0" bottom="0" percent="0" rank="0" text="" dxfId="3">
      <formula>AND(M394&gt;=1,M394&lt;5)</formula>
    </cfRule>
  </conditionalFormatting>
  <conditionalFormatting sqref="M395">
    <cfRule type="expression" priority="1579" aboveAverage="0" equalAverage="0" bottom="0" percent="0" rank="0" text="" dxfId="0">
      <formula>M395&gt;=20</formula>
    </cfRule>
    <cfRule type="expression" priority="1580" aboveAverage="0" equalAverage="0" bottom="0" percent="0" rank="0" text="" dxfId="1">
      <formula>AND(M395&gt;=10,M395&lt;20)</formula>
    </cfRule>
    <cfRule type="expression" priority="1581" aboveAverage="0" equalAverage="0" bottom="0" percent="0" rank="0" text="" dxfId="2">
      <formula>AND(M395&gt;=5,M395&lt;10)</formula>
    </cfRule>
    <cfRule type="expression" priority="1582" aboveAverage="0" equalAverage="0" bottom="0" percent="0" rank="0" text="" dxfId="3">
      <formula>AND(M395&gt;=1,M395&lt;5)</formula>
    </cfRule>
  </conditionalFormatting>
  <conditionalFormatting sqref="M396">
    <cfRule type="expression" priority="1583" aboveAverage="0" equalAverage="0" bottom="0" percent="0" rank="0" text="" dxfId="0">
      <formula>M396&gt;=20</formula>
    </cfRule>
    <cfRule type="expression" priority="1584" aboveAverage="0" equalAverage="0" bottom="0" percent="0" rank="0" text="" dxfId="1">
      <formula>AND(M396&gt;=10,M396&lt;20)</formula>
    </cfRule>
    <cfRule type="expression" priority="1585" aboveAverage="0" equalAverage="0" bottom="0" percent="0" rank="0" text="" dxfId="2">
      <formula>AND(M396&gt;=5,M396&lt;10)</formula>
    </cfRule>
    <cfRule type="expression" priority="1586" aboveAverage="0" equalAverage="0" bottom="0" percent="0" rank="0" text="" dxfId="3">
      <formula>AND(M396&gt;=1,M396&lt;5)</formula>
    </cfRule>
  </conditionalFormatting>
  <conditionalFormatting sqref="M397">
    <cfRule type="expression" priority="1587" aboveAverage="0" equalAverage="0" bottom="0" percent="0" rank="0" text="" dxfId="0">
      <formula>M397&gt;=20</formula>
    </cfRule>
    <cfRule type="expression" priority="1588" aboveAverage="0" equalAverage="0" bottom="0" percent="0" rank="0" text="" dxfId="1">
      <formula>AND(M397&gt;=10,M397&lt;20)</formula>
    </cfRule>
    <cfRule type="expression" priority="1589" aboveAverage="0" equalAverage="0" bottom="0" percent="0" rank="0" text="" dxfId="2">
      <formula>AND(M397&gt;=5,M397&lt;10)</formula>
    </cfRule>
    <cfRule type="expression" priority="1590" aboveAverage="0" equalAverage="0" bottom="0" percent="0" rank="0" text="" dxfId="3">
      <formula>AND(M397&gt;=1,M397&lt;5)</formula>
    </cfRule>
  </conditionalFormatting>
  <conditionalFormatting sqref="M398">
    <cfRule type="expression" priority="1591" aboveAverage="0" equalAverage="0" bottom="0" percent="0" rank="0" text="" dxfId="0">
      <formula>M398&gt;=20</formula>
    </cfRule>
    <cfRule type="expression" priority="1592" aboveAverage="0" equalAverage="0" bottom="0" percent="0" rank="0" text="" dxfId="1">
      <formula>AND(M398&gt;=10,M398&lt;20)</formula>
    </cfRule>
    <cfRule type="expression" priority="1593" aboveAverage="0" equalAverage="0" bottom="0" percent="0" rank="0" text="" dxfId="2">
      <formula>AND(M398&gt;=5,M398&lt;10)</formula>
    </cfRule>
    <cfRule type="expression" priority="1594" aboveAverage="0" equalAverage="0" bottom="0" percent="0" rank="0" text="" dxfId="3">
      <formula>AND(M398&gt;=1,M398&lt;5)</formula>
    </cfRule>
  </conditionalFormatting>
  <conditionalFormatting sqref="M399">
    <cfRule type="expression" priority="1595" aboveAverage="0" equalAverage="0" bottom="0" percent="0" rank="0" text="" dxfId="0">
      <formula>M399&gt;=20</formula>
    </cfRule>
    <cfRule type="expression" priority="1596" aboveAverage="0" equalAverage="0" bottom="0" percent="0" rank="0" text="" dxfId="1">
      <formula>AND(M399&gt;=10,M399&lt;20)</formula>
    </cfRule>
    <cfRule type="expression" priority="1597" aboveAverage="0" equalAverage="0" bottom="0" percent="0" rank="0" text="" dxfId="2">
      <formula>AND(M399&gt;=5,M399&lt;10)</formula>
    </cfRule>
    <cfRule type="expression" priority="1598" aboveAverage="0" equalAverage="0" bottom="0" percent="0" rank="0" text="" dxfId="3">
      <formula>AND(M399&gt;=1,M399&lt;5)</formula>
    </cfRule>
  </conditionalFormatting>
  <conditionalFormatting sqref="M400">
    <cfRule type="expression" priority="1599" aboveAverage="0" equalAverage="0" bottom="0" percent="0" rank="0" text="" dxfId="0">
      <formula>M400&gt;=20</formula>
    </cfRule>
    <cfRule type="expression" priority="1600" aboveAverage="0" equalAverage="0" bottom="0" percent="0" rank="0" text="" dxfId="1">
      <formula>AND(M400&gt;=10,M400&lt;20)</formula>
    </cfRule>
    <cfRule type="expression" priority="1601" aboveAverage="0" equalAverage="0" bottom="0" percent="0" rank="0" text="" dxfId="2">
      <formula>AND(M400&gt;=5,M400&lt;10)</formula>
    </cfRule>
    <cfRule type="expression" priority="1602" aboveAverage="0" equalAverage="0" bottom="0" percent="0" rank="0" text="" dxfId="3">
      <formula>AND(M400&gt;=1,M400&lt;5)</formula>
    </cfRule>
  </conditionalFormatting>
  <conditionalFormatting sqref="M401">
    <cfRule type="expression" priority="1603" aboveAverage="0" equalAverage="0" bottom="0" percent="0" rank="0" text="" dxfId="0">
      <formula>M401&gt;=20</formula>
    </cfRule>
    <cfRule type="expression" priority="1604" aboveAverage="0" equalAverage="0" bottom="0" percent="0" rank="0" text="" dxfId="1">
      <formula>AND(M401&gt;=10,M401&lt;20)</formula>
    </cfRule>
    <cfRule type="expression" priority="1605" aboveAverage="0" equalAverage="0" bottom="0" percent="0" rank="0" text="" dxfId="2">
      <formula>AND(M401&gt;=5,M401&lt;10)</formula>
    </cfRule>
    <cfRule type="expression" priority="1606" aboveAverage="0" equalAverage="0" bottom="0" percent="0" rank="0" text="" dxfId="3">
      <formula>AND(M401&gt;=1,M401&lt;5)</formula>
    </cfRule>
  </conditionalFormatting>
  <conditionalFormatting sqref="M402">
    <cfRule type="expression" priority="1607" aboveAverage="0" equalAverage="0" bottom="0" percent="0" rank="0" text="" dxfId="0">
      <formula>M402&gt;=20</formula>
    </cfRule>
    <cfRule type="expression" priority="1608" aboveAverage="0" equalAverage="0" bottom="0" percent="0" rank="0" text="" dxfId="1">
      <formula>AND(M402&gt;=10,M402&lt;20)</formula>
    </cfRule>
    <cfRule type="expression" priority="1609" aboveAverage="0" equalAverage="0" bottom="0" percent="0" rank="0" text="" dxfId="2">
      <formula>AND(M402&gt;=5,M402&lt;10)</formula>
    </cfRule>
    <cfRule type="expression" priority="1610" aboveAverage="0" equalAverage="0" bottom="0" percent="0" rank="0" text="" dxfId="3">
      <formula>AND(M402&gt;=1,M402&lt;5)</formula>
    </cfRule>
  </conditionalFormatting>
  <conditionalFormatting sqref="M403">
    <cfRule type="expression" priority="1611" aboveAverage="0" equalAverage="0" bottom="0" percent="0" rank="0" text="" dxfId="0">
      <formula>M403&gt;=20</formula>
    </cfRule>
    <cfRule type="expression" priority="1612" aboveAverage="0" equalAverage="0" bottom="0" percent="0" rank="0" text="" dxfId="1">
      <formula>AND(M403&gt;=10,M403&lt;20)</formula>
    </cfRule>
    <cfRule type="expression" priority="1613" aboveAverage="0" equalAverage="0" bottom="0" percent="0" rank="0" text="" dxfId="2">
      <formula>AND(M403&gt;=5,M403&lt;10)</formula>
    </cfRule>
    <cfRule type="expression" priority="1614" aboveAverage="0" equalAverage="0" bottom="0" percent="0" rank="0" text="" dxfId="3">
      <formula>AND(M403&gt;=1,M403&lt;5)</formula>
    </cfRule>
  </conditionalFormatting>
  <conditionalFormatting sqref="M404">
    <cfRule type="expression" priority="1615" aboveAverage="0" equalAverage="0" bottom="0" percent="0" rank="0" text="" dxfId="0">
      <formula>M404&gt;=20</formula>
    </cfRule>
    <cfRule type="expression" priority="1616" aboveAverage="0" equalAverage="0" bottom="0" percent="0" rank="0" text="" dxfId="1">
      <formula>AND(M404&gt;=10,M404&lt;20)</formula>
    </cfRule>
    <cfRule type="expression" priority="1617" aboveAverage="0" equalAverage="0" bottom="0" percent="0" rank="0" text="" dxfId="2">
      <formula>AND(M404&gt;=5,M404&lt;10)</formula>
    </cfRule>
    <cfRule type="expression" priority="1618" aboveAverage="0" equalAverage="0" bottom="0" percent="0" rank="0" text="" dxfId="3">
      <formula>AND(M404&gt;=1,M404&lt;5)</formula>
    </cfRule>
  </conditionalFormatting>
  <conditionalFormatting sqref="M405">
    <cfRule type="expression" priority="1619" aboveAverage="0" equalAverage="0" bottom="0" percent="0" rank="0" text="" dxfId="0">
      <formula>M405&gt;=20</formula>
    </cfRule>
    <cfRule type="expression" priority="1620" aboveAverage="0" equalAverage="0" bottom="0" percent="0" rank="0" text="" dxfId="1">
      <formula>AND(M405&gt;=10,M405&lt;20)</formula>
    </cfRule>
    <cfRule type="expression" priority="1621" aboveAverage="0" equalAverage="0" bottom="0" percent="0" rank="0" text="" dxfId="2">
      <formula>AND(M405&gt;=5,M405&lt;10)</formula>
    </cfRule>
    <cfRule type="expression" priority="1622" aboveAverage="0" equalAverage="0" bottom="0" percent="0" rank="0" text="" dxfId="3">
      <formula>AND(M405&gt;=1,M405&lt;5)</formula>
    </cfRule>
  </conditionalFormatting>
  <conditionalFormatting sqref="M406">
    <cfRule type="expression" priority="1623" aboveAverage="0" equalAverage="0" bottom="0" percent="0" rank="0" text="" dxfId="0">
      <formula>M406&gt;=20</formula>
    </cfRule>
    <cfRule type="expression" priority="1624" aboveAverage="0" equalAverage="0" bottom="0" percent="0" rank="0" text="" dxfId="1">
      <formula>AND(M406&gt;=10,M406&lt;20)</formula>
    </cfRule>
    <cfRule type="expression" priority="1625" aboveAverage="0" equalAverage="0" bottom="0" percent="0" rank="0" text="" dxfId="2">
      <formula>AND(M406&gt;=5,M406&lt;10)</formula>
    </cfRule>
    <cfRule type="expression" priority="1626" aboveAverage="0" equalAverage="0" bottom="0" percent="0" rank="0" text="" dxfId="3">
      <formula>AND(M406&gt;=1,M406&lt;5)</formula>
    </cfRule>
  </conditionalFormatting>
  <conditionalFormatting sqref="M407">
    <cfRule type="expression" priority="1627" aboveAverage="0" equalAverage="0" bottom="0" percent="0" rank="0" text="" dxfId="0">
      <formula>M407&gt;=20</formula>
    </cfRule>
    <cfRule type="expression" priority="1628" aboveAverage="0" equalAverage="0" bottom="0" percent="0" rank="0" text="" dxfId="1">
      <formula>AND(M407&gt;=10,M407&lt;20)</formula>
    </cfRule>
    <cfRule type="expression" priority="1629" aboveAverage="0" equalAverage="0" bottom="0" percent="0" rank="0" text="" dxfId="2">
      <formula>AND(M407&gt;=5,M407&lt;10)</formula>
    </cfRule>
    <cfRule type="expression" priority="1630" aboveAverage="0" equalAverage="0" bottom="0" percent="0" rank="0" text="" dxfId="3">
      <formula>AND(M407&gt;=1,M407&lt;5)</formula>
    </cfRule>
  </conditionalFormatting>
  <conditionalFormatting sqref="M408">
    <cfRule type="expression" priority="1631" aboveAverage="0" equalAverage="0" bottom="0" percent="0" rank="0" text="" dxfId="0">
      <formula>M408&gt;=20</formula>
    </cfRule>
    <cfRule type="expression" priority="1632" aboveAverage="0" equalAverage="0" bottom="0" percent="0" rank="0" text="" dxfId="1">
      <formula>AND(M408&gt;=10,M408&lt;20)</formula>
    </cfRule>
    <cfRule type="expression" priority="1633" aboveAverage="0" equalAverage="0" bottom="0" percent="0" rank="0" text="" dxfId="2">
      <formula>AND(M408&gt;=5,M408&lt;10)</formula>
    </cfRule>
    <cfRule type="expression" priority="1634" aboveAverage="0" equalAverage="0" bottom="0" percent="0" rank="0" text="" dxfId="3">
      <formula>AND(M408&gt;=1,M408&lt;5)</formula>
    </cfRule>
  </conditionalFormatting>
  <conditionalFormatting sqref="M409">
    <cfRule type="expression" priority="1635" aboveAverage="0" equalAverage="0" bottom="0" percent="0" rank="0" text="" dxfId="0">
      <formula>M409&gt;=20</formula>
    </cfRule>
    <cfRule type="expression" priority="1636" aboveAverage="0" equalAverage="0" bottom="0" percent="0" rank="0" text="" dxfId="1">
      <formula>AND(M409&gt;=10,M409&lt;20)</formula>
    </cfRule>
    <cfRule type="expression" priority="1637" aboveAverage="0" equalAverage="0" bottom="0" percent="0" rank="0" text="" dxfId="2">
      <formula>AND(M409&gt;=5,M409&lt;10)</formula>
    </cfRule>
    <cfRule type="expression" priority="1638" aboveAverage="0" equalAverage="0" bottom="0" percent="0" rank="0" text="" dxfId="3">
      <formula>AND(M409&gt;=1,M409&lt;5)</formula>
    </cfRule>
  </conditionalFormatting>
  <conditionalFormatting sqref="M410">
    <cfRule type="expression" priority="1639" aboveAverage="0" equalAverage="0" bottom="0" percent="0" rank="0" text="" dxfId="0">
      <formula>M410&gt;=20</formula>
    </cfRule>
    <cfRule type="expression" priority="1640" aboveAverage="0" equalAverage="0" bottom="0" percent="0" rank="0" text="" dxfId="1">
      <formula>AND(M410&gt;=10,M410&lt;20)</formula>
    </cfRule>
    <cfRule type="expression" priority="1641" aboveAverage="0" equalAverage="0" bottom="0" percent="0" rank="0" text="" dxfId="2">
      <formula>AND(M410&gt;=5,M410&lt;10)</formula>
    </cfRule>
    <cfRule type="expression" priority="1642" aboveAverage="0" equalAverage="0" bottom="0" percent="0" rank="0" text="" dxfId="3">
      <formula>AND(M410&gt;=1,M410&lt;5)</formula>
    </cfRule>
  </conditionalFormatting>
  <conditionalFormatting sqref="M411">
    <cfRule type="expression" priority="1643" aboveAverage="0" equalAverage="0" bottom="0" percent="0" rank="0" text="" dxfId="0">
      <formula>M411&gt;=20</formula>
    </cfRule>
    <cfRule type="expression" priority="1644" aboveAverage="0" equalAverage="0" bottom="0" percent="0" rank="0" text="" dxfId="1">
      <formula>AND(M411&gt;=10,M411&lt;20)</formula>
    </cfRule>
    <cfRule type="expression" priority="1645" aboveAverage="0" equalAverage="0" bottom="0" percent="0" rank="0" text="" dxfId="2">
      <formula>AND(M411&gt;=5,M411&lt;10)</formula>
    </cfRule>
    <cfRule type="expression" priority="1646" aboveAverage="0" equalAverage="0" bottom="0" percent="0" rank="0" text="" dxfId="3">
      <formula>AND(M411&gt;=1,M411&lt;5)</formula>
    </cfRule>
  </conditionalFormatting>
  <conditionalFormatting sqref="M412">
    <cfRule type="expression" priority="1647" aboveAverage="0" equalAverage="0" bottom="0" percent="0" rank="0" text="" dxfId="0">
      <formula>M412&gt;=20</formula>
    </cfRule>
    <cfRule type="expression" priority="1648" aboveAverage="0" equalAverage="0" bottom="0" percent="0" rank="0" text="" dxfId="1">
      <formula>AND(M412&gt;=10,M412&lt;20)</formula>
    </cfRule>
    <cfRule type="expression" priority="1649" aboveAverage="0" equalAverage="0" bottom="0" percent="0" rank="0" text="" dxfId="2">
      <formula>AND(M412&gt;=5,M412&lt;10)</formula>
    </cfRule>
    <cfRule type="expression" priority="1650" aboveAverage="0" equalAverage="0" bottom="0" percent="0" rank="0" text="" dxfId="3">
      <formula>AND(M412&gt;=1,M412&lt;5)</formula>
    </cfRule>
  </conditionalFormatting>
  <conditionalFormatting sqref="M413">
    <cfRule type="expression" priority="1651" aboveAverage="0" equalAverage="0" bottom="0" percent="0" rank="0" text="" dxfId="0">
      <formula>M413&gt;=20</formula>
    </cfRule>
    <cfRule type="expression" priority="1652" aboveAverage="0" equalAverage="0" bottom="0" percent="0" rank="0" text="" dxfId="1">
      <formula>AND(M413&gt;=10,M413&lt;20)</formula>
    </cfRule>
    <cfRule type="expression" priority="1653" aboveAverage="0" equalAverage="0" bottom="0" percent="0" rank="0" text="" dxfId="2">
      <formula>AND(M413&gt;=5,M413&lt;10)</formula>
    </cfRule>
    <cfRule type="expression" priority="1654" aboveAverage="0" equalAverage="0" bottom="0" percent="0" rank="0" text="" dxfId="3">
      <formula>AND(M413&gt;=1,M413&lt;5)</formula>
    </cfRule>
  </conditionalFormatting>
  <conditionalFormatting sqref="M414">
    <cfRule type="expression" priority="1655" aboveAverage="0" equalAverage="0" bottom="0" percent="0" rank="0" text="" dxfId="0">
      <formula>M414&gt;=20</formula>
    </cfRule>
    <cfRule type="expression" priority="1656" aboveAverage="0" equalAverage="0" bottom="0" percent="0" rank="0" text="" dxfId="1">
      <formula>AND(M414&gt;=10,M414&lt;20)</formula>
    </cfRule>
    <cfRule type="expression" priority="1657" aboveAverage="0" equalAverage="0" bottom="0" percent="0" rank="0" text="" dxfId="2">
      <formula>AND(M414&gt;=5,M414&lt;10)</formula>
    </cfRule>
    <cfRule type="expression" priority="1658" aboveAverage="0" equalAverage="0" bottom="0" percent="0" rank="0" text="" dxfId="3">
      <formula>AND(M414&gt;=1,M414&lt;5)</formula>
    </cfRule>
  </conditionalFormatting>
  <conditionalFormatting sqref="M415">
    <cfRule type="expression" priority="1659" aboveAverage="0" equalAverage="0" bottom="0" percent="0" rank="0" text="" dxfId="0">
      <formula>M415&gt;=20</formula>
    </cfRule>
    <cfRule type="expression" priority="1660" aboveAverage="0" equalAverage="0" bottom="0" percent="0" rank="0" text="" dxfId="1">
      <formula>AND(M415&gt;=10,M415&lt;20)</formula>
    </cfRule>
    <cfRule type="expression" priority="1661" aboveAverage="0" equalAverage="0" bottom="0" percent="0" rank="0" text="" dxfId="2">
      <formula>AND(M415&gt;=5,M415&lt;10)</formula>
    </cfRule>
    <cfRule type="expression" priority="1662" aboveAverage="0" equalAverage="0" bottom="0" percent="0" rank="0" text="" dxfId="3">
      <formula>AND(M415&gt;=1,M415&lt;5)</formula>
    </cfRule>
  </conditionalFormatting>
  <conditionalFormatting sqref="M416">
    <cfRule type="expression" priority="1663" aboveAverage="0" equalAverage="0" bottom="0" percent="0" rank="0" text="" dxfId="0">
      <formula>M416&gt;=20</formula>
    </cfRule>
    <cfRule type="expression" priority="1664" aboveAverage="0" equalAverage="0" bottom="0" percent="0" rank="0" text="" dxfId="1">
      <formula>AND(M416&gt;=10,M416&lt;20)</formula>
    </cfRule>
    <cfRule type="expression" priority="1665" aboveAverage="0" equalAverage="0" bottom="0" percent="0" rank="0" text="" dxfId="2">
      <formula>AND(M416&gt;=5,M416&lt;10)</formula>
    </cfRule>
    <cfRule type="expression" priority="1666" aboveAverage="0" equalAverage="0" bottom="0" percent="0" rank="0" text="" dxfId="3">
      <formula>AND(M416&gt;=1,M416&lt;5)</formula>
    </cfRule>
  </conditionalFormatting>
  <conditionalFormatting sqref="M417">
    <cfRule type="expression" priority="1667" aboveAverage="0" equalAverage="0" bottom="0" percent="0" rank="0" text="" dxfId="0">
      <formula>M417&gt;=20</formula>
    </cfRule>
    <cfRule type="expression" priority="1668" aboveAverage="0" equalAverage="0" bottom="0" percent="0" rank="0" text="" dxfId="1">
      <formula>AND(M417&gt;=10,M417&lt;20)</formula>
    </cfRule>
    <cfRule type="expression" priority="1669" aboveAverage="0" equalAverage="0" bottom="0" percent="0" rank="0" text="" dxfId="2">
      <formula>AND(M417&gt;=5,M417&lt;10)</formula>
    </cfRule>
    <cfRule type="expression" priority="1670" aboveAverage="0" equalAverage="0" bottom="0" percent="0" rank="0" text="" dxfId="3">
      <formula>AND(M417&gt;=1,M417&lt;5)</formula>
    </cfRule>
  </conditionalFormatting>
  <conditionalFormatting sqref="M418">
    <cfRule type="expression" priority="1671" aboveAverage="0" equalAverage="0" bottom="0" percent="0" rank="0" text="" dxfId="0">
      <formula>M418&gt;=20</formula>
    </cfRule>
    <cfRule type="expression" priority="1672" aboveAverage="0" equalAverage="0" bottom="0" percent="0" rank="0" text="" dxfId="1">
      <formula>AND(M418&gt;=10,M418&lt;20)</formula>
    </cfRule>
    <cfRule type="expression" priority="1673" aboveAverage="0" equalAverage="0" bottom="0" percent="0" rank="0" text="" dxfId="2">
      <formula>AND(M418&gt;=5,M418&lt;10)</formula>
    </cfRule>
    <cfRule type="expression" priority="1674" aboveAverage="0" equalAverage="0" bottom="0" percent="0" rank="0" text="" dxfId="3">
      <formula>AND(M418&gt;=1,M418&lt;5)</formula>
    </cfRule>
  </conditionalFormatting>
  <conditionalFormatting sqref="M419">
    <cfRule type="expression" priority="1675" aboveAverage="0" equalAverage="0" bottom="0" percent="0" rank="0" text="" dxfId="0">
      <formula>M419&gt;=20</formula>
    </cfRule>
    <cfRule type="expression" priority="1676" aboveAverage="0" equalAverage="0" bottom="0" percent="0" rank="0" text="" dxfId="1">
      <formula>AND(M419&gt;=10,M419&lt;20)</formula>
    </cfRule>
    <cfRule type="expression" priority="1677" aboveAverage="0" equalAverage="0" bottom="0" percent="0" rank="0" text="" dxfId="2">
      <formula>AND(M419&gt;=5,M419&lt;10)</formula>
    </cfRule>
    <cfRule type="expression" priority="1678" aboveAverage="0" equalAverage="0" bottom="0" percent="0" rank="0" text="" dxfId="3">
      <formula>AND(M419&gt;=1,M419&lt;5)</formula>
    </cfRule>
  </conditionalFormatting>
  <conditionalFormatting sqref="M420">
    <cfRule type="expression" priority="1679" aboveAverage="0" equalAverage="0" bottom="0" percent="0" rank="0" text="" dxfId="0">
      <formula>M420&gt;=20</formula>
    </cfRule>
    <cfRule type="expression" priority="1680" aboveAverage="0" equalAverage="0" bottom="0" percent="0" rank="0" text="" dxfId="1">
      <formula>AND(M420&gt;=10,M420&lt;20)</formula>
    </cfRule>
    <cfRule type="expression" priority="1681" aboveAverage="0" equalAverage="0" bottom="0" percent="0" rank="0" text="" dxfId="2">
      <formula>AND(M420&gt;=5,M420&lt;10)</formula>
    </cfRule>
    <cfRule type="expression" priority="1682" aboveAverage="0" equalAverage="0" bottom="0" percent="0" rank="0" text="" dxfId="3">
      <formula>AND(M420&gt;=1,M420&lt;5)</formula>
    </cfRule>
  </conditionalFormatting>
  <conditionalFormatting sqref="M421">
    <cfRule type="expression" priority="1683" aboveAverage="0" equalAverage="0" bottom="0" percent="0" rank="0" text="" dxfId="0">
      <formula>M421&gt;=20</formula>
    </cfRule>
    <cfRule type="expression" priority="1684" aboveAverage="0" equalAverage="0" bottom="0" percent="0" rank="0" text="" dxfId="1">
      <formula>AND(M421&gt;=10,M421&lt;20)</formula>
    </cfRule>
    <cfRule type="expression" priority="1685" aboveAverage="0" equalAverage="0" bottom="0" percent="0" rank="0" text="" dxfId="2">
      <formula>AND(M421&gt;=5,M421&lt;10)</formula>
    </cfRule>
    <cfRule type="expression" priority="1686" aboveAverage="0" equalAverage="0" bottom="0" percent="0" rank="0" text="" dxfId="3">
      <formula>AND(M421&gt;=1,M421&lt;5)</formula>
    </cfRule>
  </conditionalFormatting>
  <conditionalFormatting sqref="M422">
    <cfRule type="expression" priority="1687" aboveAverage="0" equalAverage="0" bottom="0" percent="0" rank="0" text="" dxfId="0">
      <formula>M422&gt;=20</formula>
    </cfRule>
    <cfRule type="expression" priority="1688" aboveAverage="0" equalAverage="0" bottom="0" percent="0" rank="0" text="" dxfId="1">
      <formula>AND(M422&gt;=10,M422&lt;20)</formula>
    </cfRule>
    <cfRule type="expression" priority="1689" aboveAverage="0" equalAverage="0" bottom="0" percent="0" rank="0" text="" dxfId="2">
      <formula>AND(M422&gt;=5,M422&lt;10)</formula>
    </cfRule>
    <cfRule type="expression" priority="1690" aboveAverage="0" equalAverage="0" bottom="0" percent="0" rank="0" text="" dxfId="3">
      <formula>AND(M422&gt;=1,M422&lt;5)</formula>
    </cfRule>
  </conditionalFormatting>
  <conditionalFormatting sqref="M423">
    <cfRule type="expression" priority="1691" aboveAverage="0" equalAverage="0" bottom="0" percent="0" rank="0" text="" dxfId="0">
      <formula>M423&gt;=20</formula>
    </cfRule>
    <cfRule type="expression" priority="1692" aboveAverage="0" equalAverage="0" bottom="0" percent="0" rank="0" text="" dxfId="1">
      <formula>AND(M423&gt;=10,M423&lt;20)</formula>
    </cfRule>
    <cfRule type="expression" priority="1693" aboveAverage="0" equalAverage="0" bottom="0" percent="0" rank="0" text="" dxfId="2">
      <formula>AND(M423&gt;=5,M423&lt;10)</formula>
    </cfRule>
    <cfRule type="expression" priority="1694" aboveAverage="0" equalAverage="0" bottom="0" percent="0" rank="0" text="" dxfId="3">
      <formula>AND(M423&gt;=1,M423&lt;5)</formula>
    </cfRule>
  </conditionalFormatting>
  <conditionalFormatting sqref="M424">
    <cfRule type="expression" priority="1695" aboveAverage="0" equalAverage="0" bottom="0" percent="0" rank="0" text="" dxfId="0">
      <formula>M424&gt;=20</formula>
    </cfRule>
    <cfRule type="expression" priority="1696" aboveAverage="0" equalAverage="0" bottom="0" percent="0" rank="0" text="" dxfId="1">
      <formula>AND(M424&gt;=10,M424&lt;20)</formula>
    </cfRule>
    <cfRule type="expression" priority="1697" aboveAverage="0" equalAverage="0" bottom="0" percent="0" rank="0" text="" dxfId="2">
      <formula>AND(M424&gt;=5,M424&lt;10)</formula>
    </cfRule>
    <cfRule type="expression" priority="1698" aboveAverage="0" equalAverage="0" bottom="0" percent="0" rank="0" text="" dxfId="3">
      <formula>AND(M424&gt;=1,M424&lt;5)</formula>
    </cfRule>
  </conditionalFormatting>
  <conditionalFormatting sqref="M425">
    <cfRule type="expression" priority="1699" aboveAverage="0" equalAverage="0" bottom="0" percent="0" rank="0" text="" dxfId="0">
      <formula>M425&gt;=20</formula>
    </cfRule>
    <cfRule type="expression" priority="1700" aboveAverage="0" equalAverage="0" bottom="0" percent="0" rank="0" text="" dxfId="1">
      <formula>AND(M425&gt;=10,M425&lt;20)</formula>
    </cfRule>
    <cfRule type="expression" priority="1701" aboveAverage="0" equalAverage="0" bottom="0" percent="0" rank="0" text="" dxfId="2">
      <formula>AND(M425&gt;=5,M425&lt;10)</formula>
    </cfRule>
    <cfRule type="expression" priority="1702" aboveAverage="0" equalAverage="0" bottom="0" percent="0" rank="0" text="" dxfId="3">
      <formula>AND(M425&gt;=1,M425&lt;5)</formula>
    </cfRule>
  </conditionalFormatting>
  <conditionalFormatting sqref="M426">
    <cfRule type="expression" priority="1703" aboveAverage="0" equalAverage="0" bottom="0" percent="0" rank="0" text="" dxfId="0">
      <formula>M426&gt;=20</formula>
    </cfRule>
    <cfRule type="expression" priority="1704" aboveAverage="0" equalAverage="0" bottom="0" percent="0" rank="0" text="" dxfId="1">
      <formula>AND(M426&gt;=10,M426&lt;20)</formula>
    </cfRule>
    <cfRule type="expression" priority="1705" aboveAverage="0" equalAverage="0" bottom="0" percent="0" rank="0" text="" dxfId="2">
      <formula>AND(M426&gt;=5,M426&lt;10)</formula>
    </cfRule>
    <cfRule type="expression" priority="1706" aboveAverage="0" equalAverage="0" bottom="0" percent="0" rank="0" text="" dxfId="3">
      <formula>AND(M426&gt;=1,M426&lt;5)</formula>
    </cfRule>
  </conditionalFormatting>
  <conditionalFormatting sqref="M427">
    <cfRule type="expression" priority="1707" aboveAverage="0" equalAverage="0" bottom="0" percent="0" rank="0" text="" dxfId="0">
      <formula>M427&gt;=20</formula>
    </cfRule>
    <cfRule type="expression" priority="1708" aboveAverage="0" equalAverage="0" bottom="0" percent="0" rank="0" text="" dxfId="1">
      <formula>AND(M427&gt;=10,M427&lt;20)</formula>
    </cfRule>
    <cfRule type="expression" priority="1709" aboveAverage="0" equalAverage="0" bottom="0" percent="0" rank="0" text="" dxfId="2">
      <formula>AND(M427&gt;=5,M427&lt;10)</formula>
    </cfRule>
    <cfRule type="expression" priority="1710" aboveAverage="0" equalAverage="0" bottom="0" percent="0" rank="0" text="" dxfId="3">
      <formula>AND(M427&gt;=1,M427&lt;5)</formula>
    </cfRule>
  </conditionalFormatting>
  <conditionalFormatting sqref="M428">
    <cfRule type="expression" priority="1711" aboveAverage="0" equalAverage="0" bottom="0" percent="0" rank="0" text="" dxfId="0">
      <formula>M428&gt;=20</formula>
    </cfRule>
    <cfRule type="expression" priority="1712" aboveAverage="0" equalAverage="0" bottom="0" percent="0" rank="0" text="" dxfId="1">
      <formula>AND(M428&gt;=10,M428&lt;20)</formula>
    </cfRule>
    <cfRule type="expression" priority="1713" aboveAverage="0" equalAverage="0" bottom="0" percent="0" rank="0" text="" dxfId="2">
      <formula>AND(M428&gt;=5,M428&lt;10)</formula>
    </cfRule>
    <cfRule type="expression" priority="1714" aboveAverage="0" equalAverage="0" bottom="0" percent="0" rank="0" text="" dxfId="3">
      <formula>AND(M428&gt;=1,M428&lt;5)</formula>
    </cfRule>
  </conditionalFormatting>
  <conditionalFormatting sqref="M429">
    <cfRule type="expression" priority="1715" aboveAverage="0" equalAverage="0" bottom="0" percent="0" rank="0" text="" dxfId="0">
      <formula>M429&gt;=20</formula>
    </cfRule>
    <cfRule type="expression" priority="1716" aboveAverage="0" equalAverage="0" bottom="0" percent="0" rank="0" text="" dxfId="1">
      <formula>AND(M429&gt;=10,M429&lt;20)</formula>
    </cfRule>
    <cfRule type="expression" priority="1717" aboveAverage="0" equalAverage="0" bottom="0" percent="0" rank="0" text="" dxfId="2">
      <formula>AND(M429&gt;=5,M429&lt;10)</formula>
    </cfRule>
    <cfRule type="expression" priority="1718" aboveAverage="0" equalAverage="0" bottom="0" percent="0" rank="0" text="" dxfId="3">
      <formula>AND(M429&gt;=1,M429&lt;5)</formula>
    </cfRule>
  </conditionalFormatting>
  <conditionalFormatting sqref="M430">
    <cfRule type="expression" priority="1719" aboveAverage="0" equalAverage="0" bottom="0" percent="0" rank="0" text="" dxfId="0">
      <formula>M430&gt;=20</formula>
    </cfRule>
    <cfRule type="expression" priority="1720" aboveAverage="0" equalAverage="0" bottom="0" percent="0" rank="0" text="" dxfId="1">
      <formula>AND(M430&gt;=10,M430&lt;20)</formula>
    </cfRule>
    <cfRule type="expression" priority="1721" aboveAverage="0" equalAverage="0" bottom="0" percent="0" rank="0" text="" dxfId="2">
      <formula>AND(M430&gt;=5,M430&lt;10)</formula>
    </cfRule>
    <cfRule type="expression" priority="1722" aboveAverage="0" equalAverage="0" bottom="0" percent="0" rank="0" text="" dxfId="3">
      <formula>AND(M430&gt;=1,M430&lt;5)</formula>
    </cfRule>
  </conditionalFormatting>
  <conditionalFormatting sqref="M431">
    <cfRule type="expression" priority="1723" aboveAverage="0" equalAverage="0" bottom="0" percent="0" rank="0" text="" dxfId="0">
      <formula>M431&gt;=20</formula>
    </cfRule>
    <cfRule type="expression" priority="1724" aboveAverage="0" equalAverage="0" bottom="0" percent="0" rank="0" text="" dxfId="1">
      <formula>AND(M431&gt;=10,M431&lt;20)</formula>
    </cfRule>
    <cfRule type="expression" priority="1725" aboveAverage="0" equalAverage="0" bottom="0" percent="0" rank="0" text="" dxfId="2">
      <formula>AND(M431&gt;=5,M431&lt;10)</formula>
    </cfRule>
    <cfRule type="expression" priority="1726" aboveAverage="0" equalAverage="0" bottom="0" percent="0" rank="0" text="" dxfId="3">
      <formula>AND(M431&gt;=1,M431&lt;5)</formula>
    </cfRule>
  </conditionalFormatting>
  <conditionalFormatting sqref="M432">
    <cfRule type="expression" priority="1727" aboveAverage="0" equalAverage="0" bottom="0" percent="0" rank="0" text="" dxfId="0">
      <formula>M432&gt;=20</formula>
    </cfRule>
    <cfRule type="expression" priority="1728" aboveAverage="0" equalAverage="0" bottom="0" percent="0" rank="0" text="" dxfId="1">
      <formula>AND(M432&gt;=10,M432&lt;20)</formula>
    </cfRule>
    <cfRule type="expression" priority="1729" aboveAverage="0" equalAverage="0" bottom="0" percent="0" rank="0" text="" dxfId="2">
      <formula>AND(M432&gt;=5,M432&lt;10)</formula>
    </cfRule>
    <cfRule type="expression" priority="1730" aboveAverage="0" equalAverage="0" bottom="0" percent="0" rank="0" text="" dxfId="3">
      <formula>AND(M432&gt;=1,M432&lt;5)</formula>
    </cfRule>
  </conditionalFormatting>
  <conditionalFormatting sqref="M433">
    <cfRule type="expression" priority="1731" aboveAverage="0" equalAverage="0" bottom="0" percent="0" rank="0" text="" dxfId="0">
      <formula>M433&gt;=20</formula>
    </cfRule>
    <cfRule type="expression" priority="1732" aboveAverage="0" equalAverage="0" bottom="0" percent="0" rank="0" text="" dxfId="1">
      <formula>AND(M433&gt;=10,M433&lt;20)</formula>
    </cfRule>
    <cfRule type="expression" priority="1733" aboveAverage="0" equalAverage="0" bottom="0" percent="0" rank="0" text="" dxfId="2">
      <formula>AND(M433&gt;=5,M433&lt;10)</formula>
    </cfRule>
    <cfRule type="expression" priority="1734" aboveAverage="0" equalAverage="0" bottom="0" percent="0" rank="0" text="" dxfId="3">
      <formula>AND(M433&gt;=1,M433&lt;5)</formula>
    </cfRule>
  </conditionalFormatting>
  <conditionalFormatting sqref="M434">
    <cfRule type="expression" priority="1735" aboveAverage="0" equalAverage="0" bottom="0" percent="0" rank="0" text="" dxfId="0">
      <formula>M434&gt;=20</formula>
    </cfRule>
    <cfRule type="expression" priority="1736" aboveAverage="0" equalAverage="0" bottom="0" percent="0" rank="0" text="" dxfId="1">
      <formula>AND(M434&gt;=10,M434&lt;20)</formula>
    </cfRule>
    <cfRule type="expression" priority="1737" aboveAverage="0" equalAverage="0" bottom="0" percent="0" rank="0" text="" dxfId="2">
      <formula>AND(M434&gt;=5,M434&lt;10)</formula>
    </cfRule>
    <cfRule type="expression" priority="1738" aboveAverage="0" equalAverage="0" bottom="0" percent="0" rank="0" text="" dxfId="3">
      <formula>AND(M434&gt;=1,M434&lt;5)</formula>
    </cfRule>
  </conditionalFormatting>
  <conditionalFormatting sqref="M435">
    <cfRule type="expression" priority="1739" aboveAverage="0" equalAverage="0" bottom="0" percent="0" rank="0" text="" dxfId="0">
      <formula>M435&gt;=20</formula>
    </cfRule>
    <cfRule type="expression" priority="1740" aboveAverage="0" equalAverage="0" bottom="0" percent="0" rank="0" text="" dxfId="1">
      <formula>AND(M435&gt;=10,M435&lt;20)</formula>
    </cfRule>
    <cfRule type="expression" priority="1741" aboveAverage="0" equalAverage="0" bottom="0" percent="0" rank="0" text="" dxfId="2">
      <formula>AND(M435&gt;=5,M435&lt;10)</formula>
    </cfRule>
    <cfRule type="expression" priority="1742" aboveAverage="0" equalAverage="0" bottom="0" percent="0" rank="0" text="" dxfId="3">
      <formula>AND(M435&gt;=1,M435&lt;5)</formula>
    </cfRule>
  </conditionalFormatting>
  <conditionalFormatting sqref="M436">
    <cfRule type="expression" priority="1743" aboveAverage="0" equalAverage="0" bottom="0" percent="0" rank="0" text="" dxfId="0">
      <formula>M436&gt;=20</formula>
    </cfRule>
    <cfRule type="expression" priority="1744" aboveAverage="0" equalAverage="0" bottom="0" percent="0" rank="0" text="" dxfId="1">
      <formula>AND(M436&gt;=10,M436&lt;20)</formula>
    </cfRule>
    <cfRule type="expression" priority="1745" aboveAverage="0" equalAverage="0" bottom="0" percent="0" rank="0" text="" dxfId="2">
      <formula>AND(M436&gt;=5,M436&lt;10)</formula>
    </cfRule>
    <cfRule type="expression" priority="1746" aboveAverage="0" equalAverage="0" bottom="0" percent="0" rank="0" text="" dxfId="3">
      <formula>AND(M436&gt;=1,M436&lt;5)</formula>
    </cfRule>
  </conditionalFormatting>
  <conditionalFormatting sqref="M437">
    <cfRule type="expression" priority="1747" aboveAverage="0" equalAverage="0" bottom="0" percent="0" rank="0" text="" dxfId="0">
      <formula>M437&gt;=20</formula>
    </cfRule>
    <cfRule type="expression" priority="1748" aboveAverage="0" equalAverage="0" bottom="0" percent="0" rank="0" text="" dxfId="1">
      <formula>AND(M437&gt;=10,M437&lt;20)</formula>
    </cfRule>
    <cfRule type="expression" priority="1749" aboveAverage="0" equalAverage="0" bottom="0" percent="0" rank="0" text="" dxfId="2">
      <formula>AND(M437&gt;=5,M437&lt;10)</formula>
    </cfRule>
    <cfRule type="expression" priority="1750" aboveAverage="0" equalAverage="0" bottom="0" percent="0" rank="0" text="" dxfId="3">
      <formula>AND(M437&gt;=1,M437&lt;5)</formula>
    </cfRule>
  </conditionalFormatting>
  <conditionalFormatting sqref="M438">
    <cfRule type="expression" priority="1751" aboveAverage="0" equalAverage="0" bottom="0" percent="0" rank="0" text="" dxfId="0">
      <formula>M438&gt;=20</formula>
    </cfRule>
    <cfRule type="expression" priority="1752" aboveAverage="0" equalAverage="0" bottom="0" percent="0" rank="0" text="" dxfId="1">
      <formula>AND(M438&gt;=10,M438&lt;20)</formula>
    </cfRule>
    <cfRule type="expression" priority="1753" aboveAverage="0" equalAverage="0" bottom="0" percent="0" rank="0" text="" dxfId="2">
      <formula>AND(M438&gt;=5,M438&lt;10)</formula>
    </cfRule>
    <cfRule type="expression" priority="1754" aboveAverage="0" equalAverage="0" bottom="0" percent="0" rank="0" text="" dxfId="3">
      <formula>AND(M438&gt;=1,M438&lt;5)</formula>
    </cfRule>
  </conditionalFormatting>
  <conditionalFormatting sqref="M439">
    <cfRule type="expression" priority="1755" aboveAverage="0" equalAverage="0" bottom="0" percent="0" rank="0" text="" dxfId="0">
      <formula>M439&gt;=20</formula>
    </cfRule>
    <cfRule type="expression" priority="1756" aboveAverage="0" equalAverage="0" bottom="0" percent="0" rank="0" text="" dxfId="1">
      <formula>AND(M439&gt;=10,M439&lt;20)</formula>
    </cfRule>
    <cfRule type="expression" priority="1757" aboveAverage="0" equalAverage="0" bottom="0" percent="0" rank="0" text="" dxfId="2">
      <formula>AND(M439&gt;=5,M439&lt;10)</formula>
    </cfRule>
    <cfRule type="expression" priority="1758" aboveAverage="0" equalAverage="0" bottom="0" percent="0" rank="0" text="" dxfId="3">
      <formula>AND(M439&gt;=1,M439&lt;5)</formula>
    </cfRule>
  </conditionalFormatting>
  <conditionalFormatting sqref="M440">
    <cfRule type="expression" priority="1759" aboveAverage="0" equalAverage="0" bottom="0" percent="0" rank="0" text="" dxfId="0">
      <formula>M440&gt;=20</formula>
    </cfRule>
    <cfRule type="expression" priority="1760" aboveAverage="0" equalAverage="0" bottom="0" percent="0" rank="0" text="" dxfId="1">
      <formula>AND(M440&gt;=10,M440&lt;20)</formula>
    </cfRule>
    <cfRule type="expression" priority="1761" aboveAverage="0" equalAverage="0" bottom="0" percent="0" rank="0" text="" dxfId="2">
      <formula>AND(M440&gt;=5,M440&lt;10)</formula>
    </cfRule>
    <cfRule type="expression" priority="1762" aboveAverage="0" equalAverage="0" bottom="0" percent="0" rank="0" text="" dxfId="3">
      <formula>AND(M440&gt;=1,M440&lt;5)</formula>
    </cfRule>
  </conditionalFormatting>
  <conditionalFormatting sqref="M441">
    <cfRule type="expression" priority="1763" aboveAverage="0" equalAverage="0" bottom="0" percent="0" rank="0" text="" dxfId="0">
      <formula>M441&gt;=20</formula>
    </cfRule>
    <cfRule type="expression" priority="1764" aboveAverage="0" equalAverage="0" bottom="0" percent="0" rank="0" text="" dxfId="1">
      <formula>AND(M441&gt;=10,M441&lt;20)</formula>
    </cfRule>
    <cfRule type="expression" priority="1765" aboveAverage="0" equalAverage="0" bottom="0" percent="0" rank="0" text="" dxfId="2">
      <formula>AND(M441&gt;=5,M441&lt;10)</formula>
    </cfRule>
    <cfRule type="expression" priority="1766" aboveAverage="0" equalAverage="0" bottom="0" percent="0" rank="0" text="" dxfId="3">
      <formula>AND(M441&gt;=1,M441&lt;5)</formula>
    </cfRule>
  </conditionalFormatting>
  <conditionalFormatting sqref="M442">
    <cfRule type="expression" priority="1767" aboveAverage="0" equalAverage="0" bottom="0" percent="0" rank="0" text="" dxfId="0">
      <formula>M442&gt;=20</formula>
    </cfRule>
    <cfRule type="expression" priority="1768" aboveAverage="0" equalAverage="0" bottom="0" percent="0" rank="0" text="" dxfId="1">
      <formula>AND(M442&gt;=10,M442&lt;20)</formula>
    </cfRule>
    <cfRule type="expression" priority="1769" aboveAverage="0" equalAverage="0" bottom="0" percent="0" rank="0" text="" dxfId="2">
      <formula>AND(M442&gt;=5,M442&lt;10)</formula>
    </cfRule>
    <cfRule type="expression" priority="1770" aboveAverage="0" equalAverage="0" bottom="0" percent="0" rank="0" text="" dxfId="3">
      <formula>AND(M442&gt;=1,M442&lt;5)</formula>
    </cfRule>
  </conditionalFormatting>
  <conditionalFormatting sqref="M443">
    <cfRule type="expression" priority="1771" aboveAverage="0" equalAverage="0" bottom="0" percent="0" rank="0" text="" dxfId="0">
      <formula>M443&gt;=20</formula>
    </cfRule>
    <cfRule type="expression" priority="1772" aboveAverage="0" equalAverage="0" bottom="0" percent="0" rank="0" text="" dxfId="1">
      <formula>AND(M443&gt;=10,M443&lt;20)</formula>
    </cfRule>
    <cfRule type="expression" priority="1773" aboveAverage="0" equalAverage="0" bottom="0" percent="0" rank="0" text="" dxfId="2">
      <formula>AND(M443&gt;=5,M443&lt;10)</formula>
    </cfRule>
    <cfRule type="expression" priority="1774" aboveAverage="0" equalAverage="0" bottom="0" percent="0" rank="0" text="" dxfId="3">
      <formula>AND(M443&gt;=1,M443&lt;5)</formula>
    </cfRule>
  </conditionalFormatting>
  <conditionalFormatting sqref="M444">
    <cfRule type="expression" priority="1775" aboveAverage="0" equalAverage="0" bottom="0" percent="0" rank="0" text="" dxfId="0">
      <formula>M444&gt;=20</formula>
    </cfRule>
    <cfRule type="expression" priority="1776" aboveAverage="0" equalAverage="0" bottom="0" percent="0" rank="0" text="" dxfId="1">
      <formula>AND(M444&gt;=10,M444&lt;20)</formula>
    </cfRule>
    <cfRule type="expression" priority="1777" aboveAverage="0" equalAverage="0" bottom="0" percent="0" rank="0" text="" dxfId="2">
      <formula>AND(M444&gt;=5,M444&lt;10)</formula>
    </cfRule>
    <cfRule type="expression" priority="1778" aboveAverage="0" equalAverage="0" bottom="0" percent="0" rank="0" text="" dxfId="3">
      <formula>AND(M444&gt;=1,M444&lt;5)</formula>
    </cfRule>
  </conditionalFormatting>
  <conditionalFormatting sqref="M445">
    <cfRule type="expression" priority="1779" aboveAverage="0" equalAverage="0" bottom="0" percent="0" rank="0" text="" dxfId="0">
      <formula>M445&gt;=20</formula>
    </cfRule>
    <cfRule type="expression" priority="1780" aboveAverage="0" equalAverage="0" bottom="0" percent="0" rank="0" text="" dxfId="1">
      <formula>AND(M445&gt;=10,M445&lt;20)</formula>
    </cfRule>
    <cfRule type="expression" priority="1781" aboveAverage="0" equalAverage="0" bottom="0" percent="0" rank="0" text="" dxfId="2">
      <formula>AND(M445&gt;=5,M445&lt;10)</formula>
    </cfRule>
    <cfRule type="expression" priority="1782" aboveAverage="0" equalAverage="0" bottom="0" percent="0" rank="0" text="" dxfId="3">
      <formula>AND(M445&gt;=1,M445&lt;5)</formula>
    </cfRule>
  </conditionalFormatting>
  <conditionalFormatting sqref="M446">
    <cfRule type="expression" priority="1783" aboveAverage="0" equalAverage="0" bottom="0" percent="0" rank="0" text="" dxfId="0">
      <formula>M446&gt;=20</formula>
    </cfRule>
    <cfRule type="expression" priority="1784" aboveAverage="0" equalAverage="0" bottom="0" percent="0" rank="0" text="" dxfId="1">
      <formula>AND(M446&gt;=10,M446&lt;20)</formula>
    </cfRule>
    <cfRule type="expression" priority="1785" aboveAverage="0" equalAverage="0" bottom="0" percent="0" rank="0" text="" dxfId="2">
      <formula>AND(M446&gt;=5,M446&lt;10)</formula>
    </cfRule>
    <cfRule type="expression" priority="1786" aboveAverage="0" equalAverage="0" bottom="0" percent="0" rank="0" text="" dxfId="3">
      <formula>AND(M446&gt;=1,M446&lt;5)</formula>
    </cfRule>
  </conditionalFormatting>
  <conditionalFormatting sqref="M447">
    <cfRule type="expression" priority="1787" aboveAverage="0" equalAverage="0" bottom="0" percent="0" rank="0" text="" dxfId="0">
      <formula>M447&gt;=20</formula>
    </cfRule>
    <cfRule type="expression" priority="1788" aboveAverage="0" equalAverage="0" bottom="0" percent="0" rank="0" text="" dxfId="1">
      <formula>AND(M447&gt;=10,M447&lt;20)</formula>
    </cfRule>
    <cfRule type="expression" priority="1789" aboveAverage="0" equalAverage="0" bottom="0" percent="0" rank="0" text="" dxfId="2">
      <formula>AND(M447&gt;=5,M447&lt;10)</formula>
    </cfRule>
    <cfRule type="expression" priority="1790" aboveAverage="0" equalAverage="0" bottom="0" percent="0" rank="0" text="" dxfId="3">
      <formula>AND(M447&gt;=1,M447&lt;5)</formula>
    </cfRule>
  </conditionalFormatting>
  <conditionalFormatting sqref="M448">
    <cfRule type="expression" priority="1791" aboveAverage="0" equalAverage="0" bottom="0" percent="0" rank="0" text="" dxfId="0">
      <formula>M448&gt;=20</formula>
    </cfRule>
    <cfRule type="expression" priority="1792" aboveAverage="0" equalAverage="0" bottom="0" percent="0" rank="0" text="" dxfId="1">
      <formula>AND(M448&gt;=10,M448&lt;20)</formula>
    </cfRule>
    <cfRule type="expression" priority="1793" aboveAverage="0" equalAverage="0" bottom="0" percent="0" rank="0" text="" dxfId="2">
      <formula>AND(M448&gt;=5,M448&lt;10)</formula>
    </cfRule>
    <cfRule type="expression" priority="1794" aboveAverage="0" equalAverage="0" bottom="0" percent="0" rank="0" text="" dxfId="3">
      <formula>AND(M448&gt;=1,M448&lt;5)</formula>
    </cfRule>
  </conditionalFormatting>
  <conditionalFormatting sqref="M449">
    <cfRule type="expression" priority="1795" aboveAverage="0" equalAverage="0" bottom="0" percent="0" rank="0" text="" dxfId="0">
      <formula>M449&gt;=20</formula>
    </cfRule>
    <cfRule type="expression" priority="1796" aboveAverage="0" equalAverage="0" bottom="0" percent="0" rank="0" text="" dxfId="1">
      <formula>AND(M449&gt;=10,M449&lt;20)</formula>
    </cfRule>
    <cfRule type="expression" priority="1797" aboveAverage="0" equalAverage="0" bottom="0" percent="0" rank="0" text="" dxfId="2">
      <formula>AND(M449&gt;=5,M449&lt;10)</formula>
    </cfRule>
    <cfRule type="expression" priority="1798" aboveAverage="0" equalAverage="0" bottom="0" percent="0" rank="0" text="" dxfId="3">
      <formula>AND(M449&gt;=1,M449&lt;5)</formula>
    </cfRule>
  </conditionalFormatting>
  <conditionalFormatting sqref="M450">
    <cfRule type="expression" priority="1799" aboveAverage="0" equalAverage="0" bottom="0" percent="0" rank="0" text="" dxfId="0">
      <formula>M450&gt;=20</formula>
    </cfRule>
    <cfRule type="expression" priority="1800" aboveAverage="0" equalAverage="0" bottom="0" percent="0" rank="0" text="" dxfId="1">
      <formula>AND(M450&gt;=10,M450&lt;20)</formula>
    </cfRule>
    <cfRule type="expression" priority="1801" aboveAverage="0" equalAverage="0" bottom="0" percent="0" rank="0" text="" dxfId="2">
      <formula>AND(M450&gt;=5,M450&lt;10)</formula>
    </cfRule>
    <cfRule type="expression" priority="1802" aboveAverage="0" equalAverage="0" bottom="0" percent="0" rank="0" text="" dxfId="3">
      <formula>AND(M450&gt;=1,M450&lt;5)</formula>
    </cfRule>
  </conditionalFormatting>
  <conditionalFormatting sqref="M451">
    <cfRule type="expression" priority="1803" aboveAverage="0" equalAverage="0" bottom="0" percent="0" rank="0" text="" dxfId="0">
      <formula>M451&gt;=20</formula>
    </cfRule>
    <cfRule type="expression" priority="1804" aboveAverage="0" equalAverage="0" bottom="0" percent="0" rank="0" text="" dxfId="1">
      <formula>AND(M451&gt;=10,M451&lt;20)</formula>
    </cfRule>
    <cfRule type="expression" priority="1805" aboveAverage="0" equalAverage="0" bottom="0" percent="0" rank="0" text="" dxfId="2">
      <formula>AND(M451&gt;=5,M451&lt;10)</formula>
    </cfRule>
    <cfRule type="expression" priority="1806" aboveAverage="0" equalAverage="0" bottom="0" percent="0" rank="0" text="" dxfId="3">
      <formula>AND(M451&gt;=1,M451&lt;5)</formula>
    </cfRule>
  </conditionalFormatting>
  <conditionalFormatting sqref="M452">
    <cfRule type="expression" priority="1807" aboveAverage="0" equalAverage="0" bottom="0" percent="0" rank="0" text="" dxfId="0">
      <formula>M452&gt;=20</formula>
    </cfRule>
    <cfRule type="expression" priority="1808" aboveAverage="0" equalAverage="0" bottom="0" percent="0" rank="0" text="" dxfId="1">
      <formula>AND(M452&gt;=10,M452&lt;20)</formula>
    </cfRule>
    <cfRule type="expression" priority="1809" aboveAverage="0" equalAverage="0" bottom="0" percent="0" rank="0" text="" dxfId="2">
      <formula>AND(M452&gt;=5,M452&lt;10)</formula>
    </cfRule>
    <cfRule type="expression" priority="1810" aboveAverage="0" equalAverage="0" bottom="0" percent="0" rank="0" text="" dxfId="3">
      <formula>AND(M452&gt;=1,M452&lt;5)</formula>
    </cfRule>
  </conditionalFormatting>
  <conditionalFormatting sqref="M453">
    <cfRule type="expression" priority="1811" aboveAverage="0" equalAverage="0" bottom="0" percent="0" rank="0" text="" dxfId="0">
      <formula>M453&gt;=20</formula>
    </cfRule>
    <cfRule type="expression" priority="1812" aboveAverage="0" equalAverage="0" bottom="0" percent="0" rank="0" text="" dxfId="1">
      <formula>AND(M453&gt;=10,M453&lt;20)</formula>
    </cfRule>
    <cfRule type="expression" priority="1813" aboveAverage="0" equalAverage="0" bottom="0" percent="0" rank="0" text="" dxfId="2">
      <formula>AND(M453&gt;=5,M453&lt;10)</formula>
    </cfRule>
    <cfRule type="expression" priority="1814" aboveAverage="0" equalAverage="0" bottom="0" percent="0" rank="0" text="" dxfId="3">
      <formula>AND(M453&gt;=1,M453&lt;5)</formula>
    </cfRule>
  </conditionalFormatting>
  <conditionalFormatting sqref="M454">
    <cfRule type="expression" priority="1815" aboveAverage="0" equalAverage="0" bottom="0" percent="0" rank="0" text="" dxfId="0">
      <formula>M454&gt;=20</formula>
    </cfRule>
    <cfRule type="expression" priority="1816" aboveAverage="0" equalAverage="0" bottom="0" percent="0" rank="0" text="" dxfId="1">
      <formula>AND(M454&gt;=10,M454&lt;20)</formula>
    </cfRule>
    <cfRule type="expression" priority="1817" aboveAverage="0" equalAverage="0" bottom="0" percent="0" rank="0" text="" dxfId="2">
      <formula>AND(M454&gt;=5,M454&lt;10)</formula>
    </cfRule>
    <cfRule type="expression" priority="1818" aboveAverage="0" equalAverage="0" bottom="0" percent="0" rank="0" text="" dxfId="3">
      <formula>AND(M454&gt;=1,M454&lt;5)</formula>
    </cfRule>
  </conditionalFormatting>
  <conditionalFormatting sqref="M455">
    <cfRule type="expression" priority="1819" aboveAverage="0" equalAverage="0" bottom="0" percent="0" rank="0" text="" dxfId="0">
      <formula>M455&gt;=20</formula>
    </cfRule>
    <cfRule type="expression" priority="1820" aboveAverage="0" equalAverage="0" bottom="0" percent="0" rank="0" text="" dxfId="1">
      <formula>AND(M455&gt;=10,M455&lt;20)</formula>
    </cfRule>
    <cfRule type="expression" priority="1821" aboveAverage="0" equalAverage="0" bottom="0" percent="0" rank="0" text="" dxfId="2">
      <formula>AND(M455&gt;=5,M455&lt;10)</formula>
    </cfRule>
    <cfRule type="expression" priority="1822" aboveAverage="0" equalAverage="0" bottom="0" percent="0" rank="0" text="" dxfId="3">
      <formula>AND(M455&gt;=1,M455&lt;5)</formula>
    </cfRule>
  </conditionalFormatting>
  <conditionalFormatting sqref="M456">
    <cfRule type="expression" priority="1823" aboveAverage="0" equalAverage="0" bottom="0" percent="0" rank="0" text="" dxfId="0">
      <formula>M456&gt;=20</formula>
    </cfRule>
    <cfRule type="expression" priority="1824" aboveAverage="0" equalAverage="0" bottom="0" percent="0" rank="0" text="" dxfId="1">
      <formula>AND(M456&gt;=10,M456&lt;20)</formula>
    </cfRule>
    <cfRule type="expression" priority="1825" aboveAverage="0" equalAverage="0" bottom="0" percent="0" rank="0" text="" dxfId="2">
      <formula>AND(M456&gt;=5,M456&lt;10)</formula>
    </cfRule>
    <cfRule type="expression" priority="1826" aboveAverage="0" equalAverage="0" bottom="0" percent="0" rank="0" text="" dxfId="3">
      <formula>AND(M456&gt;=1,M456&lt;5)</formula>
    </cfRule>
  </conditionalFormatting>
  <conditionalFormatting sqref="M457">
    <cfRule type="expression" priority="1827" aboveAverage="0" equalAverage="0" bottom="0" percent="0" rank="0" text="" dxfId="0">
      <formula>M457&gt;=20</formula>
    </cfRule>
    <cfRule type="expression" priority="1828" aboveAverage="0" equalAverage="0" bottom="0" percent="0" rank="0" text="" dxfId="1">
      <formula>AND(M457&gt;=10,M457&lt;20)</formula>
    </cfRule>
    <cfRule type="expression" priority="1829" aboveAverage="0" equalAverage="0" bottom="0" percent="0" rank="0" text="" dxfId="2">
      <formula>AND(M457&gt;=5,M457&lt;10)</formula>
    </cfRule>
    <cfRule type="expression" priority="1830" aboveAverage="0" equalAverage="0" bottom="0" percent="0" rank="0" text="" dxfId="3">
      <formula>AND(M457&gt;=1,M457&lt;5)</formula>
    </cfRule>
  </conditionalFormatting>
  <conditionalFormatting sqref="M458">
    <cfRule type="expression" priority="1831" aboveAverage="0" equalAverage="0" bottom="0" percent="0" rank="0" text="" dxfId="0">
      <formula>M458&gt;=20</formula>
    </cfRule>
    <cfRule type="expression" priority="1832" aboveAverage="0" equalAverage="0" bottom="0" percent="0" rank="0" text="" dxfId="1">
      <formula>AND(M458&gt;=10,M458&lt;20)</formula>
    </cfRule>
    <cfRule type="expression" priority="1833" aboveAverage="0" equalAverage="0" bottom="0" percent="0" rank="0" text="" dxfId="2">
      <formula>AND(M458&gt;=5,M458&lt;10)</formula>
    </cfRule>
    <cfRule type="expression" priority="1834" aboveAverage="0" equalAverage="0" bottom="0" percent="0" rank="0" text="" dxfId="3">
      <formula>AND(M458&gt;=1,M458&lt;5)</formula>
    </cfRule>
  </conditionalFormatting>
  <conditionalFormatting sqref="M459">
    <cfRule type="expression" priority="1835" aboveAverage="0" equalAverage="0" bottom="0" percent="0" rank="0" text="" dxfId="0">
      <formula>M459&gt;=20</formula>
    </cfRule>
    <cfRule type="expression" priority="1836" aboveAverage="0" equalAverage="0" bottom="0" percent="0" rank="0" text="" dxfId="1">
      <formula>AND(M459&gt;=10,M459&lt;20)</formula>
    </cfRule>
    <cfRule type="expression" priority="1837" aboveAverage="0" equalAverage="0" bottom="0" percent="0" rank="0" text="" dxfId="2">
      <formula>AND(M459&gt;=5,M459&lt;10)</formula>
    </cfRule>
    <cfRule type="expression" priority="1838" aboveAverage="0" equalAverage="0" bottom="0" percent="0" rank="0" text="" dxfId="3">
      <formula>AND(M459&gt;=1,M459&lt;5)</formula>
    </cfRule>
  </conditionalFormatting>
  <conditionalFormatting sqref="M460">
    <cfRule type="expression" priority="1839" aboveAverage="0" equalAverage="0" bottom="0" percent="0" rank="0" text="" dxfId="0">
      <formula>M460&gt;=20</formula>
    </cfRule>
    <cfRule type="expression" priority="1840" aboveAverage="0" equalAverage="0" bottom="0" percent="0" rank="0" text="" dxfId="1">
      <formula>AND(M460&gt;=10,M460&lt;20)</formula>
    </cfRule>
    <cfRule type="expression" priority="1841" aboveAverage="0" equalAverage="0" bottom="0" percent="0" rank="0" text="" dxfId="2">
      <formula>AND(M460&gt;=5,M460&lt;10)</formula>
    </cfRule>
    <cfRule type="expression" priority="1842" aboveAverage="0" equalAverage="0" bottom="0" percent="0" rank="0" text="" dxfId="3">
      <formula>AND(M460&gt;=1,M460&lt;5)</formula>
    </cfRule>
  </conditionalFormatting>
  <conditionalFormatting sqref="M461">
    <cfRule type="expression" priority="1843" aboveAverage="0" equalAverage="0" bottom="0" percent="0" rank="0" text="" dxfId="0">
      <formula>M461&gt;=20</formula>
    </cfRule>
    <cfRule type="expression" priority="1844" aboveAverage="0" equalAverage="0" bottom="0" percent="0" rank="0" text="" dxfId="1">
      <formula>AND(M461&gt;=10,M461&lt;20)</formula>
    </cfRule>
    <cfRule type="expression" priority="1845" aboveAverage="0" equalAverage="0" bottom="0" percent="0" rank="0" text="" dxfId="2">
      <formula>AND(M461&gt;=5,M461&lt;10)</formula>
    </cfRule>
    <cfRule type="expression" priority="1846" aboveAverage="0" equalAverage="0" bottom="0" percent="0" rank="0" text="" dxfId="3">
      <formula>AND(M461&gt;=1,M461&lt;5)</formula>
    </cfRule>
  </conditionalFormatting>
  <conditionalFormatting sqref="M462">
    <cfRule type="expression" priority="1847" aboveAverage="0" equalAverage="0" bottom="0" percent="0" rank="0" text="" dxfId="0">
      <formula>M462&gt;=20</formula>
    </cfRule>
    <cfRule type="expression" priority="1848" aboveAverage="0" equalAverage="0" bottom="0" percent="0" rank="0" text="" dxfId="1">
      <formula>AND(M462&gt;=10,M462&lt;20)</formula>
    </cfRule>
    <cfRule type="expression" priority="1849" aboveAverage="0" equalAverage="0" bottom="0" percent="0" rank="0" text="" dxfId="2">
      <formula>AND(M462&gt;=5,M462&lt;10)</formula>
    </cfRule>
    <cfRule type="expression" priority="1850" aboveAverage="0" equalAverage="0" bottom="0" percent="0" rank="0" text="" dxfId="3">
      <formula>AND(M462&gt;=1,M462&lt;5)</formula>
    </cfRule>
  </conditionalFormatting>
  <conditionalFormatting sqref="M463">
    <cfRule type="expression" priority="1851" aboveAverage="0" equalAverage="0" bottom="0" percent="0" rank="0" text="" dxfId="0">
      <formula>M463&gt;=20</formula>
    </cfRule>
    <cfRule type="expression" priority="1852" aboveAverage="0" equalAverage="0" bottom="0" percent="0" rank="0" text="" dxfId="1">
      <formula>AND(M463&gt;=10,M463&lt;20)</formula>
    </cfRule>
    <cfRule type="expression" priority="1853" aboveAverage="0" equalAverage="0" bottom="0" percent="0" rank="0" text="" dxfId="2">
      <formula>AND(M463&gt;=5,M463&lt;10)</formula>
    </cfRule>
    <cfRule type="expression" priority="1854" aboveAverage="0" equalAverage="0" bottom="0" percent="0" rank="0" text="" dxfId="3">
      <formula>AND(M463&gt;=1,M463&lt;5)</formula>
    </cfRule>
  </conditionalFormatting>
  <conditionalFormatting sqref="M464">
    <cfRule type="expression" priority="1855" aboveAverage="0" equalAverage="0" bottom="0" percent="0" rank="0" text="" dxfId="0">
      <formula>M464&gt;=20</formula>
    </cfRule>
    <cfRule type="expression" priority="1856" aboveAverage="0" equalAverage="0" bottom="0" percent="0" rank="0" text="" dxfId="1">
      <formula>AND(M464&gt;=10,M464&lt;20)</formula>
    </cfRule>
    <cfRule type="expression" priority="1857" aboveAverage="0" equalAverage="0" bottom="0" percent="0" rank="0" text="" dxfId="2">
      <formula>AND(M464&gt;=5,M464&lt;10)</formula>
    </cfRule>
    <cfRule type="expression" priority="1858" aboveAverage="0" equalAverage="0" bottom="0" percent="0" rank="0" text="" dxfId="3">
      <formula>AND(M464&gt;=1,M464&lt;5)</formula>
    </cfRule>
  </conditionalFormatting>
  <conditionalFormatting sqref="M465">
    <cfRule type="expression" priority="1859" aboveAverage="0" equalAverage="0" bottom="0" percent="0" rank="0" text="" dxfId="0">
      <formula>M465&gt;=20</formula>
    </cfRule>
    <cfRule type="expression" priority="1860" aboveAverage="0" equalAverage="0" bottom="0" percent="0" rank="0" text="" dxfId="1">
      <formula>AND(M465&gt;=10,M465&lt;20)</formula>
    </cfRule>
    <cfRule type="expression" priority="1861" aboveAverage="0" equalAverage="0" bottom="0" percent="0" rank="0" text="" dxfId="2">
      <formula>AND(M465&gt;=5,M465&lt;10)</formula>
    </cfRule>
    <cfRule type="expression" priority="1862" aboveAverage="0" equalAverage="0" bottom="0" percent="0" rank="0" text="" dxfId="3">
      <formula>AND(M465&gt;=1,M465&lt;5)</formula>
    </cfRule>
  </conditionalFormatting>
  <conditionalFormatting sqref="M466">
    <cfRule type="expression" priority="1863" aboveAverage="0" equalAverage="0" bottom="0" percent="0" rank="0" text="" dxfId="0">
      <formula>M466&gt;=20</formula>
    </cfRule>
    <cfRule type="expression" priority="1864" aboveAverage="0" equalAverage="0" bottom="0" percent="0" rank="0" text="" dxfId="1">
      <formula>AND(M466&gt;=10,M466&lt;20)</formula>
    </cfRule>
    <cfRule type="expression" priority="1865" aboveAverage="0" equalAverage="0" bottom="0" percent="0" rank="0" text="" dxfId="2">
      <formula>AND(M466&gt;=5,M466&lt;10)</formula>
    </cfRule>
    <cfRule type="expression" priority="1866" aboveAverage="0" equalAverage="0" bottom="0" percent="0" rank="0" text="" dxfId="3">
      <formula>AND(M466&gt;=1,M466&lt;5)</formula>
    </cfRule>
  </conditionalFormatting>
  <conditionalFormatting sqref="M467">
    <cfRule type="expression" priority="1867" aboveAverage="0" equalAverage="0" bottom="0" percent="0" rank="0" text="" dxfId="0">
      <formula>M467&gt;=20</formula>
    </cfRule>
    <cfRule type="expression" priority="1868" aboveAverage="0" equalAverage="0" bottom="0" percent="0" rank="0" text="" dxfId="1">
      <formula>AND(M467&gt;=10,M467&lt;20)</formula>
    </cfRule>
    <cfRule type="expression" priority="1869" aboveAverage="0" equalAverage="0" bottom="0" percent="0" rank="0" text="" dxfId="2">
      <formula>AND(M467&gt;=5,M467&lt;10)</formula>
    </cfRule>
    <cfRule type="expression" priority="1870" aboveAverage="0" equalAverage="0" bottom="0" percent="0" rank="0" text="" dxfId="3">
      <formula>AND(M467&gt;=1,M467&lt;5)</formula>
    </cfRule>
  </conditionalFormatting>
  <conditionalFormatting sqref="M468">
    <cfRule type="expression" priority="1871" aboveAverage="0" equalAverage="0" bottom="0" percent="0" rank="0" text="" dxfId="0">
      <formula>M468&gt;=20</formula>
    </cfRule>
    <cfRule type="expression" priority="1872" aboveAverage="0" equalAverage="0" bottom="0" percent="0" rank="0" text="" dxfId="1">
      <formula>AND(M468&gt;=10,M468&lt;20)</formula>
    </cfRule>
    <cfRule type="expression" priority="1873" aboveAverage="0" equalAverage="0" bottom="0" percent="0" rank="0" text="" dxfId="2">
      <formula>AND(M468&gt;=5,M468&lt;10)</formula>
    </cfRule>
    <cfRule type="expression" priority="1874" aboveAverage="0" equalAverage="0" bottom="0" percent="0" rank="0" text="" dxfId="3">
      <formula>AND(M468&gt;=1,M468&lt;5)</formula>
    </cfRule>
  </conditionalFormatting>
  <conditionalFormatting sqref="M469">
    <cfRule type="expression" priority="1875" aboveAverage="0" equalAverage="0" bottom="0" percent="0" rank="0" text="" dxfId="0">
      <formula>M469&gt;=20</formula>
    </cfRule>
    <cfRule type="expression" priority="1876" aboveAverage="0" equalAverage="0" bottom="0" percent="0" rank="0" text="" dxfId="1">
      <formula>AND(M469&gt;=10,M469&lt;20)</formula>
    </cfRule>
    <cfRule type="expression" priority="1877" aboveAverage="0" equalAverage="0" bottom="0" percent="0" rank="0" text="" dxfId="2">
      <formula>AND(M469&gt;=5,M469&lt;10)</formula>
    </cfRule>
    <cfRule type="expression" priority="1878" aboveAverage="0" equalAverage="0" bottom="0" percent="0" rank="0" text="" dxfId="3">
      <formula>AND(M469&gt;=1,M469&lt;5)</formula>
    </cfRule>
  </conditionalFormatting>
  <conditionalFormatting sqref="M470">
    <cfRule type="expression" priority="1879" aboveAverage="0" equalAverage="0" bottom="0" percent="0" rank="0" text="" dxfId="0">
      <formula>M470&gt;=20</formula>
    </cfRule>
    <cfRule type="expression" priority="1880" aboveAverage="0" equalAverage="0" bottom="0" percent="0" rank="0" text="" dxfId="1">
      <formula>AND(M470&gt;=10,M470&lt;20)</formula>
    </cfRule>
    <cfRule type="expression" priority="1881" aboveAverage="0" equalAverage="0" bottom="0" percent="0" rank="0" text="" dxfId="2">
      <formula>AND(M470&gt;=5,M470&lt;10)</formula>
    </cfRule>
    <cfRule type="expression" priority="1882" aboveAverage="0" equalAverage="0" bottom="0" percent="0" rank="0" text="" dxfId="3">
      <formula>AND(M470&gt;=1,M470&lt;5)</formula>
    </cfRule>
  </conditionalFormatting>
  <conditionalFormatting sqref="M471">
    <cfRule type="expression" priority="1883" aboveAverage="0" equalAverage="0" bottom="0" percent="0" rank="0" text="" dxfId="0">
      <formula>M471&gt;=20</formula>
    </cfRule>
    <cfRule type="expression" priority="1884" aboveAverage="0" equalAverage="0" bottom="0" percent="0" rank="0" text="" dxfId="1">
      <formula>AND(M471&gt;=10,M471&lt;20)</formula>
    </cfRule>
    <cfRule type="expression" priority="1885" aboveAverage="0" equalAverage="0" bottom="0" percent="0" rank="0" text="" dxfId="2">
      <formula>AND(M471&gt;=5,M471&lt;10)</formula>
    </cfRule>
    <cfRule type="expression" priority="1886" aboveAverage="0" equalAverage="0" bottom="0" percent="0" rank="0" text="" dxfId="3">
      <formula>AND(M471&gt;=1,M471&lt;5)</formula>
    </cfRule>
  </conditionalFormatting>
  <conditionalFormatting sqref="M472">
    <cfRule type="expression" priority="1887" aboveAverage="0" equalAverage="0" bottom="0" percent="0" rank="0" text="" dxfId="0">
      <formula>M472&gt;=20</formula>
    </cfRule>
    <cfRule type="expression" priority="1888" aboveAverage="0" equalAverage="0" bottom="0" percent="0" rank="0" text="" dxfId="1">
      <formula>AND(M472&gt;=10,M472&lt;20)</formula>
    </cfRule>
    <cfRule type="expression" priority="1889" aboveAverage="0" equalAverage="0" bottom="0" percent="0" rank="0" text="" dxfId="2">
      <formula>AND(M472&gt;=5,M472&lt;10)</formula>
    </cfRule>
    <cfRule type="expression" priority="1890" aboveAverage="0" equalAverage="0" bottom="0" percent="0" rank="0" text="" dxfId="3">
      <formula>AND(M472&gt;=1,M472&lt;5)</formula>
    </cfRule>
  </conditionalFormatting>
  <conditionalFormatting sqref="M473">
    <cfRule type="expression" priority="1891" aboveAverage="0" equalAverage="0" bottom="0" percent="0" rank="0" text="" dxfId="0">
      <formula>M473&gt;=20</formula>
    </cfRule>
    <cfRule type="expression" priority="1892" aboveAverage="0" equalAverage="0" bottom="0" percent="0" rank="0" text="" dxfId="1">
      <formula>AND(M473&gt;=10,M473&lt;20)</formula>
    </cfRule>
    <cfRule type="expression" priority="1893" aboveAverage="0" equalAverage="0" bottom="0" percent="0" rank="0" text="" dxfId="2">
      <formula>AND(M473&gt;=5,M473&lt;10)</formula>
    </cfRule>
    <cfRule type="expression" priority="1894" aboveAverage="0" equalAverage="0" bottom="0" percent="0" rank="0" text="" dxfId="3">
      <formula>AND(M473&gt;=1,M473&lt;5)</formula>
    </cfRule>
  </conditionalFormatting>
  <conditionalFormatting sqref="M474">
    <cfRule type="expression" priority="1895" aboveAverage="0" equalAverage="0" bottom="0" percent="0" rank="0" text="" dxfId="0">
      <formula>M474&gt;=20</formula>
    </cfRule>
    <cfRule type="expression" priority="1896" aboveAverage="0" equalAverage="0" bottom="0" percent="0" rank="0" text="" dxfId="1">
      <formula>AND(M474&gt;=10,M474&lt;20)</formula>
    </cfRule>
    <cfRule type="expression" priority="1897" aboveAverage="0" equalAverage="0" bottom="0" percent="0" rank="0" text="" dxfId="2">
      <formula>AND(M474&gt;=5,M474&lt;10)</formula>
    </cfRule>
    <cfRule type="expression" priority="1898" aboveAverage="0" equalAverage="0" bottom="0" percent="0" rank="0" text="" dxfId="3">
      <formula>AND(M474&gt;=1,M474&lt;5)</formula>
    </cfRule>
  </conditionalFormatting>
  <conditionalFormatting sqref="M475">
    <cfRule type="expression" priority="1899" aboveAverage="0" equalAverage="0" bottom="0" percent="0" rank="0" text="" dxfId="0">
      <formula>M475&gt;=20</formula>
    </cfRule>
    <cfRule type="expression" priority="1900" aboveAverage="0" equalAverage="0" bottom="0" percent="0" rank="0" text="" dxfId="1">
      <formula>AND(M475&gt;=10,M475&lt;20)</formula>
    </cfRule>
    <cfRule type="expression" priority="1901" aboveAverage="0" equalAverage="0" bottom="0" percent="0" rank="0" text="" dxfId="2">
      <formula>AND(M475&gt;=5,M475&lt;10)</formula>
    </cfRule>
    <cfRule type="expression" priority="1902" aboveAverage="0" equalAverage="0" bottom="0" percent="0" rank="0" text="" dxfId="3">
      <formula>AND(M475&gt;=1,M475&lt;5)</formula>
    </cfRule>
  </conditionalFormatting>
  <conditionalFormatting sqref="M476">
    <cfRule type="expression" priority="1903" aboveAverage="0" equalAverage="0" bottom="0" percent="0" rank="0" text="" dxfId="0">
      <formula>M476&gt;=20</formula>
    </cfRule>
    <cfRule type="expression" priority="1904" aboveAverage="0" equalAverage="0" bottom="0" percent="0" rank="0" text="" dxfId="1">
      <formula>AND(M476&gt;=10,M476&lt;20)</formula>
    </cfRule>
    <cfRule type="expression" priority="1905" aboveAverage="0" equalAverage="0" bottom="0" percent="0" rank="0" text="" dxfId="2">
      <formula>AND(M476&gt;=5,M476&lt;10)</formula>
    </cfRule>
    <cfRule type="expression" priority="1906" aboveAverage="0" equalAverage="0" bottom="0" percent="0" rank="0" text="" dxfId="3">
      <formula>AND(M476&gt;=1,M476&lt;5)</formula>
    </cfRule>
  </conditionalFormatting>
  <conditionalFormatting sqref="M477">
    <cfRule type="expression" priority="1907" aboveAverage="0" equalAverage="0" bottom="0" percent="0" rank="0" text="" dxfId="0">
      <formula>M477&gt;=20</formula>
    </cfRule>
    <cfRule type="expression" priority="1908" aboveAverage="0" equalAverage="0" bottom="0" percent="0" rank="0" text="" dxfId="1">
      <formula>AND(M477&gt;=10,M477&lt;20)</formula>
    </cfRule>
    <cfRule type="expression" priority="1909" aboveAverage="0" equalAverage="0" bottom="0" percent="0" rank="0" text="" dxfId="2">
      <formula>AND(M477&gt;=5,M477&lt;10)</formula>
    </cfRule>
    <cfRule type="expression" priority="1910" aboveAverage="0" equalAverage="0" bottom="0" percent="0" rank="0" text="" dxfId="3">
      <formula>AND(M477&gt;=1,M477&lt;5)</formula>
    </cfRule>
  </conditionalFormatting>
  <conditionalFormatting sqref="M478">
    <cfRule type="expression" priority="1911" aboveAverage="0" equalAverage="0" bottom="0" percent="0" rank="0" text="" dxfId="0">
      <formula>M478&gt;=20</formula>
    </cfRule>
    <cfRule type="expression" priority="1912" aboveAverage="0" equalAverage="0" bottom="0" percent="0" rank="0" text="" dxfId="1">
      <formula>AND(M478&gt;=10,M478&lt;20)</formula>
    </cfRule>
    <cfRule type="expression" priority="1913" aboveAverage="0" equalAverage="0" bottom="0" percent="0" rank="0" text="" dxfId="2">
      <formula>AND(M478&gt;=5,M478&lt;10)</formula>
    </cfRule>
    <cfRule type="expression" priority="1914" aboveAverage="0" equalAverage="0" bottom="0" percent="0" rank="0" text="" dxfId="3">
      <formula>AND(M478&gt;=1,M478&lt;5)</formula>
    </cfRule>
  </conditionalFormatting>
  <conditionalFormatting sqref="M479">
    <cfRule type="expression" priority="1915" aboveAverage="0" equalAverage="0" bottom="0" percent="0" rank="0" text="" dxfId="0">
      <formula>M479&gt;=20</formula>
    </cfRule>
    <cfRule type="expression" priority="1916" aboveAverage="0" equalAverage="0" bottom="0" percent="0" rank="0" text="" dxfId="1">
      <formula>AND(M479&gt;=10,M479&lt;20)</formula>
    </cfRule>
    <cfRule type="expression" priority="1917" aboveAverage="0" equalAverage="0" bottom="0" percent="0" rank="0" text="" dxfId="2">
      <formula>AND(M479&gt;=5,M479&lt;10)</formula>
    </cfRule>
    <cfRule type="expression" priority="1918" aboveAverage="0" equalAverage="0" bottom="0" percent="0" rank="0" text="" dxfId="3">
      <formula>AND(M479&gt;=1,M479&lt;5)</formula>
    </cfRule>
  </conditionalFormatting>
  <conditionalFormatting sqref="M480">
    <cfRule type="expression" priority="1919" aboveAverage="0" equalAverage="0" bottom="0" percent="0" rank="0" text="" dxfId="0">
      <formula>M480&gt;=20</formula>
    </cfRule>
    <cfRule type="expression" priority="1920" aboveAverage="0" equalAverage="0" bottom="0" percent="0" rank="0" text="" dxfId="1">
      <formula>AND(M480&gt;=10,M480&lt;20)</formula>
    </cfRule>
    <cfRule type="expression" priority="1921" aboveAverage="0" equalAverage="0" bottom="0" percent="0" rank="0" text="" dxfId="2">
      <formula>AND(M480&gt;=5,M480&lt;10)</formula>
    </cfRule>
    <cfRule type="expression" priority="1922" aboveAverage="0" equalAverage="0" bottom="0" percent="0" rank="0" text="" dxfId="3">
      <formula>AND(M480&gt;=1,M480&lt;5)</formula>
    </cfRule>
  </conditionalFormatting>
  <conditionalFormatting sqref="M481">
    <cfRule type="expression" priority="1923" aboveAverage="0" equalAverage="0" bottom="0" percent="0" rank="0" text="" dxfId="0">
      <formula>M481&gt;=20</formula>
    </cfRule>
    <cfRule type="expression" priority="1924" aboveAverage="0" equalAverage="0" bottom="0" percent="0" rank="0" text="" dxfId="1">
      <formula>AND(M481&gt;=10,M481&lt;20)</formula>
    </cfRule>
    <cfRule type="expression" priority="1925" aboveAverage="0" equalAverage="0" bottom="0" percent="0" rank="0" text="" dxfId="2">
      <formula>AND(M481&gt;=5,M481&lt;10)</formula>
    </cfRule>
    <cfRule type="expression" priority="1926" aboveAverage="0" equalAverage="0" bottom="0" percent="0" rank="0" text="" dxfId="3">
      <formula>AND(M481&gt;=1,M481&lt;5)</formula>
    </cfRule>
  </conditionalFormatting>
  <conditionalFormatting sqref="M482">
    <cfRule type="expression" priority="1927" aboveAverage="0" equalAverage="0" bottom="0" percent="0" rank="0" text="" dxfId="0">
      <formula>M482&gt;=20</formula>
    </cfRule>
    <cfRule type="expression" priority="1928" aboveAverage="0" equalAverage="0" bottom="0" percent="0" rank="0" text="" dxfId="1">
      <formula>AND(M482&gt;=10,M482&lt;20)</formula>
    </cfRule>
    <cfRule type="expression" priority="1929" aboveAverage="0" equalAverage="0" bottom="0" percent="0" rank="0" text="" dxfId="2">
      <formula>AND(M482&gt;=5,M482&lt;10)</formula>
    </cfRule>
    <cfRule type="expression" priority="1930" aboveAverage="0" equalAverage="0" bottom="0" percent="0" rank="0" text="" dxfId="3">
      <formula>AND(M482&gt;=1,M482&lt;5)</formula>
    </cfRule>
  </conditionalFormatting>
  <conditionalFormatting sqref="M483">
    <cfRule type="expression" priority="1931" aboveAverage="0" equalAverage="0" bottom="0" percent="0" rank="0" text="" dxfId="0">
      <formula>M483&gt;=20</formula>
    </cfRule>
    <cfRule type="expression" priority="1932" aboveAverage="0" equalAverage="0" bottom="0" percent="0" rank="0" text="" dxfId="1">
      <formula>AND(M483&gt;=10,M483&lt;20)</formula>
    </cfRule>
    <cfRule type="expression" priority="1933" aboveAverage="0" equalAverage="0" bottom="0" percent="0" rank="0" text="" dxfId="2">
      <formula>AND(M483&gt;=5,M483&lt;10)</formula>
    </cfRule>
    <cfRule type="expression" priority="1934" aboveAverage="0" equalAverage="0" bottom="0" percent="0" rank="0" text="" dxfId="3">
      <formula>AND(M483&gt;=1,M483&lt;5)</formula>
    </cfRule>
  </conditionalFormatting>
  <conditionalFormatting sqref="M484">
    <cfRule type="expression" priority="1935" aboveAverage="0" equalAverage="0" bottom="0" percent="0" rank="0" text="" dxfId="0">
      <formula>M484&gt;=20</formula>
    </cfRule>
    <cfRule type="expression" priority="1936" aboveAverage="0" equalAverage="0" bottom="0" percent="0" rank="0" text="" dxfId="1">
      <formula>AND(M484&gt;=10,M484&lt;20)</formula>
    </cfRule>
    <cfRule type="expression" priority="1937" aboveAverage="0" equalAverage="0" bottom="0" percent="0" rank="0" text="" dxfId="2">
      <formula>AND(M484&gt;=5,M484&lt;10)</formula>
    </cfRule>
    <cfRule type="expression" priority="1938" aboveAverage="0" equalAverage="0" bottom="0" percent="0" rank="0" text="" dxfId="3">
      <formula>AND(M484&gt;=1,M484&lt;5)</formula>
    </cfRule>
  </conditionalFormatting>
  <conditionalFormatting sqref="M485">
    <cfRule type="expression" priority="1939" aboveAverage="0" equalAverage="0" bottom="0" percent="0" rank="0" text="" dxfId="0">
      <formula>M485&gt;=20</formula>
    </cfRule>
    <cfRule type="expression" priority="1940" aboveAverage="0" equalAverage="0" bottom="0" percent="0" rank="0" text="" dxfId="1">
      <formula>AND(M485&gt;=10,M485&lt;20)</formula>
    </cfRule>
    <cfRule type="expression" priority="1941" aboveAverage="0" equalAverage="0" bottom="0" percent="0" rank="0" text="" dxfId="2">
      <formula>AND(M485&gt;=5,M485&lt;10)</formula>
    </cfRule>
    <cfRule type="expression" priority="1942" aboveAverage="0" equalAverage="0" bottom="0" percent="0" rank="0" text="" dxfId="3">
      <formula>AND(M485&gt;=1,M485&lt;5)</formula>
    </cfRule>
  </conditionalFormatting>
  <conditionalFormatting sqref="M486">
    <cfRule type="expression" priority="1943" aboveAverage="0" equalAverage="0" bottom="0" percent="0" rank="0" text="" dxfId="0">
      <formula>M486&gt;=20</formula>
    </cfRule>
    <cfRule type="expression" priority="1944" aboveAverage="0" equalAverage="0" bottom="0" percent="0" rank="0" text="" dxfId="1">
      <formula>AND(M486&gt;=10,M486&lt;20)</formula>
    </cfRule>
    <cfRule type="expression" priority="1945" aboveAverage="0" equalAverage="0" bottom="0" percent="0" rank="0" text="" dxfId="2">
      <formula>AND(M486&gt;=5,M486&lt;10)</formula>
    </cfRule>
    <cfRule type="expression" priority="1946" aboveAverage="0" equalAverage="0" bottom="0" percent="0" rank="0" text="" dxfId="3">
      <formula>AND(M486&gt;=1,M486&lt;5)</formula>
    </cfRule>
  </conditionalFormatting>
  <conditionalFormatting sqref="M487">
    <cfRule type="expression" priority="1947" aboveAverage="0" equalAverage="0" bottom="0" percent="0" rank="0" text="" dxfId="0">
      <formula>M487&gt;=20</formula>
    </cfRule>
    <cfRule type="expression" priority="1948" aboveAverage="0" equalAverage="0" bottom="0" percent="0" rank="0" text="" dxfId="1">
      <formula>AND(M487&gt;=10,M487&lt;20)</formula>
    </cfRule>
    <cfRule type="expression" priority="1949" aboveAverage="0" equalAverage="0" bottom="0" percent="0" rank="0" text="" dxfId="2">
      <formula>AND(M487&gt;=5,M487&lt;10)</formula>
    </cfRule>
    <cfRule type="expression" priority="1950" aboveAverage="0" equalAverage="0" bottom="0" percent="0" rank="0" text="" dxfId="3">
      <formula>AND(M487&gt;=1,M487&lt;5)</formula>
    </cfRule>
  </conditionalFormatting>
  <conditionalFormatting sqref="M488">
    <cfRule type="expression" priority="1951" aboveAverage="0" equalAverage="0" bottom="0" percent="0" rank="0" text="" dxfId="0">
      <formula>M488&gt;=20</formula>
    </cfRule>
    <cfRule type="expression" priority="1952" aboveAverage="0" equalAverage="0" bottom="0" percent="0" rank="0" text="" dxfId="1">
      <formula>AND(M488&gt;=10,M488&lt;20)</formula>
    </cfRule>
    <cfRule type="expression" priority="1953" aboveAverage="0" equalAverage="0" bottom="0" percent="0" rank="0" text="" dxfId="2">
      <formula>AND(M488&gt;=5,M488&lt;10)</formula>
    </cfRule>
    <cfRule type="expression" priority="1954" aboveAverage="0" equalAverage="0" bottom="0" percent="0" rank="0" text="" dxfId="3">
      <formula>AND(M488&gt;=1,M488&lt;5)</formula>
    </cfRule>
  </conditionalFormatting>
  <conditionalFormatting sqref="M489">
    <cfRule type="expression" priority="1955" aboveAverage="0" equalAverage="0" bottom="0" percent="0" rank="0" text="" dxfId="0">
      <formula>M489&gt;=20</formula>
    </cfRule>
    <cfRule type="expression" priority="1956" aboveAverage="0" equalAverage="0" bottom="0" percent="0" rank="0" text="" dxfId="1">
      <formula>AND(M489&gt;=10,M489&lt;20)</formula>
    </cfRule>
    <cfRule type="expression" priority="1957" aboveAverage="0" equalAverage="0" bottom="0" percent="0" rank="0" text="" dxfId="2">
      <formula>AND(M489&gt;=5,M489&lt;10)</formula>
    </cfRule>
    <cfRule type="expression" priority="1958" aboveAverage="0" equalAverage="0" bottom="0" percent="0" rank="0" text="" dxfId="3">
      <formula>AND(M489&gt;=1,M489&lt;5)</formula>
    </cfRule>
  </conditionalFormatting>
  <conditionalFormatting sqref="M490">
    <cfRule type="expression" priority="1959" aboveAverage="0" equalAverage="0" bottom="0" percent="0" rank="0" text="" dxfId="0">
      <formula>M490&gt;=20</formula>
    </cfRule>
    <cfRule type="expression" priority="1960" aboveAverage="0" equalAverage="0" bottom="0" percent="0" rank="0" text="" dxfId="1">
      <formula>AND(M490&gt;=10,M490&lt;20)</formula>
    </cfRule>
    <cfRule type="expression" priority="1961" aboveAverage="0" equalAverage="0" bottom="0" percent="0" rank="0" text="" dxfId="2">
      <formula>AND(M490&gt;=5,M490&lt;10)</formula>
    </cfRule>
    <cfRule type="expression" priority="1962" aboveAverage="0" equalAverage="0" bottom="0" percent="0" rank="0" text="" dxfId="3">
      <formula>AND(M490&gt;=1,M490&lt;5)</formula>
    </cfRule>
  </conditionalFormatting>
  <conditionalFormatting sqref="M491">
    <cfRule type="expression" priority="1963" aboveAverage="0" equalAverage="0" bottom="0" percent="0" rank="0" text="" dxfId="0">
      <formula>M491&gt;=20</formula>
    </cfRule>
    <cfRule type="expression" priority="1964" aboveAverage="0" equalAverage="0" bottom="0" percent="0" rank="0" text="" dxfId="1">
      <formula>AND(M491&gt;=10,M491&lt;20)</formula>
    </cfRule>
    <cfRule type="expression" priority="1965" aboveAverage="0" equalAverage="0" bottom="0" percent="0" rank="0" text="" dxfId="2">
      <formula>AND(M491&gt;=5,M491&lt;10)</formula>
    </cfRule>
    <cfRule type="expression" priority="1966" aboveAverage="0" equalAverage="0" bottom="0" percent="0" rank="0" text="" dxfId="3">
      <formula>AND(M491&gt;=1,M491&lt;5)</formula>
    </cfRule>
  </conditionalFormatting>
  <conditionalFormatting sqref="M492">
    <cfRule type="expression" priority="1967" aboveAverage="0" equalAverage="0" bottom="0" percent="0" rank="0" text="" dxfId="0">
      <formula>M492&gt;=20</formula>
    </cfRule>
    <cfRule type="expression" priority="1968" aboveAverage="0" equalAverage="0" bottom="0" percent="0" rank="0" text="" dxfId="1">
      <formula>AND(M492&gt;=10,M492&lt;20)</formula>
    </cfRule>
    <cfRule type="expression" priority="1969" aboveAverage="0" equalAverage="0" bottom="0" percent="0" rank="0" text="" dxfId="2">
      <formula>AND(M492&gt;=5,M492&lt;10)</formula>
    </cfRule>
    <cfRule type="expression" priority="1970" aboveAverage="0" equalAverage="0" bottom="0" percent="0" rank="0" text="" dxfId="3">
      <formula>AND(M492&gt;=1,M492&lt;5)</formula>
    </cfRule>
  </conditionalFormatting>
  <conditionalFormatting sqref="M493">
    <cfRule type="expression" priority="1971" aboveAverage="0" equalAverage="0" bottom="0" percent="0" rank="0" text="" dxfId="0">
      <formula>M493&gt;=20</formula>
    </cfRule>
    <cfRule type="expression" priority="1972" aboveAverage="0" equalAverage="0" bottom="0" percent="0" rank="0" text="" dxfId="1">
      <formula>AND(M493&gt;=10,M493&lt;20)</formula>
    </cfRule>
    <cfRule type="expression" priority="1973" aboveAverage="0" equalAverage="0" bottom="0" percent="0" rank="0" text="" dxfId="2">
      <formula>AND(M493&gt;=5,M493&lt;10)</formula>
    </cfRule>
    <cfRule type="expression" priority="1974" aboveAverage="0" equalAverage="0" bottom="0" percent="0" rank="0" text="" dxfId="3">
      <formula>AND(M493&gt;=1,M493&lt;5)</formula>
    </cfRule>
  </conditionalFormatting>
  <conditionalFormatting sqref="M494">
    <cfRule type="expression" priority="1975" aboveAverage="0" equalAverage="0" bottom="0" percent="0" rank="0" text="" dxfId="0">
      <formula>M494&gt;=20</formula>
    </cfRule>
    <cfRule type="expression" priority="1976" aboveAverage="0" equalAverage="0" bottom="0" percent="0" rank="0" text="" dxfId="1">
      <formula>AND(M494&gt;=10,M494&lt;20)</formula>
    </cfRule>
    <cfRule type="expression" priority="1977" aboveAverage="0" equalAverage="0" bottom="0" percent="0" rank="0" text="" dxfId="2">
      <formula>AND(M494&gt;=5,M494&lt;10)</formula>
    </cfRule>
    <cfRule type="expression" priority="1978" aboveAverage="0" equalAverage="0" bottom="0" percent="0" rank="0" text="" dxfId="3">
      <formula>AND(M494&gt;=1,M494&lt;5)</formula>
    </cfRule>
  </conditionalFormatting>
  <conditionalFormatting sqref="M495">
    <cfRule type="expression" priority="1979" aboveAverage="0" equalAverage="0" bottom="0" percent="0" rank="0" text="" dxfId="0">
      <formula>M495&gt;=20</formula>
    </cfRule>
    <cfRule type="expression" priority="1980" aboveAverage="0" equalAverage="0" bottom="0" percent="0" rank="0" text="" dxfId="1">
      <formula>AND(M495&gt;=10,M495&lt;20)</formula>
    </cfRule>
    <cfRule type="expression" priority="1981" aboveAverage="0" equalAverage="0" bottom="0" percent="0" rank="0" text="" dxfId="2">
      <formula>AND(M495&gt;=5,M495&lt;10)</formula>
    </cfRule>
    <cfRule type="expression" priority="1982" aboveAverage="0" equalAverage="0" bottom="0" percent="0" rank="0" text="" dxfId="3">
      <formula>AND(M495&gt;=1,M495&lt;5)</formula>
    </cfRule>
  </conditionalFormatting>
  <conditionalFormatting sqref="M496">
    <cfRule type="expression" priority="1983" aboveAverage="0" equalAverage="0" bottom="0" percent="0" rank="0" text="" dxfId="0">
      <formula>M496&gt;=20</formula>
    </cfRule>
    <cfRule type="expression" priority="1984" aboveAverage="0" equalAverage="0" bottom="0" percent="0" rank="0" text="" dxfId="1">
      <formula>AND(M496&gt;=10,M496&lt;20)</formula>
    </cfRule>
    <cfRule type="expression" priority="1985" aboveAverage="0" equalAverage="0" bottom="0" percent="0" rank="0" text="" dxfId="2">
      <formula>AND(M496&gt;=5,M496&lt;10)</formula>
    </cfRule>
    <cfRule type="expression" priority="1986" aboveAverage="0" equalAverage="0" bottom="0" percent="0" rank="0" text="" dxfId="3">
      <formula>AND(M496&gt;=1,M496&lt;5)</formula>
    </cfRule>
  </conditionalFormatting>
  <conditionalFormatting sqref="M497">
    <cfRule type="expression" priority="1987" aboveAverage="0" equalAverage="0" bottom="0" percent="0" rank="0" text="" dxfId="0">
      <formula>M497&gt;=20</formula>
    </cfRule>
    <cfRule type="expression" priority="1988" aboveAverage="0" equalAverage="0" bottom="0" percent="0" rank="0" text="" dxfId="1">
      <formula>AND(M497&gt;=10,M497&lt;20)</formula>
    </cfRule>
    <cfRule type="expression" priority="1989" aboveAverage="0" equalAverage="0" bottom="0" percent="0" rank="0" text="" dxfId="2">
      <formula>AND(M497&gt;=5,M497&lt;10)</formula>
    </cfRule>
    <cfRule type="expression" priority="1990" aboveAverage="0" equalAverage="0" bottom="0" percent="0" rank="0" text="" dxfId="3">
      <formula>AND(M497&gt;=1,M497&lt;5)</formula>
    </cfRule>
  </conditionalFormatting>
  <conditionalFormatting sqref="M498">
    <cfRule type="expression" priority="1991" aboveAverage="0" equalAverage="0" bottom="0" percent="0" rank="0" text="" dxfId="0">
      <formula>M498&gt;=20</formula>
    </cfRule>
    <cfRule type="expression" priority="1992" aboveAverage="0" equalAverage="0" bottom="0" percent="0" rank="0" text="" dxfId="1">
      <formula>AND(M498&gt;=10,M498&lt;20)</formula>
    </cfRule>
    <cfRule type="expression" priority="1993" aboveAverage="0" equalAverage="0" bottom="0" percent="0" rank="0" text="" dxfId="2">
      <formula>AND(M498&gt;=5,M498&lt;10)</formula>
    </cfRule>
    <cfRule type="expression" priority="1994" aboveAverage="0" equalAverage="0" bottom="0" percent="0" rank="0" text="" dxfId="3">
      <formula>AND(M498&gt;=1,M498&lt;5)</formula>
    </cfRule>
  </conditionalFormatting>
  <conditionalFormatting sqref="M499">
    <cfRule type="expression" priority="1995" aboveAverage="0" equalAverage="0" bottom="0" percent="0" rank="0" text="" dxfId="0">
      <formula>M499&gt;=20</formula>
    </cfRule>
    <cfRule type="expression" priority="1996" aboveAverage="0" equalAverage="0" bottom="0" percent="0" rank="0" text="" dxfId="1">
      <formula>AND(M499&gt;=10,M499&lt;20)</formula>
    </cfRule>
    <cfRule type="expression" priority="1997" aboveAverage="0" equalAverage="0" bottom="0" percent="0" rank="0" text="" dxfId="2">
      <formula>AND(M499&gt;=5,M499&lt;10)</formula>
    </cfRule>
    <cfRule type="expression" priority="1998" aboveAverage="0" equalAverage="0" bottom="0" percent="0" rank="0" text="" dxfId="3">
      <formula>AND(M499&gt;=1,M499&lt;5)</formula>
    </cfRule>
  </conditionalFormatting>
  <dataValidations count="8">
    <dataValidation allowBlank="true" errorStyle="stop" operator="between" showDropDown="false" showErrorMessage="false" showInputMessage="false" sqref="C5:C500" type="list">
      <formula1>"CISA KEV,NIST NVD,US-CERT,AWS Security Bulletin,Azure Security Update,AI Governance Update,NIST Framework Update,ISO Update,Internal Assessment"</formula1>
      <formula2>0</formula2>
    </dataValidation>
    <dataValidation allowBlank="true" errorStyle="stop" operator="between" showDropDown="false" showErrorMessage="false" showInputMessage="false" sqref="F5:F500" type="list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allowBlank="true" errorStyle="stop" operator="between" showDropDown="false" showErrorMessage="false" showInputMessage="false" sqref="K5:K500" type="list">
      <formula1>"1,2,3,4,5"</formula1>
      <formula2>0</formula2>
    </dataValidation>
    <dataValidation allowBlank="true" errorStyle="stop" operator="between" showDropDown="false" showErrorMessage="false" showInputMessage="false" sqref="L5:L500" type="list">
      <formula1>"1,2,3,4,5"</formula1>
      <formula2>0</formula2>
    </dataValidation>
    <dataValidation allowBlank="true" errorStyle="stop" operator="between" showDropDown="false" showErrorMessage="false" showInputMessage="false" sqref="N5:N500" type="list">
      <formula1>"Critical,High,Medium,Low"</formula1>
      <formula2>0</formula2>
    </dataValidation>
    <dataValidation allowBlank="true" errorStyle="stop" operator="between" showDropDown="false" showErrorMessage="false" showInputMessage="false" sqref="O5:O500" type="list">
      <formula1>"Critical,High,Medium,Low"</formula1>
      <formula2>0</formula2>
    </dataValidation>
    <dataValidation allowBlank="true" errorStyle="stop" operator="between" showDropDown="false" showErrorMessage="false" showInputMessage="false" sqref="Q5:Q500" type="list">
      <formula1>"Critical,High,Medium,Low"</formula1>
      <formula2>0</formula2>
    </dataValidation>
    <dataValidation allowBlank="true" errorStyle="stop" operator="between" showDropDown="false" showErrorMessage="false" showInputMessage="false" sqref="U5:U500" type="list">
      <formula1>"Open,Mitigating,Closed,Accepted,Transferred"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28"/>
    <col collapsed="false" customWidth="true" hidden="false" outlineLevel="0" max="6" min="6" style="0" width="16"/>
  </cols>
  <sheetData>
    <row r="1" customFormat="false" ht="39.75" hidden="false" customHeight="true" outlineLevel="0" collapsed="false">
      <c r="B1" s="1" t="s">
        <v>102</v>
      </c>
      <c r="C1" s="1"/>
      <c r="D1" s="1"/>
      <c r="E1" s="1"/>
      <c r="F1" s="1"/>
    </row>
    <row r="3" customFormat="false" ht="15" hidden="false" customHeight="true" outlineLevel="0" collapsed="false">
      <c r="B3" s="12" t="s">
        <v>103</v>
      </c>
      <c r="C3" s="12"/>
      <c r="E3" s="13" t="s">
        <v>104</v>
      </c>
      <c r="F3" s="13"/>
    </row>
    <row r="4" customFormat="false" ht="21.75" hidden="false" customHeight="true" outlineLevel="0" collapsed="false">
      <c r="B4" s="14" t="s">
        <v>105</v>
      </c>
      <c r="C4" s="15" t="n">
        <f aca="false">COUNTA('🛡️ Risk Register'!A5:A500)</f>
        <v>5</v>
      </c>
      <c r="E4" s="16" t="s">
        <v>28</v>
      </c>
      <c r="F4" s="17" t="n">
        <f aca="false">COUNTIF('🛡️ Risk Register'!C5:C500,"CISA KEV")</f>
        <v>1</v>
      </c>
    </row>
    <row r="5" customFormat="false" ht="21.75" hidden="false" customHeight="true" outlineLevel="0" collapsed="false">
      <c r="B5" s="18" t="s">
        <v>106</v>
      </c>
      <c r="C5" s="19" t="n">
        <f aca="false">COUNTIF('🛡️ Risk Register'!N5:N500,"Critical")</f>
        <v>2</v>
      </c>
      <c r="E5" s="20" t="s">
        <v>46</v>
      </c>
      <c r="F5" s="21" t="n">
        <f aca="false">COUNTIF('🛡️ Risk Register'!C5:C500,"NIST NVD")</f>
        <v>1</v>
      </c>
    </row>
    <row r="6" customFormat="false" ht="21.75" hidden="false" customHeight="true" outlineLevel="0" collapsed="false">
      <c r="B6" s="14" t="s">
        <v>107</v>
      </c>
      <c r="C6" s="15" t="n">
        <f aca="false">COUNTIF('🛡️ Risk Register'!N5:N500,"High")</f>
        <v>3</v>
      </c>
      <c r="E6" s="16" t="s">
        <v>90</v>
      </c>
      <c r="F6" s="17" t="n">
        <f aca="false">COUNTIF('🛡️ Risk Register'!C5:C500,"US-CERT")</f>
        <v>1</v>
      </c>
    </row>
    <row r="7" customFormat="false" ht="21.75" hidden="false" customHeight="true" outlineLevel="0" collapsed="false">
      <c r="B7" s="18" t="s">
        <v>108</v>
      </c>
      <c r="C7" s="19" t="n">
        <f aca="false">COUNTIF('🛡️ Risk Register'!N5:N500,"Medium")</f>
        <v>0</v>
      </c>
      <c r="E7" s="20" t="s">
        <v>61</v>
      </c>
      <c r="F7" s="21" t="n">
        <f aca="false">COUNTIF('🛡️ Risk Register'!C5:C500,"AWS Security Bulletin")</f>
        <v>1</v>
      </c>
    </row>
    <row r="8" customFormat="false" ht="21.75" hidden="false" customHeight="true" outlineLevel="0" collapsed="false">
      <c r="B8" s="14" t="s">
        <v>109</v>
      </c>
      <c r="C8" s="15" t="n">
        <f aca="false">COUNTIF('🛡️ Risk Register'!N5:N500,"Low")</f>
        <v>0</v>
      </c>
      <c r="E8" s="16" t="s">
        <v>110</v>
      </c>
      <c r="F8" s="17" t="n">
        <f aca="false">COUNTIF('🛡️ Risk Register'!C5:C500,"Azure Security Update")</f>
        <v>0</v>
      </c>
    </row>
    <row r="9" customFormat="false" ht="21.75" hidden="false" customHeight="true" outlineLevel="0" collapsed="false">
      <c r="B9" s="18" t="s">
        <v>111</v>
      </c>
      <c r="C9" s="19" t="n">
        <f aca="false">COUNTIF('🛡️ Risk Register'!U5:U500,"Open")</f>
        <v>3</v>
      </c>
      <c r="E9" s="20" t="s">
        <v>76</v>
      </c>
      <c r="F9" s="21" t="n">
        <f aca="false">COUNTIF('🛡️ Risk Register'!C5:C500,"AI Governance Update")</f>
        <v>1</v>
      </c>
    </row>
    <row r="10" customFormat="false" ht="21.75" hidden="false" customHeight="true" outlineLevel="0" collapsed="false">
      <c r="B10" s="14" t="s">
        <v>57</v>
      </c>
      <c r="C10" s="15" t="n">
        <f aca="false">COUNTIF('🛡️ Risk Register'!U5:U500,"Mitigating")</f>
        <v>2</v>
      </c>
      <c r="E10" s="16" t="s">
        <v>112</v>
      </c>
      <c r="F10" s="17" t="n">
        <f aca="false">COUNTIF('🛡️ Risk Register'!C5:C500,"NIST Framework Update")</f>
        <v>0</v>
      </c>
    </row>
    <row r="11" customFormat="false" ht="21.75" hidden="false" customHeight="true" outlineLevel="0" collapsed="false">
      <c r="B11" s="18" t="s">
        <v>113</v>
      </c>
      <c r="C11" s="19" t="n">
        <f aca="false">COUNTIF('🛡️ Risk Register'!U5:U500,"Closed")</f>
        <v>0</v>
      </c>
      <c r="E11" s="20" t="s">
        <v>114</v>
      </c>
      <c r="F11" s="21" t="n">
        <f aca="false">COUNTIF('🛡️ Risk Register'!C5:C500,"ISO Update")</f>
        <v>0</v>
      </c>
    </row>
    <row r="12" customFormat="false" ht="21.75" hidden="false" customHeight="true" outlineLevel="0" collapsed="false">
      <c r="B12" s="14" t="s">
        <v>115</v>
      </c>
      <c r="C12" s="15" t="n">
        <f aca="false">COUNTIFS('🛡️ Risk Register'!F5:F500,"AI/ML*")</f>
        <v>1</v>
      </c>
      <c r="E12" s="16" t="s">
        <v>116</v>
      </c>
      <c r="F12" s="17" t="n">
        <f aca="false">COUNTIF('🛡️ Risk Register'!C5:C500,"Internal Assessment")</f>
        <v>0</v>
      </c>
    </row>
    <row r="13" customFormat="false" ht="21.75" hidden="false" customHeight="true" outlineLevel="0" collapsed="false">
      <c r="B13" s="18" t="s">
        <v>117</v>
      </c>
      <c r="C13" s="19" t="n">
        <f aca="false">COUNTIFS('🛡️ Risk Register'!F5:F500,"Cloud*")</f>
        <v>2</v>
      </c>
    </row>
    <row r="14" customFormat="false" ht="21.75" hidden="false" customHeight="true" outlineLevel="0" collapsed="false">
      <c r="B14" s="14" t="s">
        <v>118</v>
      </c>
      <c r="C14" s="15" t="n">
        <f aca="false">COUNTIFS('🛡️ Risk Register'!F5:F500,"OT*")</f>
        <v>0</v>
      </c>
    </row>
    <row r="15" customFormat="false" ht="21.75" hidden="false" customHeight="true" outlineLevel="0" collapsed="false">
      <c r="B15" s="18" t="s">
        <v>119</v>
      </c>
      <c r="C15" s="19" t="n">
        <f aca="true">COUNTIFS('🛡️ Risk Register'!V5:V500,"&lt;"&amp;TODAY(),'🛡️ Risk Register'!U5:U500,"Open")</f>
        <v>0</v>
      </c>
    </row>
    <row r="17" customFormat="false" ht="15" hidden="false" customHeight="true" outlineLevel="0" collapsed="false">
      <c r="B17" s="22" t="s">
        <v>120</v>
      </c>
      <c r="C17" s="22"/>
    </row>
    <row r="18" customFormat="false" ht="15" hidden="false" customHeight="false" outlineLevel="0" collapsed="false">
      <c r="B18" s="23" t="s">
        <v>121</v>
      </c>
      <c r="C18" s="24" t="n">
        <f aca="false">COUNTIF('🛡️ Risk Register'!I5:I500,"*NIST CSF*")</f>
        <v>4</v>
      </c>
    </row>
    <row r="19" customFormat="false" ht="15" hidden="false" customHeight="false" outlineLevel="0" collapsed="false">
      <c r="B19" s="20" t="s">
        <v>122</v>
      </c>
      <c r="C19" s="21" t="n">
        <f aca="false">COUNTIF('🛡️ Risk Register'!I5:I500,"*800-53*")</f>
        <v>5</v>
      </c>
    </row>
    <row r="20" customFormat="false" ht="15" hidden="false" customHeight="false" outlineLevel="0" collapsed="false">
      <c r="B20" s="23" t="s">
        <v>123</v>
      </c>
      <c r="C20" s="24" t="n">
        <f aca="false">COUNTIF('🛡️ Risk Register'!I5:I500,"*ISO 27001*")</f>
        <v>4</v>
      </c>
    </row>
    <row r="21" customFormat="false" ht="15" hidden="false" customHeight="false" outlineLevel="0" collapsed="false">
      <c r="B21" s="20" t="s">
        <v>124</v>
      </c>
      <c r="C21" s="21" t="n">
        <f aca="false">COUNTIF('🛡️ Risk Register'!I5:I500,"*CIS Control*")</f>
        <v>4</v>
      </c>
    </row>
    <row r="22" customFormat="false" ht="15" hidden="false" customHeight="false" outlineLevel="0" collapsed="false">
      <c r="B22" s="23" t="s">
        <v>125</v>
      </c>
      <c r="C22" s="24" t="n">
        <f aca="false">COUNTIF('🛡️ Risk Register'!I5:I500,"*NIST AI RMF*")</f>
        <v>1</v>
      </c>
    </row>
    <row r="23" customFormat="false" ht="15" hidden="false" customHeight="false" outlineLevel="0" collapsed="false">
      <c r="B23" s="20" t="s">
        <v>126</v>
      </c>
      <c r="C23" s="21" t="n">
        <f aca="false">COUNTIF('🛡️ Risk Register'!I5:I500,"*ISO 42001*")</f>
        <v>1</v>
      </c>
    </row>
    <row r="24" customFormat="false" ht="15" hidden="false" customHeight="false" outlineLevel="0" collapsed="false">
      <c r="B24" s="23" t="s">
        <v>127</v>
      </c>
      <c r="C24" s="24" t="n">
        <f aca="false">COUNTIF('🛡️ Risk Register'!I5:I500,"*EU AI Act*")</f>
        <v>1</v>
      </c>
    </row>
  </sheetData>
  <mergeCells count="4">
    <mergeCell ref="B1:F1"/>
    <mergeCell ref="B3:C3"/>
    <mergeCell ref="E3:F3"/>
    <mergeCell ref="B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6" min="2" style="0" width="14"/>
    <col collapsed="false" customWidth="true" hidden="false" outlineLevel="0" max="7" min="7" style="0" width="3"/>
    <col collapsed="false" customWidth="true" hidden="false" outlineLevel="0" max="8" min="8" style="0" width="30"/>
  </cols>
  <sheetData>
    <row r="1" customFormat="false" ht="36" hidden="false" customHeight="true" outlineLevel="0" collapsed="false">
      <c r="B1" s="25" t="s">
        <v>128</v>
      </c>
      <c r="C1" s="25"/>
      <c r="D1" s="25"/>
      <c r="E1" s="25"/>
      <c r="F1" s="25"/>
      <c r="G1" s="25"/>
      <c r="H1" s="25"/>
    </row>
    <row r="3" customFormat="false" ht="15" hidden="false" customHeight="false" outlineLevel="0" collapsed="false">
      <c r="A3" s="26" t="s">
        <v>129</v>
      </c>
      <c r="B3" s="26" t="s">
        <v>130</v>
      </c>
    </row>
    <row r="4" customFormat="false" ht="19.5" hidden="false" customHeight="true" outlineLevel="0" collapsed="false">
      <c r="B4" s="27" t="s">
        <v>131</v>
      </c>
      <c r="C4" s="27" t="s">
        <v>132</v>
      </c>
      <c r="D4" s="27" t="s">
        <v>133</v>
      </c>
      <c r="E4" s="27" t="s">
        <v>134</v>
      </c>
      <c r="F4" s="27" t="s">
        <v>135</v>
      </c>
      <c r="H4" s="28" t="s">
        <v>136</v>
      </c>
    </row>
    <row r="5" customFormat="false" ht="39.75" hidden="false" customHeight="true" outlineLevel="0" collapsed="false">
      <c r="A5" s="27" t="s">
        <v>137</v>
      </c>
      <c r="B5" s="29" t="s">
        <v>138</v>
      </c>
      <c r="C5" s="30" t="s">
        <v>139</v>
      </c>
      <c r="D5" s="31" t="s">
        <v>140</v>
      </c>
      <c r="E5" s="31" t="s">
        <v>141</v>
      </c>
      <c r="F5" s="32" t="s">
        <v>142</v>
      </c>
      <c r="H5" s="33" t="s">
        <v>143</v>
      </c>
    </row>
    <row r="6" customFormat="false" ht="39.75" hidden="false" customHeight="true" outlineLevel="0" collapsed="false">
      <c r="A6" s="27" t="s">
        <v>144</v>
      </c>
      <c r="B6" s="34" t="s">
        <v>145</v>
      </c>
      <c r="C6" s="35" t="s">
        <v>146</v>
      </c>
      <c r="D6" s="30" t="s">
        <v>147</v>
      </c>
      <c r="E6" s="31" t="s">
        <v>148</v>
      </c>
      <c r="F6" s="31" t="s">
        <v>141</v>
      </c>
      <c r="H6" s="36" t="s">
        <v>149</v>
      </c>
    </row>
    <row r="7" customFormat="false" ht="39.75" hidden="false" customHeight="true" outlineLevel="0" collapsed="false">
      <c r="A7" s="27" t="s">
        <v>150</v>
      </c>
      <c r="B7" s="37" t="s">
        <v>151</v>
      </c>
      <c r="C7" s="29" t="s">
        <v>152</v>
      </c>
      <c r="D7" s="35" t="s">
        <v>153</v>
      </c>
      <c r="E7" s="30" t="s">
        <v>147</v>
      </c>
      <c r="F7" s="31" t="s">
        <v>140</v>
      </c>
      <c r="H7" s="38" t="s">
        <v>154</v>
      </c>
    </row>
    <row r="8" customFormat="false" ht="39.75" hidden="false" customHeight="true" outlineLevel="0" collapsed="false">
      <c r="A8" s="27" t="s">
        <v>155</v>
      </c>
      <c r="B8" s="37" t="s">
        <v>156</v>
      </c>
      <c r="C8" s="37" t="s">
        <v>145</v>
      </c>
      <c r="D8" s="29" t="s">
        <v>152</v>
      </c>
      <c r="E8" s="35" t="s">
        <v>146</v>
      </c>
      <c r="F8" s="30" t="s">
        <v>139</v>
      </c>
      <c r="H8" s="39" t="s">
        <v>157</v>
      </c>
    </row>
    <row r="9" customFormat="false" ht="39.75" hidden="false" customHeight="true" outlineLevel="0" collapsed="false">
      <c r="A9" s="27" t="s">
        <v>158</v>
      </c>
      <c r="B9" s="37" t="s">
        <v>159</v>
      </c>
      <c r="C9" s="37" t="s">
        <v>156</v>
      </c>
      <c r="D9" s="37" t="s">
        <v>151</v>
      </c>
      <c r="E9" s="34" t="s">
        <v>145</v>
      </c>
      <c r="F9" s="29" t="s">
        <v>138</v>
      </c>
    </row>
  </sheetData>
  <mergeCells count="1">
    <mergeCell ref="B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5" min="4" style="0" width="18"/>
    <col collapsed="false" customWidth="true" hidden="false" outlineLevel="0" max="6" min="6" style="0" width="30"/>
  </cols>
  <sheetData>
    <row r="1" customFormat="false" ht="36" hidden="false" customHeight="true" outlineLevel="0" collapsed="false">
      <c r="B1" s="25" t="s">
        <v>160</v>
      </c>
      <c r="C1" s="25"/>
      <c r="D1" s="25"/>
      <c r="E1" s="25"/>
      <c r="F1" s="25"/>
    </row>
    <row r="2" customFormat="false" ht="21.75" hidden="false" customHeight="true" outlineLevel="0" collapsed="false">
      <c r="B2" s="40" t="s">
        <v>4</v>
      </c>
      <c r="C2" s="40" t="s">
        <v>161</v>
      </c>
      <c r="D2" s="40" t="s">
        <v>162</v>
      </c>
      <c r="E2" s="40" t="s">
        <v>163</v>
      </c>
      <c r="F2" s="40" t="s">
        <v>164</v>
      </c>
    </row>
    <row r="3" customFormat="false" ht="21.75" hidden="false" customHeight="true" outlineLevel="0" collapsed="false">
      <c r="B3" s="20" t="s">
        <v>28</v>
      </c>
      <c r="C3" s="20" t="s">
        <v>165</v>
      </c>
      <c r="D3" s="20" t="s">
        <v>166</v>
      </c>
      <c r="E3" s="20" t="s">
        <v>167</v>
      </c>
      <c r="F3" s="20" t="s">
        <v>168</v>
      </c>
    </row>
    <row r="4" customFormat="false" ht="21.75" hidden="false" customHeight="true" outlineLevel="0" collapsed="false">
      <c r="B4" s="16" t="s">
        <v>169</v>
      </c>
      <c r="C4" s="16" t="s">
        <v>170</v>
      </c>
      <c r="D4" s="16" t="s">
        <v>166</v>
      </c>
      <c r="E4" s="16" t="s">
        <v>171</v>
      </c>
      <c r="F4" s="16" t="s">
        <v>172</v>
      </c>
    </row>
    <row r="5" customFormat="false" ht="21.75" hidden="false" customHeight="true" outlineLevel="0" collapsed="false">
      <c r="B5" s="20" t="s">
        <v>173</v>
      </c>
      <c r="C5" s="20" t="s">
        <v>174</v>
      </c>
      <c r="D5" s="20" t="s">
        <v>166</v>
      </c>
      <c r="E5" s="20" t="s">
        <v>171</v>
      </c>
      <c r="F5" s="20" t="s">
        <v>175</v>
      </c>
    </row>
    <row r="6" customFormat="false" ht="21.75" hidden="false" customHeight="true" outlineLevel="0" collapsed="false">
      <c r="B6" s="16" t="s">
        <v>46</v>
      </c>
      <c r="C6" s="16" t="s">
        <v>176</v>
      </c>
      <c r="D6" s="16" t="s">
        <v>177</v>
      </c>
      <c r="E6" s="16" t="s">
        <v>171</v>
      </c>
      <c r="F6" s="16" t="s">
        <v>178</v>
      </c>
    </row>
    <row r="7" customFormat="false" ht="21.75" hidden="false" customHeight="true" outlineLevel="0" collapsed="false">
      <c r="B7" s="20" t="s">
        <v>179</v>
      </c>
      <c r="C7" s="20" t="s">
        <v>180</v>
      </c>
      <c r="D7" s="20" t="s">
        <v>181</v>
      </c>
      <c r="E7" s="20" t="s">
        <v>182</v>
      </c>
      <c r="F7" s="20" t="s">
        <v>183</v>
      </c>
    </row>
    <row r="8" customFormat="false" ht="21.75" hidden="false" customHeight="true" outlineLevel="0" collapsed="false">
      <c r="B8" s="16" t="s">
        <v>184</v>
      </c>
      <c r="C8" s="16" t="s">
        <v>185</v>
      </c>
      <c r="D8" s="16" t="s">
        <v>181</v>
      </c>
      <c r="E8" s="16" t="s">
        <v>182</v>
      </c>
      <c r="F8" s="16" t="s">
        <v>186</v>
      </c>
    </row>
    <row r="9" customFormat="false" ht="21.75" hidden="false" customHeight="true" outlineLevel="0" collapsed="false">
      <c r="B9" s="20" t="s">
        <v>187</v>
      </c>
      <c r="C9" s="20" t="s">
        <v>188</v>
      </c>
      <c r="D9" s="20" t="s">
        <v>189</v>
      </c>
      <c r="E9" s="20" t="s">
        <v>190</v>
      </c>
      <c r="F9" s="20" t="s">
        <v>191</v>
      </c>
    </row>
    <row r="10" customFormat="false" ht="21.75" hidden="false" customHeight="true" outlineLevel="0" collapsed="false">
      <c r="B10" s="16" t="s">
        <v>192</v>
      </c>
      <c r="C10" s="16" t="s">
        <v>193</v>
      </c>
      <c r="D10" s="16" t="s">
        <v>181</v>
      </c>
      <c r="E10" s="16" t="s">
        <v>194</v>
      </c>
      <c r="F10" s="16" t="s">
        <v>195</v>
      </c>
    </row>
    <row r="11" customFormat="false" ht="21.75" hidden="false" customHeight="true" outlineLevel="0" collapsed="false">
      <c r="B11" s="20" t="s">
        <v>196</v>
      </c>
      <c r="C11" s="20" t="s">
        <v>197</v>
      </c>
      <c r="D11" s="20" t="s">
        <v>189</v>
      </c>
      <c r="E11" s="20" t="s">
        <v>194</v>
      </c>
      <c r="F11" s="20" t="s">
        <v>198</v>
      </c>
    </row>
    <row r="12" customFormat="false" ht="21.75" hidden="false" customHeight="true" outlineLevel="0" collapsed="false">
      <c r="B12" s="16" t="s">
        <v>127</v>
      </c>
      <c r="C12" s="16" t="s">
        <v>199</v>
      </c>
      <c r="D12" s="16" t="s">
        <v>200</v>
      </c>
      <c r="E12" s="16" t="s">
        <v>190</v>
      </c>
      <c r="F12" s="16" t="s">
        <v>201</v>
      </c>
    </row>
    <row r="13" customFormat="false" ht="21.75" hidden="false" customHeight="true" outlineLevel="0" collapsed="false">
      <c r="B13" s="20" t="s">
        <v>202</v>
      </c>
      <c r="C13" s="20" t="s">
        <v>203</v>
      </c>
      <c r="D13" s="20" t="s">
        <v>204</v>
      </c>
      <c r="E13" s="20" t="s">
        <v>171</v>
      </c>
      <c r="F13" s="20" t="s">
        <v>205</v>
      </c>
    </row>
    <row r="14" customFormat="false" ht="21.75" hidden="false" customHeight="true" outlineLevel="0" collapsed="false">
      <c r="B14" s="16" t="s">
        <v>206</v>
      </c>
      <c r="C14" s="16" t="s">
        <v>207</v>
      </c>
      <c r="D14" s="16" t="s">
        <v>204</v>
      </c>
      <c r="E14" s="16" t="s">
        <v>171</v>
      </c>
      <c r="F14" s="16" t="s">
        <v>205</v>
      </c>
    </row>
    <row r="15" customFormat="false" ht="21.75" hidden="false" customHeight="true" outlineLevel="0" collapsed="false">
      <c r="B15" s="20" t="s">
        <v>208</v>
      </c>
      <c r="C15" s="20" t="s">
        <v>209</v>
      </c>
      <c r="D15" s="20" t="s">
        <v>210</v>
      </c>
      <c r="E15" s="20" t="s">
        <v>182</v>
      </c>
      <c r="F15" s="20" t="s">
        <v>211</v>
      </c>
    </row>
    <row r="16" customFormat="false" ht="21.75" hidden="false" customHeight="true" outlineLevel="0" collapsed="false">
      <c r="B16" s="16" t="s">
        <v>212</v>
      </c>
      <c r="C16" s="16" t="s">
        <v>213</v>
      </c>
      <c r="D16" s="16" t="s">
        <v>166</v>
      </c>
      <c r="E16" s="16" t="s">
        <v>190</v>
      </c>
      <c r="F16" s="16" t="s">
        <v>214</v>
      </c>
    </row>
    <row r="17" customFormat="false" ht="21.75" hidden="false" customHeight="true" outlineLevel="0" collapsed="false">
      <c r="B17" s="20" t="s">
        <v>215</v>
      </c>
      <c r="C17" s="20" t="s">
        <v>216</v>
      </c>
      <c r="D17" s="20" t="s">
        <v>217</v>
      </c>
      <c r="E17" s="20" t="s">
        <v>190</v>
      </c>
      <c r="F17" s="20" t="s">
        <v>218</v>
      </c>
    </row>
  </sheetData>
  <mergeCells count="1">
    <mergeCell ref="B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2026-05-29T00:08:36Z</dcterms:created>
  <dc:creator>openpyxl</dc:creator>
  <dc:description/>
  <dc:language>en-US</dc:language>
  <cp:lastModifiedBy/>
  <dcterms:modified xsi:type="dcterms:W3CDTF">2026-05-29T00:08:36Z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